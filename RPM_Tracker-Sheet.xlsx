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30"/>
  <workbookPr updateLinks="always"/>
  <xr:revisionPtr revIDLastSave="0" documentId="8_{B096CC24-53BD-4E5C-9D6B-8CC8409998A7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FinalOutput" sheetId="6" r:id="rId1"/>
    <sheet name="RPM_ProjectRecord" sheetId="5" r:id="rId2"/>
    <sheet name="RpmContracts" sheetId="2" r:id="rId3"/>
    <sheet name="20yPlan" sheetId="3" r:id="rId4"/>
    <sheet name="3rdPhaseChipSeal" sheetId="4" r:id="rId5"/>
    <sheet name="RpmDesignStandard" sheetId="1" r:id="rId6"/>
  </sheets>
  <definedNames>
    <definedName name="_xlnm._FilterDatabase" localSheetId="0" hidden="1">FinalOutput!$A$1:$AN$1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6" l="1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2" i="6"/>
  <c r="V3" i="6"/>
  <c r="W3" i="6"/>
  <c r="AC3" i="6"/>
  <c r="AD3" i="6"/>
  <c r="AE3" i="6"/>
  <c r="X3" i="6" s="1"/>
  <c r="AF3" i="6"/>
  <c r="Y3" i="6" s="1"/>
  <c r="AG3" i="6"/>
  <c r="Z3" i="6" s="1"/>
  <c r="AH3" i="6"/>
  <c r="AA3" i="6" s="1"/>
  <c r="AI3" i="6"/>
  <c r="AB3" i="6" s="1"/>
  <c r="AJ3" i="6"/>
  <c r="AK3" i="6"/>
  <c r="AL3" i="6"/>
  <c r="AM3" i="6"/>
  <c r="AN3" i="6"/>
  <c r="V4" i="6"/>
  <c r="W4" i="6"/>
  <c r="AC4" i="6"/>
  <c r="AD4" i="6"/>
  <c r="AE4" i="6"/>
  <c r="X4" i="6" s="1"/>
  <c r="AF4" i="6"/>
  <c r="Y4" i="6" s="1"/>
  <c r="AG4" i="6"/>
  <c r="Z4" i="6" s="1"/>
  <c r="AH4" i="6"/>
  <c r="AA4" i="6" s="1"/>
  <c r="AI4" i="6"/>
  <c r="AB4" i="6" s="1"/>
  <c r="AJ4" i="6"/>
  <c r="AK4" i="6"/>
  <c r="AL4" i="6"/>
  <c r="AM4" i="6"/>
  <c r="AN4" i="6"/>
  <c r="V5" i="6"/>
  <c r="W5" i="6"/>
  <c r="AC5" i="6"/>
  <c r="AD5" i="6"/>
  <c r="AE5" i="6"/>
  <c r="X5" i="6" s="1"/>
  <c r="AF5" i="6"/>
  <c r="Y5" i="6" s="1"/>
  <c r="AG5" i="6"/>
  <c r="Z5" i="6" s="1"/>
  <c r="AH5" i="6"/>
  <c r="AA5" i="6" s="1"/>
  <c r="AI5" i="6"/>
  <c r="AB5" i="6" s="1"/>
  <c r="AJ5" i="6"/>
  <c r="AK5" i="6"/>
  <c r="AL5" i="6"/>
  <c r="AM5" i="6"/>
  <c r="AN5" i="6"/>
  <c r="V6" i="6"/>
  <c r="W6" i="6"/>
  <c r="AC6" i="6"/>
  <c r="AD6" i="6"/>
  <c r="AE6" i="6"/>
  <c r="X6" i="6" s="1"/>
  <c r="AF6" i="6"/>
  <c r="Y6" i="6" s="1"/>
  <c r="AG6" i="6"/>
  <c r="Z6" i="6" s="1"/>
  <c r="AH6" i="6"/>
  <c r="AA6" i="6" s="1"/>
  <c r="AI6" i="6"/>
  <c r="AB6" i="6" s="1"/>
  <c r="AJ6" i="6"/>
  <c r="AK6" i="6"/>
  <c r="AL6" i="6"/>
  <c r="AM6" i="6"/>
  <c r="AN6" i="6"/>
  <c r="V7" i="6"/>
  <c r="W7" i="6"/>
  <c r="AC7" i="6"/>
  <c r="AD7" i="6"/>
  <c r="AE7" i="6"/>
  <c r="X7" i="6" s="1"/>
  <c r="AF7" i="6"/>
  <c r="Y7" i="6" s="1"/>
  <c r="AG7" i="6"/>
  <c r="Z7" i="6" s="1"/>
  <c r="AH7" i="6"/>
  <c r="AA7" i="6" s="1"/>
  <c r="AI7" i="6"/>
  <c r="AB7" i="6" s="1"/>
  <c r="AJ7" i="6"/>
  <c r="AK7" i="6"/>
  <c r="AL7" i="6"/>
  <c r="AM7" i="6"/>
  <c r="AN7" i="6"/>
  <c r="V8" i="6"/>
  <c r="W8" i="6"/>
  <c r="AC8" i="6"/>
  <c r="AD8" i="6"/>
  <c r="AE8" i="6"/>
  <c r="X8" i="6" s="1"/>
  <c r="AF8" i="6"/>
  <c r="Y8" i="6" s="1"/>
  <c r="AG8" i="6"/>
  <c r="Z8" i="6" s="1"/>
  <c r="AH8" i="6"/>
  <c r="AA8" i="6" s="1"/>
  <c r="AI8" i="6"/>
  <c r="AB8" i="6" s="1"/>
  <c r="AJ8" i="6"/>
  <c r="AK8" i="6"/>
  <c r="AL8" i="6"/>
  <c r="AM8" i="6"/>
  <c r="AN8" i="6"/>
  <c r="V9" i="6"/>
  <c r="W9" i="6"/>
  <c r="AC9" i="6"/>
  <c r="AD9" i="6"/>
  <c r="AE9" i="6"/>
  <c r="X9" i="6" s="1"/>
  <c r="AF9" i="6"/>
  <c r="Y9" i="6" s="1"/>
  <c r="AG9" i="6"/>
  <c r="Z9" i="6" s="1"/>
  <c r="AH9" i="6"/>
  <c r="AA9" i="6" s="1"/>
  <c r="AI9" i="6"/>
  <c r="AB9" i="6" s="1"/>
  <c r="AJ9" i="6"/>
  <c r="AK9" i="6"/>
  <c r="AL9" i="6"/>
  <c r="AM9" i="6"/>
  <c r="AN9" i="6"/>
  <c r="V10" i="6"/>
  <c r="W10" i="6"/>
  <c r="AC10" i="6"/>
  <c r="AD10" i="6"/>
  <c r="AE10" i="6"/>
  <c r="X10" i="6" s="1"/>
  <c r="AF10" i="6"/>
  <c r="Y10" i="6" s="1"/>
  <c r="AG10" i="6"/>
  <c r="Z10" i="6" s="1"/>
  <c r="AH10" i="6"/>
  <c r="AA10" i="6" s="1"/>
  <c r="AI10" i="6"/>
  <c r="AB10" i="6" s="1"/>
  <c r="AJ10" i="6"/>
  <c r="AK10" i="6"/>
  <c r="AL10" i="6"/>
  <c r="AM10" i="6"/>
  <c r="AN10" i="6"/>
  <c r="V11" i="6"/>
  <c r="W11" i="6"/>
  <c r="AC11" i="6"/>
  <c r="AD11" i="6"/>
  <c r="AE11" i="6"/>
  <c r="X11" i="6" s="1"/>
  <c r="AF11" i="6"/>
  <c r="Y11" i="6" s="1"/>
  <c r="AG11" i="6"/>
  <c r="Z11" i="6" s="1"/>
  <c r="AH11" i="6"/>
  <c r="AA11" i="6" s="1"/>
  <c r="AI11" i="6"/>
  <c r="AB11" i="6" s="1"/>
  <c r="AJ11" i="6"/>
  <c r="AK11" i="6"/>
  <c r="AL11" i="6"/>
  <c r="AM11" i="6"/>
  <c r="AN11" i="6"/>
  <c r="V12" i="6"/>
  <c r="W12" i="6"/>
  <c r="AC12" i="6"/>
  <c r="AD12" i="6"/>
  <c r="AE12" i="6"/>
  <c r="X12" i="6" s="1"/>
  <c r="AF12" i="6"/>
  <c r="Y12" i="6" s="1"/>
  <c r="AG12" i="6"/>
  <c r="Z12" i="6" s="1"/>
  <c r="AH12" i="6"/>
  <c r="AA12" i="6" s="1"/>
  <c r="AI12" i="6"/>
  <c r="AB12" i="6" s="1"/>
  <c r="AJ12" i="6"/>
  <c r="AK12" i="6"/>
  <c r="AL12" i="6"/>
  <c r="AM12" i="6"/>
  <c r="AN12" i="6"/>
  <c r="V13" i="6"/>
  <c r="W13" i="6"/>
  <c r="AC13" i="6"/>
  <c r="AD13" i="6"/>
  <c r="AE13" i="6"/>
  <c r="X13" i="6" s="1"/>
  <c r="AF13" i="6"/>
  <c r="Y13" i="6" s="1"/>
  <c r="AG13" i="6"/>
  <c r="Z13" i="6" s="1"/>
  <c r="AH13" i="6"/>
  <c r="AA13" i="6" s="1"/>
  <c r="AI13" i="6"/>
  <c r="AB13" i="6" s="1"/>
  <c r="AJ13" i="6"/>
  <c r="AK13" i="6"/>
  <c r="AL13" i="6"/>
  <c r="AM13" i="6"/>
  <c r="AN13" i="6"/>
  <c r="V14" i="6"/>
  <c r="W14" i="6"/>
  <c r="AC14" i="6"/>
  <c r="AD14" i="6"/>
  <c r="AE14" i="6"/>
  <c r="X14" i="6" s="1"/>
  <c r="AF14" i="6"/>
  <c r="Y14" i="6" s="1"/>
  <c r="AG14" i="6"/>
  <c r="Z14" i="6" s="1"/>
  <c r="AH14" i="6"/>
  <c r="AA14" i="6" s="1"/>
  <c r="AI14" i="6"/>
  <c r="AB14" i="6" s="1"/>
  <c r="AJ14" i="6"/>
  <c r="AK14" i="6"/>
  <c r="AL14" i="6"/>
  <c r="AM14" i="6"/>
  <c r="AN14" i="6"/>
  <c r="V15" i="6"/>
  <c r="W15" i="6"/>
  <c r="AC15" i="6"/>
  <c r="AD15" i="6"/>
  <c r="AE15" i="6"/>
  <c r="X15" i="6" s="1"/>
  <c r="AF15" i="6"/>
  <c r="Y15" i="6" s="1"/>
  <c r="AG15" i="6"/>
  <c r="Z15" i="6" s="1"/>
  <c r="AH15" i="6"/>
  <c r="AA15" i="6" s="1"/>
  <c r="AI15" i="6"/>
  <c r="AB15" i="6" s="1"/>
  <c r="AJ15" i="6"/>
  <c r="AK15" i="6"/>
  <c r="AL15" i="6"/>
  <c r="AM15" i="6"/>
  <c r="AN15" i="6"/>
  <c r="V16" i="6"/>
  <c r="W16" i="6"/>
  <c r="AC16" i="6"/>
  <c r="AD16" i="6"/>
  <c r="AE16" i="6"/>
  <c r="X16" i="6" s="1"/>
  <c r="AF16" i="6"/>
  <c r="Y16" i="6" s="1"/>
  <c r="AG16" i="6"/>
  <c r="Z16" i="6" s="1"/>
  <c r="AH16" i="6"/>
  <c r="AA16" i="6" s="1"/>
  <c r="AI16" i="6"/>
  <c r="AB16" i="6" s="1"/>
  <c r="AJ16" i="6"/>
  <c r="AK16" i="6"/>
  <c r="AL16" i="6"/>
  <c r="AM16" i="6"/>
  <c r="AN16" i="6"/>
  <c r="V17" i="6"/>
  <c r="W17" i="6"/>
  <c r="AC17" i="6"/>
  <c r="AD17" i="6"/>
  <c r="AE17" i="6"/>
  <c r="X17" i="6" s="1"/>
  <c r="AF17" i="6"/>
  <c r="Y17" i="6" s="1"/>
  <c r="AG17" i="6"/>
  <c r="Z17" i="6" s="1"/>
  <c r="AH17" i="6"/>
  <c r="AA17" i="6" s="1"/>
  <c r="AI17" i="6"/>
  <c r="AB17" i="6" s="1"/>
  <c r="AJ17" i="6"/>
  <c r="AK17" i="6"/>
  <c r="AL17" i="6"/>
  <c r="AM17" i="6"/>
  <c r="AN17" i="6"/>
  <c r="V18" i="6"/>
  <c r="W18" i="6"/>
  <c r="AC18" i="6"/>
  <c r="AD18" i="6"/>
  <c r="AE18" i="6"/>
  <c r="X18" i="6" s="1"/>
  <c r="AF18" i="6"/>
  <c r="Y18" i="6" s="1"/>
  <c r="AG18" i="6"/>
  <c r="Z18" i="6" s="1"/>
  <c r="AH18" i="6"/>
  <c r="AA18" i="6" s="1"/>
  <c r="AI18" i="6"/>
  <c r="AB18" i="6" s="1"/>
  <c r="AJ18" i="6"/>
  <c r="AK18" i="6"/>
  <c r="AL18" i="6"/>
  <c r="AM18" i="6"/>
  <c r="AN18" i="6"/>
  <c r="V19" i="6"/>
  <c r="W19" i="6"/>
  <c r="AC19" i="6"/>
  <c r="AD19" i="6"/>
  <c r="AE19" i="6"/>
  <c r="X19" i="6" s="1"/>
  <c r="AF19" i="6"/>
  <c r="Y19" i="6" s="1"/>
  <c r="AG19" i="6"/>
  <c r="Z19" i="6" s="1"/>
  <c r="AH19" i="6"/>
  <c r="AA19" i="6" s="1"/>
  <c r="AI19" i="6"/>
  <c r="AB19" i="6" s="1"/>
  <c r="AJ19" i="6"/>
  <c r="AK19" i="6"/>
  <c r="AL19" i="6"/>
  <c r="AM19" i="6"/>
  <c r="AN19" i="6"/>
  <c r="V20" i="6"/>
  <c r="W20" i="6"/>
  <c r="AC20" i="6"/>
  <c r="AD20" i="6"/>
  <c r="AE20" i="6"/>
  <c r="X20" i="6" s="1"/>
  <c r="AF20" i="6"/>
  <c r="Y20" i="6" s="1"/>
  <c r="AG20" i="6"/>
  <c r="Z20" i="6" s="1"/>
  <c r="AH20" i="6"/>
  <c r="AA20" i="6" s="1"/>
  <c r="AI20" i="6"/>
  <c r="AB20" i="6" s="1"/>
  <c r="AJ20" i="6"/>
  <c r="AK20" i="6"/>
  <c r="AL20" i="6"/>
  <c r="AM20" i="6"/>
  <c r="AN20" i="6"/>
  <c r="V21" i="6"/>
  <c r="W21" i="6"/>
  <c r="AC21" i="6"/>
  <c r="AD21" i="6"/>
  <c r="AE21" i="6"/>
  <c r="X21" i="6" s="1"/>
  <c r="AF21" i="6"/>
  <c r="Y21" i="6" s="1"/>
  <c r="AG21" i="6"/>
  <c r="Z21" i="6" s="1"/>
  <c r="AH21" i="6"/>
  <c r="AA21" i="6" s="1"/>
  <c r="AI21" i="6"/>
  <c r="AB21" i="6" s="1"/>
  <c r="AJ21" i="6"/>
  <c r="AK21" i="6"/>
  <c r="AL21" i="6"/>
  <c r="AM21" i="6"/>
  <c r="AN21" i="6"/>
  <c r="V22" i="6"/>
  <c r="W22" i="6"/>
  <c r="AC22" i="6"/>
  <c r="AD22" i="6"/>
  <c r="AE22" i="6"/>
  <c r="X22" i="6" s="1"/>
  <c r="AF22" i="6"/>
  <c r="Y22" i="6" s="1"/>
  <c r="AG22" i="6"/>
  <c r="Z22" i="6" s="1"/>
  <c r="AH22" i="6"/>
  <c r="AA22" i="6" s="1"/>
  <c r="AI22" i="6"/>
  <c r="AB22" i="6" s="1"/>
  <c r="AJ22" i="6"/>
  <c r="AK22" i="6"/>
  <c r="AL22" i="6"/>
  <c r="AM22" i="6"/>
  <c r="AN22" i="6"/>
  <c r="V23" i="6"/>
  <c r="W23" i="6"/>
  <c r="AC23" i="6"/>
  <c r="AD23" i="6"/>
  <c r="AE23" i="6"/>
  <c r="X23" i="6" s="1"/>
  <c r="AF23" i="6"/>
  <c r="Y23" i="6" s="1"/>
  <c r="AG23" i="6"/>
  <c r="Z23" i="6" s="1"/>
  <c r="AH23" i="6"/>
  <c r="AA23" i="6" s="1"/>
  <c r="AI23" i="6"/>
  <c r="AB23" i="6" s="1"/>
  <c r="AJ23" i="6"/>
  <c r="AK23" i="6"/>
  <c r="AL23" i="6"/>
  <c r="AM23" i="6"/>
  <c r="AN23" i="6"/>
  <c r="V24" i="6"/>
  <c r="W24" i="6"/>
  <c r="AC24" i="6"/>
  <c r="AD24" i="6"/>
  <c r="AE24" i="6"/>
  <c r="X24" i="6" s="1"/>
  <c r="AF24" i="6"/>
  <c r="Y24" i="6" s="1"/>
  <c r="AG24" i="6"/>
  <c r="Z24" i="6" s="1"/>
  <c r="AH24" i="6"/>
  <c r="AA24" i="6" s="1"/>
  <c r="AI24" i="6"/>
  <c r="AB24" i="6" s="1"/>
  <c r="AJ24" i="6"/>
  <c r="AK24" i="6"/>
  <c r="AL24" i="6"/>
  <c r="AM24" i="6"/>
  <c r="AN24" i="6"/>
  <c r="V25" i="6"/>
  <c r="W25" i="6"/>
  <c r="AC25" i="6"/>
  <c r="AD25" i="6"/>
  <c r="AE25" i="6"/>
  <c r="X25" i="6" s="1"/>
  <c r="AF25" i="6"/>
  <c r="Y25" i="6" s="1"/>
  <c r="AG25" i="6"/>
  <c r="Z25" i="6" s="1"/>
  <c r="AH25" i="6"/>
  <c r="AA25" i="6" s="1"/>
  <c r="AI25" i="6"/>
  <c r="AB25" i="6" s="1"/>
  <c r="AJ25" i="6"/>
  <c r="AK25" i="6"/>
  <c r="AL25" i="6"/>
  <c r="AM25" i="6"/>
  <c r="AN25" i="6"/>
  <c r="V26" i="6"/>
  <c r="W26" i="6"/>
  <c r="AC26" i="6"/>
  <c r="AD26" i="6"/>
  <c r="AE26" i="6"/>
  <c r="X26" i="6" s="1"/>
  <c r="AF26" i="6"/>
  <c r="Y26" i="6" s="1"/>
  <c r="AG26" i="6"/>
  <c r="Z26" i="6" s="1"/>
  <c r="AH26" i="6"/>
  <c r="AA26" i="6" s="1"/>
  <c r="AI26" i="6"/>
  <c r="AB26" i="6" s="1"/>
  <c r="AJ26" i="6"/>
  <c r="AK26" i="6"/>
  <c r="AL26" i="6"/>
  <c r="AM26" i="6"/>
  <c r="AN26" i="6"/>
  <c r="V27" i="6"/>
  <c r="W27" i="6"/>
  <c r="AC27" i="6"/>
  <c r="AD27" i="6"/>
  <c r="AE27" i="6"/>
  <c r="X27" i="6" s="1"/>
  <c r="AF27" i="6"/>
  <c r="Y27" i="6" s="1"/>
  <c r="AG27" i="6"/>
  <c r="Z27" i="6" s="1"/>
  <c r="AH27" i="6"/>
  <c r="AA27" i="6" s="1"/>
  <c r="AI27" i="6"/>
  <c r="AB27" i="6" s="1"/>
  <c r="AJ27" i="6"/>
  <c r="AK27" i="6"/>
  <c r="AL27" i="6"/>
  <c r="AM27" i="6"/>
  <c r="AN27" i="6"/>
  <c r="V28" i="6"/>
  <c r="W28" i="6"/>
  <c r="AC28" i="6"/>
  <c r="AD28" i="6"/>
  <c r="AE28" i="6"/>
  <c r="X28" i="6" s="1"/>
  <c r="AF28" i="6"/>
  <c r="Y28" i="6" s="1"/>
  <c r="AG28" i="6"/>
  <c r="Z28" i="6" s="1"/>
  <c r="AH28" i="6"/>
  <c r="AA28" i="6" s="1"/>
  <c r="AI28" i="6"/>
  <c r="AB28" i="6" s="1"/>
  <c r="AJ28" i="6"/>
  <c r="AK28" i="6"/>
  <c r="AL28" i="6"/>
  <c r="AM28" i="6"/>
  <c r="AN28" i="6"/>
  <c r="V29" i="6"/>
  <c r="W29" i="6"/>
  <c r="AC29" i="6"/>
  <c r="AD29" i="6"/>
  <c r="AE29" i="6"/>
  <c r="X29" i="6" s="1"/>
  <c r="AF29" i="6"/>
  <c r="Y29" i="6" s="1"/>
  <c r="AG29" i="6"/>
  <c r="Z29" i="6" s="1"/>
  <c r="AH29" i="6"/>
  <c r="AA29" i="6" s="1"/>
  <c r="AI29" i="6"/>
  <c r="AB29" i="6" s="1"/>
  <c r="AJ29" i="6"/>
  <c r="AK29" i="6"/>
  <c r="AL29" i="6"/>
  <c r="AM29" i="6"/>
  <c r="AN29" i="6"/>
  <c r="V30" i="6"/>
  <c r="W30" i="6"/>
  <c r="AC30" i="6"/>
  <c r="AD30" i="6"/>
  <c r="AE30" i="6"/>
  <c r="X30" i="6" s="1"/>
  <c r="AF30" i="6"/>
  <c r="Y30" i="6" s="1"/>
  <c r="AG30" i="6"/>
  <c r="Z30" i="6" s="1"/>
  <c r="AH30" i="6"/>
  <c r="AA30" i="6" s="1"/>
  <c r="AI30" i="6"/>
  <c r="AB30" i="6" s="1"/>
  <c r="AJ30" i="6"/>
  <c r="AK30" i="6"/>
  <c r="AL30" i="6"/>
  <c r="AM30" i="6"/>
  <c r="AN30" i="6"/>
  <c r="V31" i="6"/>
  <c r="W31" i="6"/>
  <c r="AC31" i="6"/>
  <c r="AD31" i="6"/>
  <c r="AE31" i="6"/>
  <c r="X31" i="6" s="1"/>
  <c r="AF31" i="6"/>
  <c r="Y31" i="6" s="1"/>
  <c r="AG31" i="6"/>
  <c r="Z31" i="6" s="1"/>
  <c r="AH31" i="6"/>
  <c r="AA31" i="6" s="1"/>
  <c r="AI31" i="6"/>
  <c r="AB31" i="6" s="1"/>
  <c r="AJ31" i="6"/>
  <c r="AK31" i="6"/>
  <c r="AL31" i="6"/>
  <c r="AM31" i="6"/>
  <c r="AN31" i="6"/>
  <c r="V32" i="6"/>
  <c r="W32" i="6"/>
  <c r="AC32" i="6"/>
  <c r="AD32" i="6"/>
  <c r="AE32" i="6"/>
  <c r="X32" i="6" s="1"/>
  <c r="AF32" i="6"/>
  <c r="Y32" i="6" s="1"/>
  <c r="AG32" i="6"/>
  <c r="Z32" i="6" s="1"/>
  <c r="AH32" i="6"/>
  <c r="AA32" i="6" s="1"/>
  <c r="AI32" i="6"/>
  <c r="AB32" i="6" s="1"/>
  <c r="AJ32" i="6"/>
  <c r="AK32" i="6"/>
  <c r="AL32" i="6"/>
  <c r="AM32" i="6"/>
  <c r="AN32" i="6"/>
  <c r="V33" i="6"/>
  <c r="W33" i="6"/>
  <c r="AC33" i="6"/>
  <c r="AD33" i="6"/>
  <c r="AE33" i="6"/>
  <c r="X33" i="6" s="1"/>
  <c r="AF33" i="6"/>
  <c r="Y33" i="6" s="1"/>
  <c r="AG33" i="6"/>
  <c r="Z33" i="6" s="1"/>
  <c r="AH33" i="6"/>
  <c r="AA33" i="6" s="1"/>
  <c r="AI33" i="6"/>
  <c r="AB33" i="6" s="1"/>
  <c r="AJ33" i="6"/>
  <c r="AK33" i="6"/>
  <c r="AL33" i="6"/>
  <c r="AM33" i="6"/>
  <c r="AN33" i="6"/>
  <c r="V34" i="6"/>
  <c r="W34" i="6"/>
  <c r="AC34" i="6"/>
  <c r="AD34" i="6"/>
  <c r="AE34" i="6"/>
  <c r="X34" i="6" s="1"/>
  <c r="AF34" i="6"/>
  <c r="Y34" i="6" s="1"/>
  <c r="AG34" i="6"/>
  <c r="Z34" i="6" s="1"/>
  <c r="AH34" i="6"/>
  <c r="AA34" i="6" s="1"/>
  <c r="AI34" i="6"/>
  <c r="AB34" i="6" s="1"/>
  <c r="AJ34" i="6"/>
  <c r="AK34" i="6"/>
  <c r="AL34" i="6"/>
  <c r="AM34" i="6"/>
  <c r="AN34" i="6"/>
  <c r="V35" i="6"/>
  <c r="W35" i="6"/>
  <c r="AC35" i="6"/>
  <c r="AD35" i="6"/>
  <c r="AE35" i="6"/>
  <c r="X35" i="6" s="1"/>
  <c r="AF35" i="6"/>
  <c r="Y35" i="6" s="1"/>
  <c r="AG35" i="6"/>
  <c r="Z35" i="6" s="1"/>
  <c r="AH35" i="6"/>
  <c r="AA35" i="6" s="1"/>
  <c r="AI35" i="6"/>
  <c r="AB35" i="6" s="1"/>
  <c r="AJ35" i="6"/>
  <c r="AK35" i="6"/>
  <c r="AL35" i="6"/>
  <c r="AM35" i="6"/>
  <c r="AN35" i="6"/>
  <c r="V36" i="6"/>
  <c r="W36" i="6"/>
  <c r="AC36" i="6"/>
  <c r="AD36" i="6"/>
  <c r="AE36" i="6"/>
  <c r="X36" i="6" s="1"/>
  <c r="AF36" i="6"/>
  <c r="Y36" i="6" s="1"/>
  <c r="AG36" i="6"/>
  <c r="Z36" i="6" s="1"/>
  <c r="AH36" i="6"/>
  <c r="AA36" i="6" s="1"/>
  <c r="AI36" i="6"/>
  <c r="AB36" i="6" s="1"/>
  <c r="AJ36" i="6"/>
  <c r="AK36" i="6"/>
  <c r="AL36" i="6"/>
  <c r="AM36" i="6"/>
  <c r="AN36" i="6"/>
  <c r="V37" i="6"/>
  <c r="W37" i="6"/>
  <c r="AC37" i="6"/>
  <c r="AD37" i="6"/>
  <c r="AE37" i="6"/>
  <c r="X37" i="6" s="1"/>
  <c r="AF37" i="6"/>
  <c r="Y37" i="6" s="1"/>
  <c r="AG37" i="6"/>
  <c r="Z37" i="6" s="1"/>
  <c r="AH37" i="6"/>
  <c r="AA37" i="6" s="1"/>
  <c r="AI37" i="6"/>
  <c r="AB37" i="6" s="1"/>
  <c r="AJ37" i="6"/>
  <c r="AK37" i="6"/>
  <c r="AL37" i="6"/>
  <c r="AM37" i="6"/>
  <c r="AN37" i="6"/>
  <c r="V38" i="6"/>
  <c r="W38" i="6"/>
  <c r="AC38" i="6"/>
  <c r="AD38" i="6"/>
  <c r="AE38" i="6"/>
  <c r="X38" i="6" s="1"/>
  <c r="AF38" i="6"/>
  <c r="Y38" i="6" s="1"/>
  <c r="AG38" i="6"/>
  <c r="Z38" i="6" s="1"/>
  <c r="AH38" i="6"/>
  <c r="AA38" i="6" s="1"/>
  <c r="AI38" i="6"/>
  <c r="AB38" i="6" s="1"/>
  <c r="AJ38" i="6"/>
  <c r="AK38" i="6"/>
  <c r="AL38" i="6"/>
  <c r="AM38" i="6"/>
  <c r="AN38" i="6"/>
  <c r="V39" i="6"/>
  <c r="W39" i="6"/>
  <c r="AC39" i="6"/>
  <c r="AD39" i="6"/>
  <c r="AE39" i="6"/>
  <c r="X39" i="6" s="1"/>
  <c r="AF39" i="6"/>
  <c r="Y39" i="6" s="1"/>
  <c r="AG39" i="6"/>
  <c r="Z39" i="6" s="1"/>
  <c r="AH39" i="6"/>
  <c r="AA39" i="6" s="1"/>
  <c r="AI39" i="6"/>
  <c r="AB39" i="6" s="1"/>
  <c r="AJ39" i="6"/>
  <c r="AK39" i="6"/>
  <c r="AL39" i="6"/>
  <c r="AM39" i="6"/>
  <c r="AN39" i="6"/>
  <c r="V40" i="6"/>
  <c r="W40" i="6"/>
  <c r="AC40" i="6"/>
  <c r="AD40" i="6"/>
  <c r="AE40" i="6"/>
  <c r="X40" i="6" s="1"/>
  <c r="AF40" i="6"/>
  <c r="Y40" i="6" s="1"/>
  <c r="AG40" i="6"/>
  <c r="Z40" i="6" s="1"/>
  <c r="AH40" i="6"/>
  <c r="AA40" i="6" s="1"/>
  <c r="AI40" i="6"/>
  <c r="AB40" i="6" s="1"/>
  <c r="AJ40" i="6"/>
  <c r="AK40" i="6"/>
  <c r="AL40" i="6"/>
  <c r="AM40" i="6"/>
  <c r="AN40" i="6"/>
  <c r="V41" i="6"/>
  <c r="W41" i="6"/>
  <c r="AC41" i="6"/>
  <c r="AD41" i="6"/>
  <c r="AE41" i="6"/>
  <c r="X41" i="6" s="1"/>
  <c r="AF41" i="6"/>
  <c r="Y41" i="6" s="1"/>
  <c r="AG41" i="6"/>
  <c r="Z41" i="6" s="1"/>
  <c r="AH41" i="6"/>
  <c r="AA41" i="6" s="1"/>
  <c r="AI41" i="6"/>
  <c r="AB41" i="6" s="1"/>
  <c r="AJ41" i="6"/>
  <c r="AK41" i="6"/>
  <c r="AL41" i="6"/>
  <c r="AM41" i="6"/>
  <c r="AN41" i="6"/>
  <c r="V42" i="6"/>
  <c r="W42" i="6"/>
  <c r="AC42" i="6"/>
  <c r="AD42" i="6"/>
  <c r="AE42" i="6"/>
  <c r="X42" i="6" s="1"/>
  <c r="AF42" i="6"/>
  <c r="Y42" i="6" s="1"/>
  <c r="AG42" i="6"/>
  <c r="Z42" i="6" s="1"/>
  <c r="AH42" i="6"/>
  <c r="AA42" i="6" s="1"/>
  <c r="AI42" i="6"/>
  <c r="AB42" i="6" s="1"/>
  <c r="AJ42" i="6"/>
  <c r="AK42" i="6"/>
  <c r="AL42" i="6"/>
  <c r="AM42" i="6"/>
  <c r="AN42" i="6"/>
  <c r="V43" i="6"/>
  <c r="W43" i="6"/>
  <c r="AC43" i="6"/>
  <c r="AD43" i="6"/>
  <c r="AE43" i="6"/>
  <c r="X43" i="6" s="1"/>
  <c r="AF43" i="6"/>
  <c r="Y43" i="6" s="1"/>
  <c r="AG43" i="6"/>
  <c r="Z43" i="6" s="1"/>
  <c r="AH43" i="6"/>
  <c r="AA43" i="6" s="1"/>
  <c r="AI43" i="6"/>
  <c r="AB43" i="6" s="1"/>
  <c r="AJ43" i="6"/>
  <c r="AK43" i="6"/>
  <c r="AL43" i="6"/>
  <c r="AM43" i="6"/>
  <c r="AN43" i="6"/>
  <c r="V44" i="6"/>
  <c r="W44" i="6"/>
  <c r="AC44" i="6"/>
  <c r="AD44" i="6"/>
  <c r="AE44" i="6"/>
  <c r="X44" i="6" s="1"/>
  <c r="AF44" i="6"/>
  <c r="Y44" i="6" s="1"/>
  <c r="AG44" i="6"/>
  <c r="Z44" i="6" s="1"/>
  <c r="AH44" i="6"/>
  <c r="AA44" i="6" s="1"/>
  <c r="AI44" i="6"/>
  <c r="AB44" i="6" s="1"/>
  <c r="AJ44" i="6"/>
  <c r="AK44" i="6"/>
  <c r="AL44" i="6"/>
  <c r="AM44" i="6"/>
  <c r="AN44" i="6"/>
  <c r="V45" i="6"/>
  <c r="W45" i="6"/>
  <c r="AC45" i="6"/>
  <c r="AD45" i="6"/>
  <c r="AE45" i="6"/>
  <c r="X45" i="6" s="1"/>
  <c r="AF45" i="6"/>
  <c r="Y45" i="6" s="1"/>
  <c r="AG45" i="6"/>
  <c r="Z45" i="6" s="1"/>
  <c r="AH45" i="6"/>
  <c r="AA45" i="6" s="1"/>
  <c r="AI45" i="6"/>
  <c r="AB45" i="6" s="1"/>
  <c r="AJ45" i="6"/>
  <c r="AK45" i="6"/>
  <c r="AL45" i="6"/>
  <c r="AM45" i="6"/>
  <c r="AN45" i="6"/>
  <c r="V46" i="6"/>
  <c r="W46" i="6"/>
  <c r="AC46" i="6"/>
  <c r="AD46" i="6"/>
  <c r="AE46" i="6"/>
  <c r="X46" i="6" s="1"/>
  <c r="AF46" i="6"/>
  <c r="Y46" i="6" s="1"/>
  <c r="AG46" i="6"/>
  <c r="Z46" i="6" s="1"/>
  <c r="AH46" i="6"/>
  <c r="AA46" i="6" s="1"/>
  <c r="AI46" i="6"/>
  <c r="AB46" i="6" s="1"/>
  <c r="AJ46" i="6"/>
  <c r="AK46" i="6"/>
  <c r="AL46" i="6"/>
  <c r="AM46" i="6"/>
  <c r="AN46" i="6"/>
  <c r="V47" i="6"/>
  <c r="W47" i="6"/>
  <c r="AC47" i="6"/>
  <c r="AD47" i="6"/>
  <c r="AE47" i="6"/>
  <c r="X47" i="6" s="1"/>
  <c r="AF47" i="6"/>
  <c r="Y47" i="6" s="1"/>
  <c r="AG47" i="6"/>
  <c r="Z47" i="6" s="1"/>
  <c r="AH47" i="6"/>
  <c r="AA47" i="6" s="1"/>
  <c r="AI47" i="6"/>
  <c r="AB47" i="6" s="1"/>
  <c r="AJ47" i="6"/>
  <c r="AK47" i="6"/>
  <c r="AL47" i="6"/>
  <c r="AM47" i="6"/>
  <c r="AN47" i="6"/>
  <c r="V48" i="6"/>
  <c r="W48" i="6"/>
  <c r="AC48" i="6"/>
  <c r="AD48" i="6"/>
  <c r="AE48" i="6"/>
  <c r="X48" i="6" s="1"/>
  <c r="AF48" i="6"/>
  <c r="Y48" i="6" s="1"/>
  <c r="AG48" i="6"/>
  <c r="Z48" i="6" s="1"/>
  <c r="AH48" i="6"/>
  <c r="AA48" i="6" s="1"/>
  <c r="AI48" i="6"/>
  <c r="AB48" i="6" s="1"/>
  <c r="AJ48" i="6"/>
  <c r="AK48" i="6"/>
  <c r="AL48" i="6"/>
  <c r="AM48" i="6"/>
  <c r="AN48" i="6"/>
  <c r="V49" i="6"/>
  <c r="W49" i="6"/>
  <c r="AC49" i="6"/>
  <c r="AD49" i="6"/>
  <c r="AE49" i="6"/>
  <c r="X49" i="6" s="1"/>
  <c r="AF49" i="6"/>
  <c r="Y49" i="6" s="1"/>
  <c r="AG49" i="6"/>
  <c r="Z49" i="6" s="1"/>
  <c r="AH49" i="6"/>
  <c r="AA49" i="6" s="1"/>
  <c r="AI49" i="6"/>
  <c r="AB49" i="6" s="1"/>
  <c r="AJ49" i="6"/>
  <c r="AK49" i="6"/>
  <c r="AL49" i="6"/>
  <c r="AM49" i="6"/>
  <c r="AN49" i="6"/>
  <c r="V50" i="6"/>
  <c r="W50" i="6"/>
  <c r="AC50" i="6"/>
  <c r="AD50" i="6"/>
  <c r="AE50" i="6"/>
  <c r="X50" i="6" s="1"/>
  <c r="AF50" i="6"/>
  <c r="Y50" i="6" s="1"/>
  <c r="AG50" i="6"/>
  <c r="Z50" i="6" s="1"/>
  <c r="AH50" i="6"/>
  <c r="AA50" i="6" s="1"/>
  <c r="AI50" i="6"/>
  <c r="AB50" i="6" s="1"/>
  <c r="AJ50" i="6"/>
  <c r="AK50" i="6"/>
  <c r="AL50" i="6"/>
  <c r="AM50" i="6"/>
  <c r="AN50" i="6"/>
  <c r="V51" i="6"/>
  <c r="W51" i="6"/>
  <c r="AC51" i="6"/>
  <c r="AD51" i="6"/>
  <c r="AE51" i="6"/>
  <c r="X51" i="6" s="1"/>
  <c r="AF51" i="6"/>
  <c r="Y51" i="6" s="1"/>
  <c r="AG51" i="6"/>
  <c r="Z51" i="6" s="1"/>
  <c r="AH51" i="6"/>
  <c r="AA51" i="6" s="1"/>
  <c r="AI51" i="6"/>
  <c r="AB51" i="6" s="1"/>
  <c r="AJ51" i="6"/>
  <c r="AK51" i="6"/>
  <c r="AL51" i="6"/>
  <c r="AM51" i="6"/>
  <c r="AN51" i="6"/>
  <c r="V52" i="6"/>
  <c r="W52" i="6"/>
  <c r="AC52" i="6"/>
  <c r="AD52" i="6"/>
  <c r="AE52" i="6"/>
  <c r="X52" i="6" s="1"/>
  <c r="AF52" i="6"/>
  <c r="Y52" i="6" s="1"/>
  <c r="AG52" i="6"/>
  <c r="Z52" i="6" s="1"/>
  <c r="AH52" i="6"/>
  <c r="AA52" i="6" s="1"/>
  <c r="AI52" i="6"/>
  <c r="AB52" i="6" s="1"/>
  <c r="AJ52" i="6"/>
  <c r="AK52" i="6"/>
  <c r="AL52" i="6"/>
  <c r="AM52" i="6"/>
  <c r="AN52" i="6"/>
  <c r="V53" i="6"/>
  <c r="W53" i="6"/>
  <c r="AC53" i="6"/>
  <c r="AD53" i="6"/>
  <c r="AE53" i="6"/>
  <c r="X53" i="6" s="1"/>
  <c r="AF53" i="6"/>
  <c r="Y53" i="6" s="1"/>
  <c r="AG53" i="6"/>
  <c r="Z53" i="6" s="1"/>
  <c r="AH53" i="6"/>
  <c r="AA53" i="6" s="1"/>
  <c r="AI53" i="6"/>
  <c r="AB53" i="6" s="1"/>
  <c r="AJ53" i="6"/>
  <c r="AK53" i="6"/>
  <c r="AL53" i="6"/>
  <c r="AM53" i="6"/>
  <c r="AN53" i="6"/>
  <c r="V54" i="6"/>
  <c r="W54" i="6"/>
  <c r="AC54" i="6"/>
  <c r="AD54" i="6"/>
  <c r="AE54" i="6"/>
  <c r="X54" i="6" s="1"/>
  <c r="AF54" i="6"/>
  <c r="Y54" i="6" s="1"/>
  <c r="AG54" i="6"/>
  <c r="Z54" i="6" s="1"/>
  <c r="AH54" i="6"/>
  <c r="AA54" i="6" s="1"/>
  <c r="AI54" i="6"/>
  <c r="AB54" i="6" s="1"/>
  <c r="AJ54" i="6"/>
  <c r="AK54" i="6"/>
  <c r="AL54" i="6"/>
  <c r="AM54" i="6"/>
  <c r="AN54" i="6"/>
  <c r="V55" i="6"/>
  <c r="W55" i="6"/>
  <c r="AC55" i="6"/>
  <c r="AD55" i="6"/>
  <c r="AE55" i="6"/>
  <c r="X55" i="6" s="1"/>
  <c r="AF55" i="6"/>
  <c r="Y55" i="6" s="1"/>
  <c r="AG55" i="6"/>
  <c r="Z55" i="6" s="1"/>
  <c r="AH55" i="6"/>
  <c r="AA55" i="6" s="1"/>
  <c r="AI55" i="6"/>
  <c r="AB55" i="6" s="1"/>
  <c r="AJ55" i="6"/>
  <c r="AK55" i="6"/>
  <c r="AL55" i="6"/>
  <c r="AM55" i="6"/>
  <c r="AN55" i="6"/>
  <c r="V56" i="6"/>
  <c r="W56" i="6"/>
  <c r="AC56" i="6"/>
  <c r="AD56" i="6"/>
  <c r="AE56" i="6"/>
  <c r="X56" i="6" s="1"/>
  <c r="AF56" i="6"/>
  <c r="Y56" i="6" s="1"/>
  <c r="AG56" i="6"/>
  <c r="Z56" i="6" s="1"/>
  <c r="AH56" i="6"/>
  <c r="AA56" i="6" s="1"/>
  <c r="AI56" i="6"/>
  <c r="AB56" i="6" s="1"/>
  <c r="AJ56" i="6"/>
  <c r="AK56" i="6"/>
  <c r="AL56" i="6"/>
  <c r="AM56" i="6"/>
  <c r="AN56" i="6"/>
  <c r="V57" i="6"/>
  <c r="W57" i="6"/>
  <c r="AC57" i="6"/>
  <c r="AD57" i="6"/>
  <c r="AE57" i="6"/>
  <c r="X57" i="6" s="1"/>
  <c r="AF57" i="6"/>
  <c r="Y57" i="6" s="1"/>
  <c r="AG57" i="6"/>
  <c r="Z57" i="6" s="1"/>
  <c r="AH57" i="6"/>
  <c r="AA57" i="6" s="1"/>
  <c r="AI57" i="6"/>
  <c r="AB57" i="6" s="1"/>
  <c r="AJ57" i="6"/>
  <c r="AK57" i="6"/>
  <c r="AL57" i="6"/>
  <c r="AM57" i="6"/>
  <c r="AN57" i="6"/>
  <c r="V58" i="6"/>
  <c r="W58" i="6"/>
  <c r="AC58" i="6"/>
  <c r="AD58" i="6"/>
  <c r="AE58" i="6"/>
  <c r="X58" i="6" s="1"/>
  <c r="AF58" i="6"/>
  <c r="Y58" i="6" s="1"/>
  <c r="AG58" i="6"/>
  <c r="Z58" i="6" s="1"/>
  <c r="AH58" i="6"/>
  <c r="AA58" i="6" s="1"/>
  <c r="AI58" i="6"/>
  <c r="AB58" i="6" s="1"/>
  <c r="AJ58" i="6"/>
  <c r="AK58" i="6"/>
  <c r="AL58" i="6"/>
  <c r="AM58" i="6"/>
  <c r="AN58" i="6"/>
  <c r="V59" i="6"/>
  <c r="W59" i="6"/>
  <c r="AC59" i="6"/>
  <c r="AD59" i="6"/>
  <c r="AE59" i="6"/>
  <c r="X59" i="6" s="1"/>
  <c r="AF59" i="6"/>
  <c r="Y59" i="6" s="1"/>
  <c r="AG59" i="6"/>
  <c r="Z59" i="6" s="1"/>
  <c r="AH59" i="6"/>
  <c r="AA59" i="6" s="1"/>
  <c r="AI59" i="6"/>
  <c r="AB59" i="6" s="1"/>
  <c r="AJ59" i="6"/>
  <c r="AK59" i="6"/>
  <c r="AL59" i="6"/>
  <c r="AM59" i="6"/>
  <c r="AN59" i="6"/>
  <c r="V60" i="6"/>
  <c r="W60" i="6"/>
  <c r="AC60" i="6"/>
  <c r="AD60" i="6"/>
  <c r="AE60" i="6"/>
  <c r="X60" i="6" s="1"/>
  <c r="AF60" i="6"/>
  <c r="Y60" i="6" s="1"/>
  <c r="AG60" i="6"/>
  <c r="Z60" i="6" s="1"/>
  <c r="AH60" i="6"/>
  <c r="AA60" i="6" s="1"/>
  <c r="AI60" i="6"/>
  <c r="AB60" i="6" s="1"/>
  <c r="AJ60" i="6"/>
  <c r="AK60" i="6"/>
  <c r="AL60" i="6"/>
  <c r="AM60" i="6"/>
  <c r="AN60" i="6"/>
  <c r="V61" i="6"/>
  <c r="W61" i="6"/>
  <c r="AC61" i="6"/>
  <c r="AD61" i="6"/>
  <c r="AE61" i="6"/>
  <c r="X61" i="6" s="1"/>
  <c r="AF61" i="6"/>
  <c r="Y61" i="6" s="1"/>
  <c r="AG61" i="6"/>
  <c r="Z61" i="6" s="1"/>
  <c r="AH61" i="6"/>
  <c r="AA61" i="6" s="1"/>
  <c r="AI61" i="6"/>
  <c r="AB61" i="6" s="1"/>
  <c r="AJ61" i="6"/>
  <c r="AK61" i="6"/>
  <c r="AL61" i="6"/>
  <c r="AM61" i="6"/>
  <c r="AN61" i="6"/>
  <c r="V62" i="6"/>
  <c r="W62" i="6"/>
  <c r="AC62" i="6"/>
  <c r="AD62" i="6"/>
  <c r="AE62" i="6"/>
  <c r="X62" i="6" s="1"/>
  <c r="AF62" i="6"/>
  <c r="Y62" i="6" s="1"/>
  <c r="AG62" i="6"/>
  <c r="Z62" i="6" s="1"/>
  <c r="AH62" i="6"/>
  <c r="AA62" i="6" s="1"/>
  <c r="AI62" i="6"/>
  <c r="AB62" i="6" s="1"/>
  <c r="AJ62" i="6"/>
  <c r="AK62" i="6"/>
  <c r="AL62" i="6"/>
  <c r="AM62" i="6"/>
  <c r="AN62" i="6"/>
  <c r="V63" i="6"/>
  <c r="W63" i="6"/>
  <c r="AC63" i="6"/>
  <c r="AD63" i="6"/>
  <c r="AE63" i="6"/>
  <c r="X63" i="6" s="1"/>
  <c r="AF63" i="6"/>
  <c r="Y63" i="6" s="1"/>
  <c r="AG63" i="6"/>
  <c r="Z63" i="6" s="1"/>
  <c r="AH63" i="6"/>
  <c r="AA63" i="6" s="1"/>
  <c r="AI63" i="6"/>
  <c r="AB63" i="6" s="1"/>
  <c r="AJ63" i="6"/>
  <c r="AK63" i="6"/>
  <c r="AL63" i="6"/>
  <c r="AM63" i="6"/>
  <c r="AN63" i="6"/>
  <c r="V64" i="6"/>
  <c r="W64" i="6"/>
  <c r="AC64" i="6"/>
  <c r="AD64" i="6"/>
  <c r="AE64" i="6"/>
  <c r="X64" i="6" s="1"/>
  <c r="AF64" i="6"/>
  <c r="Y64" i="6" s="1"/>
  <c r="AG64" i="6"/>
  <c r="Z64" i="6" s="1"/>
  <c r="AH64" i="6"/>
  <c r="AA64" i="6" s="1"/>
  <c r="AI64" i="6"/>
  <c r="AB64" i="6" s="1"/>
  <c r="AJ64" i="6"/>
  <c r="AK64" i="6"/>
  <c r="AL64" i="6"/>
  <c r="AM64" i="6"/>
  <c r="AN64" i="6"/>
  <c r="V65" i="6"/>
  <c r="W65" i="6"/>
  <c r="AC65" i="6"/>
  <c r="AD65" i="6"/>
  <c r="AE65" i="6"/>
  <c r="X65" i="6" s="1"/>
  <c r="AF65" i="6"/>
  <c r="Y65" i="6" s="1"/>
  <c r="AG65" i="6"/>
  <c r="Z65" i="6" s="1"/>
  <c r="AH65" i="6"/>
  <c r="AA65" i="6" s="1"/>
  <c r="AI65" i="6"/>
  <c r="AB65" i="6" s="1"/>
  <c r="AJ65" i="6"/>
  <c r="AK65" i="6"/>
  <c r="AL65" i="6"/>
  <c r="AM65" i="6"/>
  <c r="AN65" i="6"/>
  <c r="V66" i="6"/>
  <c r="W66" i="6"/>
  <c r="AC66" i="6"/>
  <c r="AD66" i="6"/>
  <c r="AE66" i="6"/>
  <c r="X66" i="6" s="1"/>
  <c r="AF66" i="6"/>
  <c r="Y66" i="6" s="1"/>
  <c r="AG66" i="6"/>
  <c r="Z66" i="6" s="1"/>
  <c r="AH66" i="6"/>
  <c r="AA66" i="6" s="1"/>
  <c r="AI66" i="6"/>
  <c r="AB66" i="6" s="1"/>
  <c r="AJ66" i="6"/>
  <c r="AK66" i="6"/>
  <c r="AL66" i="6"/>
  <c r="AM66" i="6"/>
  <c r="AN66" i="6"/>
  <c r="V67" i="6"/>
  <c r="W67" i="6"/>
  <c r="AC67" i="6"/>
  <c r="AD67" i="6"/>
  <c r="AE67" i="6"/>
  <c r="X67" i="6" s="1"/>
  <c r="AF67" i="6"/>
  <c r="Y67" i="6" s="1"/>
  <c r="AG67" i="6"/>
  <c r="Z67" i="6" s="1"/>
  <c r="AH67" i="6"/>
  <c r="AA67" i="6" s="1"/>
  <c r="AI67" i="6"/>
  <c r="AB67" i="6" s="1"/>
  <c r="AJ67" i="6"/>
  <c r="AK67" i="6"/>
  <c r="AL67" i="6"/>
  <c r="AM67" i="6"/>
  <c r="AN67" i="6"/>
  <c r="V68" i="6"/>
  <c r="W68" i="6"/>
  <c r="AC68" i="6"/>
  <c r="AD68" i="6"/>
  <c r="AE68" i="6"/>
  <c r="X68" i="6" s="1"/>
  <c r="AF68" i="6"/>
  <c r="Y68" i="6" s="1"/>
  <c r="AG68" i="6"/>
  <c r="Z68" i="6" s="1"/>
  <c r="AH68" i="6"/>
  <c r="AA68" i="6" s="1"/>
  <c r="AI68" i="6"/>
  <c r="AB68" i="6" s="1"/>
  <c r="AJ68" i="6"/>
  <c r="AK68" i="6"/>
  <c r="AL68" i="6"/>
  <c r="AM68" i="6"/>
  <c r="AN68" i="6"/>
  <c r="V69" i="6"/>
  <c r="W69" i="6"/>
  <c r="AC69" i="6"/>
  <c r="AD69" i="6"/>
  <c r="AE69" i="6"/>
  <c r="X69" i="6" s="1"/>
  <c r="AF69" i="6"/>
  <c r="Y69" i="6" s="1"/>
  <c r="AG69" i="6"/>
  <c r="Z69" i="6" s="1"/>
  <c r="AH69" i="6"/>
  <c r="AA69" i="6" s="1"/>
  <c r="AI69" i="6"/>
  <c r="AB69" i="6" s="1"/>
  <c r="AJ69" i="6"/>
  <c r="AK69" i="6"/>
  <c r="AL69" i="6"/>
  <c r="AM69" i="6"/>
  <c r="AN69" i="6"/>
  <c r="V70" i="6"/>
  <c r="W70" i="6"/>
  <c r="AC70" i="6"/>
  <c r="AD70" i="6"/>
  <c r="AE70" i="6"/>
  <c r="X70" i="6" s="1"/>
  <c r="AF70" i="6"/>
  <c r="Y70" i="6" s="1"/>
  <c r="AG70" i="6"/>
  <c r="Z70" i="6" s="1"/>
  <c r="AH70" i="6"/>
  <c r="AA70" i="6" s="1"/>
  <c r="AI70" i="6"/>
  <c r="AB70" i="6" s="1"/>
  <c r="AJ70" i="6"/>
  <c r="AK70" i="6"/>
  <c r="AL70" i="6"/>
  <c r="AM70" i="6"/>
  <c r="AN70" i="6"/>
  <c r="V71" i="6"/>
  <c r="W71" i="6"/>
  <c r="AC71" i="6"/>
  <c r="AD71" i="6"/>
  <c r="AE71" i="6"/>
  <c r="X71" i="6" s="1"/>
  <c r="AF71" i="6"/>
  <c r="Y71" i="6" s="1"/>
  <c r="AG71" i="6"/>
  <c r="Z71" i="6" s="1"/>
  <c r="AH71" i="6"/>
  <c r="AA71" i="6" s="1"/>
  <c r="AI71" i="6"/>
  <c r="AB71" i="6" s="1"/>
  <c r="AJ71" i="6"/>
  <c r="AK71" i="6"/>
  <c r="AL71" i="6"/>
  <c r="AM71" i="6"/>
  <c r="AN71" i="6"/>
  <c r="V72" i="6"/>
  <c r="W72" i="6"/>
  <c r="AC72" i="6"/>
  <c r="AD72" i="6"/>
  <c r="AE72" i="6"/>
  <c r="X72" i="6" s="1"/>
  <c r="AF72" i="6"/>
  <c r="Y72" i="6" s="1"/>
  <c r="AG72" i="6"/>
  <c r="Z72" i="6" s="1"/>
  <c r="AH72" i="6"/>
  <c r="AA72" i="6" s="1"/>
  <c r="AI72" i="6"/>
  <c r="AB72" i="6" s="1"/>
  <c r="AJ72" i="6"/>
  <c r="AK72" i="6"/>
  <c r="AL72" i="6"/>
  <c r="AM72" i="6"/>
  <c r="AN72" i="6"/>
  <c r="V73" i="6"/>
  <c r="W73" i="6"/>
  <c r="AC73" i="6"/>
  <c r="AD73" i="6"/>
  <c r="AE73" i="6"/>
  <c r="X73" i="6" s="1"/>
  <c r="AF73" i="6"/>
  <c r="Y73" i="6" s="1"/>
  <c r="AG73" i="6"/>
  <c r="Z73" i="6" s="1"/>
  <c r="AH73" i="6"/>
  <c r="AA73" i="6" s="1"/>
  <c r="AI73" i="6"/>
  <c r="AB73" i="6" s="1"/>
  <c r="AJ73" i="6"/>
  <c r="AK73" i="6"/>
  <c r="AL73" i="6"/>
  <c r="AM73" i="6"/>
  <c r="AN73" i="6"/>
  <c r="V74" i="6"/>
  <c r="W74" i="6"/>
  <c r="AC74" i="6"/>
  <c r="AD74" i="6"/>
  <c r="AE74" i="6"/>
  <c r="X74" i="6" s="1"/>
  <c r="AF74" i="6"/>
  <c r="Y74" i="6" s="1"/>
  <c r="AG74" i="6"/>
  <c r="Z74" i="6" s="1"/>
  <c r="AH74" i="6"/>
  <c r="AA74" i="6" s="1"/>
  <c r="AI74" i="6"/>
  <c r="AB74" i="6" s="1"/>
  <c r="AJ74" i="6"/>
  <c r="AK74" i="6"/>
  <c r="AL74" i="6"/>
  <c r="AM74" i="6"/>
  <c r="AN74" i="6"/>
  <c r="V75" i="6"/>
  <c r="W75" i="6"/>
  <c r="AC75" i="6"/>
  <c r="AD75" i="6"/>
  <c r="AE75" i="6"/>
  <c r="X75" i="6" s="1"/>
  <c r="AF75" i="6"/>
  <c r="Y75" i="6" s="1"/>
  <c r="AG75" i="6"/>
  <c r="Z75" i="6" s="1"/>
  <c r="AH75" i="6"/>
  <c r="AA75" i="6" s="1"/>
  <c r="AI75" i="6"/>
  <c r="AB75" i="6" s="1"/>
  <c r="AJ75" i="6"/>
  <c r="AK75" i="6"/>
  <c r="AL75" i="6"/>
  <c r="AM75" i="6"/>
  <c r="AN75" i="6"/>
  <c r="V76" i="6"/>
  <c r="W76" i="6"/>
  <c r="AC76" i="6"/>
  <c r="AD76" i="6"/>
  <c r="AE76" i="6"/>
  <c r="X76" i="6" s="1"/>
  <c r="AF76" i="6"/>
  <c r="Y76" i="6" s="1"/>
  <c r="AG76" i="6"/>
  <c r="Z76" i="6" s="1"/>
  <c r="AH76" i="6"/>
  <c r="AA76" i="6" s="1"/>
  <c r="AI76" i="6"/>
  <c r="AB76" i="6" s="1"/>
  <c r="AJ76" i="6"/>
  <c r="AK76" i="6"/>
  <c r="AL76" i="6"/>
  <c r="AM76" i="6"/>
  <c r="AN76" i="6"/>
  <c r="V77" i="6"/>
  <c r="W77" i="6"/>
  <c r="AC77" i="6"/>
  <c r="AD77" i="6"/>
  <c r="AE77" i="6"/>
  <c r="X77" i="6" s="1"/>
  <c r="AF77" i="6"/>
  <c r="Y77" i="6" s="1"/>
  <c r="AG77" i="6"/>
  <c r="Z77" i="6" s="1"/>
  <c r="AH77" i="6"/>
  <c r="AA77" i="6" s="1"/>
  <c r="AI77" i="6"/>
  <c r="AB77" i="6" s="1"/>
  <c r="AJ77" i="6"/>
  <c r="AK77" i="6"/>
  <c r="AL77" i="6"/>
  <c r="AM77" i="6"/>
  <c r="AN77" i="6"/>
  <c r="V78" i="6"/>
  <c r="W78" i="6"/>
  <c r="AC78" i="6"/>
  <c r="AD78" i="6"/>
  <c r="AE78" i="6"/>
  <c r="X78" i="6" s="1"/>
  <c r="AF78" i="6"/>
  <c r="Y78" i="6" s="1"/>
  <c r="AG78" i="6"/>
  <c r="Z78" i="6" s="1"/>
  <c r="AH78" i="6"/>
  <c r="AA78" i="6" s="1"/>
  <c r="AI78" i="6"/>
  <c r="AB78" i="6" s="1"/>
  <c r="AJ78" i="6"/>
  <c r="AK78" i="6"/>
  <c r="AL78" i="6"/>
  <c r="AM78" i="6"/>
  <c r="AN78" i="6"/>
  <c r="V79" i="6"/>
  <c r="W79" i="6"/>
  <c r="AC79" i="6"/>
  <c r="AD79" i="6"/>
  <c r="AE79" i="6"/>
  <c r="X79" i="6" s="1"/>
  <c r="AF79" i="6"/>
  <c r="Y79" i="6" s="1"/>
  <c r="AG79" i="6"/>
  <c r="Z79" i="6" s="1"/>
  <c r="AH79" i="6"/>
  <c r="AA79" i="6" s="1"/>
  <c r="AI79" i="6"/>
  <c r="AB79" i="6" s="1"/>
  <c r="AJ79" i="6"/>
  <c r="AK79" i="6"/>
  <c r="AL79" i="6"/>
  <c r="AM79" i="6"/>
  <c r="AN79" i="6"/>
  <c r="V80" i="6"/>
  <c r="W80" i="6"/>
  <c r="AC80" i="6"/>
  <c r="AD80" i="6"/>
  <c r="AE80" i="6"/>
  <c r="X80" i="6" s="1"/>
  <c r="AF80" i="6"/>
  <c r="Y80" i="6" s="1"/>
  <c r="AG80" i="6"/>
  <c r="Z80" i="6" s="1"/>
  <c r="AH80" i="6"/>
  <c r="AA80" i="6" s="1"/>
  <c r="AI80" i="6"/>
  <c r="AB80" i="6" s="1"/>
  <c r="AJ80" i="6"/>
  <c r="AK80" i="6"/>
  <c r="AL80" i="6"/>
  <c r="AM80" i="6"/>
  <c r="AN80" i="6"/>
  <c r="V81" i="6"/>
  <c r="W81" i="6"/>
  <c r="AC81" i="6"/>
  <c r="AD81" i="6"/>
  <c r="AE81" i="6"/>
  <c r="X81" i="6" s="1"/>
  <c r="AF81" i="6"/>
  <c r="Y81" i="6" s="1"/>
  <c r="AG81" i="6"/>
  <c r="Z81" i="6" s="1"/>
  <c r="AH81" i="6"/>
  <c r="AA81" i="6" s="1"/>
  <c r="AI81" i="6"/>
  <c r="AB81" i="6" s="1"/>
  <c r="AJ81" i="6"/>
  <c r="AK81" i="6"/>
  <c r="AL81" i="6"/>
  <c r="AM81" i="6"/>
  <c r="AN81" i="6"/>
  <c r="V82" i="6"/>
  <c r="W82" i="6"/>
  <c r="AC82" i="6"/>
  <c r="AD82" i="6"/>
  <c r="AE82" i="6"/>
  <c r="X82" i="6" s="1"/>
  <c r="AF82" i="6"/>
  <c r="Y82" i="6" s="1"/>
  <c r="AG82" i="6"/>
  <c r="Z82" i="6" s="1"/>
  <c r="AH82" i="6"/>
  <c r="AA82" i="6" s="1"/>
  <c r="AI82" i="6"/>
  <c r="AB82" i="6" s="1"/>
  <c r="AJ82" i="6"/>
  <c r="AK82" i="6"/>
  <c r="AL82" i="6"/>
  <c r="AM82" i="6"/>
  <c r="AN82" i="6"/>
  <c r="V83" i="6"/>
  <c r="W83" i="6"/>
  <c r="AC83" i="6"/>
  <c r="AD83" i="6"/>
  <c r="AE83" i="6"/>
  <c r="X83" i="6" s="1"/>
  <c r="AF83" i="6"/>
  <c r="Y83" i="6" s="1"/>
  <c r="AG83" i="6"/>
  <c r="Z83" i="6" s="1"/>
  <c r="AH83" i="6"/>
  <c r="AA83" i="6" s="1"/>
  <c r="AI83" i="6"/>
  <c r="AB83" i="6" s="1"/>
  <c r="AJ83" i="6"/>
  <c r="AK83" i="6"/>
  <c r="AL83" i="6"/>
  <c r="AM83" i="6"/>
  <c r="AN83" i="6"/>
  <c r="V84" i="6"/>
  <c r="W84" i="6"/>
  <c r="AC84" i="6"/>
  <c r="AD84" i="6"/>
  <c r="AE84" i="6"/>
  <c r="X84" i="6" s="1"/>
  <c r="AF84" i="6"/>
  <c r="Y84" i="6" s="1"/>
  <c r="AG84" i="6"/>
  <c r="Z84" i="6" s="1"/>
  <c r="AH84" i="6"/>
  <c r="AA84" i="6" s="1"/>
  <c r="AI84" i="6"/>
  <c r="AB84" i="6" s="1"/>
  <c r="AJ84" i="6"/>
  <c r="AK84" i="6"/>
  <c r="AL84" i="6"/>
  <c r="AM84" i="6"/>
  <c r="AN84" i="6"/>
  <c r="V85" i="6"/>
  <c r="W85" i="6"/>
  <c r="AC85" i="6"/>
  <c r="AD85" i="6"/>
  <c r="AE85" i="6"/>
  <c r="X85" i="6" s="1"/>
  <c r="AF85" i="6"/>
  <c r="Y85" i="6" s="1"/>
  <c r="AG85" i="6"/>
  <c r="Z85" i="6" s="1"/>
  <c r="AH85" i="6"/>
  <c r="AA85" i="6" s="1"/>
  <c r="AI85" i="6"/>
  <c r="AB85" i="6" s="1"/>
  <c r="AJ85" i="6"/>
  <c r="AK85" i="6"/>
  <c r="AL85" i="6"/>
  <c r="AM85" i="6"/>
  <c r="AN85" i="6"/>
  <c r="V86" i="6"/>
  <c r="W86" i="6"/>
  <c r="AC86" i="6"/>
  <c r="AD86" i="6"/>
  <c r="AE86" i="6"/>
  <c r="X86" i="6" s="1"/>
  <c r="AF86" i="6"/>
  <c r="Y86" i="6" s="1"/>
  <c r="AG86" i="6"/>
  <c r="Z86" i="6" s="1"/>
  <c r="AH86" i="6"/>
  <c r="AA86" i="6" s="1"/>
  <c r="AI86" i="6"/>
  <c r="AB86" i="6" s="1"/>
  <c r="AJ86" i="6"/>
  <c r="AK86" i="6"/>
  <c r="AL86" i="6"/>
  <c r="AM86" i="6"/>
  <c r="AN86" i="6"/>
  <c r="V87" i="6"/>
  <c r="W87" i="6"/>
  <c r="AC87" i="6"/>
  <c r="AD87" i="6"/>
  <c r="AE87" i="6"/>
  <c r="X87" i="6" s="1"/>
  <c r="AF87" i="6"/>
  <c r="Y87" i="6" s="1"/>
  <c r="AG87" i="6"/>
  <c r="Z87" i="6" s="1"/>
  <c r="AH87" i="6"/>
  <c r="AA87" i="6" s="1"/>
  <c r="AI87" i="6"/>
  <c r="AB87" i="6" s="1"/>
  <c r="AJ87" i="6"/>
  <c r="AK87" i="6"/>
  <c r="AL87" i="6"/>
  <c r="AM87" i="6"/>
  <c r="AN87" i="6"/>
  <c r="V88" i="6"/>
  <c r="W88" i="6"/>
  <c r="AC88" i="6"/>
  <c r="AD88" i="6"/>
  <c r="AE88" i="6"/>
  <c r="X88" i="6" s="1"/>
  <c r="AF88" i="6"/>
  <c r="Y88" i="6" s="1"/>
  <c r="AG88" i="6"/>
  <c r="Z88" i="6" s="1"/>
  <c r="AH88" i="6"/>
  <c r="AA88" i="6" s="1"/>
  <c r="AI88" i="6"/>
  <c r="AB88" i="6" s="1"/>
  <c r="AJ88" i="6"/>
  <c r="AK88" i="6"/>
  <c r="AL88" i="6"/>
  <c r="AM88" i="6"/>
  <c r="AN88" i="6"/>
  <c r="V89" i="6"/>
  <c r="W89" i="6"/>
  <c r="AC89" i="6"/>
  <c r="AD89" i="6"/>
  <c r="AE89" i="6"/>
  <c r="X89" i="6" s="1"/>
  <c r="AF89" i="6"/>
  <c r="Y89" i="6" s="1"/>
  <c r="AG89" i="6"/>
  <c r="Z89" i="6" s="1"/>
  <c r="AH89" i="6"/>
  <c r="AA89" i="6" s="1"/>
  <c r="AI89" i="6"/>
  <c r="AB89" i="6" s="1"/>
  <c r="AJ89" i="6"/>
  <c r="AK89" i="6"/>
  <c r="AL89" i="6"/>
  <c r="AM89" i="6"/>
  <c r="AN89" i="6"/>
  <c r="V90" i="6"/>
  <c r="W90" i="6"/>
  <c r="AC90" i="6"/>
  <c r="AD90" i="6"/>
  <c r="AE90" i="6"/>
  <c r="X90" i="6" s="1"/>
  <c r="AF90" i="6"/>
  <c r="Y90" i="6" s="1"/>
  <c r="AG90" i="6"/>
  <c r="Z90" i="6" s="1"/>
  <c r="AH90" i="6"/>
  <c r="AA90" i="6" s="1"/>
  <c r="AI90" i="6"/>
  <c r="AB90" i="6" s="1"/>
  <c r="AJ90" i="6"/>
  <c r="AK90" i="6"/>
  <c r="AL90" i="6"/>
  <c r="AM90" i="6"/>
  <c r="AN90" i="6"/>
  <c r="V91" i="6"/>
  <c r="W91" i="6"/>
  <c r="AC91" i="6"/>
  <c r="AD91" i="6"/>
  <c r="AE91" i="6"/>
  <c r="X91" i="6" s="1"/>
  <c r="AF91" i="6"/>
  <c r="Y91" i="6" s="1"/>
  <c r="AG91" i="6"/>
  <c r="Z91" i="6" s="1"/>
  <c r="AH91" i="6"/>
  <c r="AA91" i="6" s="1"/>
  <c r="AI91" i="6"/>
  <c r="AB91" i="6" s="1"/>
  <c r="AJ91" i="6"/>
  <c r="AK91" i="6"/>
  <c r="AL91" i="6"/>
  <c r="AM91" i="6"/>
  <c r="AN91" i="6"/>
  <c r="V92" i="6"/>
  <c r="W92" i="6"/>
  <c r="AC92" i="6"/>
  <c r="AD92" i="6"/>
  <c r="AE92" i="6"/>
  <c r="X92" i="6" s="1"/>
  <c r="AF92" i="6"/>
  <c r="Y92" i="6" s="1"/>
  <c r="AG92" i="6"/>
  <c r="Z92" i="6" s="1"/>
  <c r="AH92" i="6"/>
  <c r="AA92" i="6" s="1"/>
  <c r="AI92" i="6"/>
  <c r="AB92" i="6" s="1"/>
  <c r="AJ92" i="6"/>
  <c r="AK92" i="6"/>
  <c r="AL92" i="6"/>
  <c r="AM92" i="6"/>
  <c r="AN92" i="6"/>
  <c r="V93" i="6"/>
  <c r="W93" i="6"/>
  <c r="AC93" i="6"/>
  <c r="AD93" i="6"/>
  <c r="AE93" i="6"/>
  <c r="X93" i="6" s="1"/>
  <c r="AF93" i="6"/>
  <c r="Y93" i="6" s="1"/>
  <c r="AG93" i="6"/>
  <c r="Z93" i="6" s="1"/>
  <c r="AH93" i="6"/>
  <c r="AA93" i="6" s="1"/>
  <c r="AI93" i="6"/>
  <c r="AB93" i="6" s="1"/>
  <c r="AJ93" i="6"/>
  <c r="AK93" i="6"/>
  <c r="AL93" i="6"/>
  <c r="AM93" i="6"/>
  <c r="AN93" i="6"/>
  <c r="V94" i="6"/>
  <c r="W94" i="6"/>
  <c r="AC94" i="6"/>
  <c r="AD94" i="6"/>
  <c r="AE94" i="6"/>
  <c r="X94" i="6" s="1"/>
  <c r="AF94" i="6"/>
  <c r="Y94" i="6" s="1"/>
  <c r="AG94" i="6"/>
  <c r="Z94" i="6" s="1"/>
  <c r="AH94" i="6"/>
  <c r="AA94" i="6" s="1"/>
  <c r="AI94" i="6"/>
  <c r="AB94" i="6" s="1"/>
  <c r="AJ94" i="6"/>
  <c r="AK94" i="6"/>
  <c r="AL94" i="6"/>
  <c r="AM94" i="6"/>
  <c r="AN94" i="6"/>
  <c r="V95" i="6"/>
  <c r="W95" i="6"/>
  <c r="AC95" i="6"/>
  <c r="AD95" i="6"/>
  <c r="AE95" i="6"/>
  <c r="X95" i="6" s="1"/>
  <c r="AF95" i="6"/>
  <c r="Y95" i="6" s="1"/>
  <c r="AG95" i="6"/>
  <c r="Z95" i="6" s="1"/>
  <c r="AH95" i="6"/>
  <c r="AA95" i="6" s="1"/>
  <c r="AI95" i="6"/>
  <c r="AB95" i="6" s="1"/>
  <c r="AJ95" i="6"/>
  <c r="AK95" i="6"/>
  <c r="AL95" i="6"/>
  <c r="AM95" i="6"/>
  <c r="AN95" i="6"/>
  <c r="V96" i="6"/>
  <c r="W96" i="6"/>
  <c r="AC96" i="6"/>
  <c r="AD96" i="6"/>
  <c r="AE96" i="6"/>
  <c r="X96" i="6" s="1"/>
  <c r="AF96" i="6"/>
  <c r="Y96" i="6" s="1"/>
  <c r="AG96" i="6"/>
  <c r="Z96" i="6" s="1"/>
  <c r="AH96" i="6"/>
  <c r="AA96" i="6" s="1"/>
  <c r="AI96" i="6"/>
  <c r="AB96" i="6" s="1"/>
  <c r="AJ96" i="6"/>
  <c r="AK96" i="6"/>
  <c r="AL96" i="6"/>
  <c r="AM96" i="6"/>
  <c r="AN96" i="6"/>
  <c r="V97" i="6"/>
  <c r="W97" i="6"/>
  <c r="AC97" i="6"/>
  <c r="AD97" i="6"/>
  <c r="AE97" i="6"/>
  <c r="X97" i="6" s="1"/>
  <c r="AF97" i="6"/>
  <c r="Y97" i="6" s="1"/>
  <c r="AG97" i="6"/>
  <c r="Z97" i="6" s="1"/>
  <c r="AH97" i="6"/>
  <c r="AA97" i="6" s="1"/>
  <c r="AI97" i="6"/>
  <c r="AB97" i="6" s="1"/>
  <c r="AJ97" i="6"/>
  <c r="AK97" i="6"/>
  <c r="AL97" i="6"/>
  <c r="AM97" i="6"/>
  <c r="AN97" i="6"/>
  <c r="V98" i="6"/>
  <c r="W98" i="6"/>
  <c r="AC98" i="6"/>
  <c r="AD98" i="6"/>
  <c r="AE98" i="6"/>
  <c r="X98" i="6" s="1"/>
  <c r="AF98" i="6"/>
  <c r="Y98" i="6" s="1"/>
  <c r="AG98" i="6"/>
  <c r="Z98" i="6" s="1"/>
  <c r="AH98" i="6"/>
  <c r="AA98" i="6" s="1"/>
  <c r="AI98" i="6"/>
  <c r="AB98" i="6" s="1"/>
  <c r="AJ98" i="6"/>
  <c r="AK98" i="6"/>
  <c r="AL98" i="6"/>
  <c r="AM98" i="6"/>
  <c r="AN98" i="6"/>
  <c r="V99" i="6"/>
  <c r="W99" i="6"/>
  <c r="AC99" i="6"/>
  <c r="AD99" i="6"/>
  <c r="AE99" i="6"/>
  <c r="X99" i="6" s="1"/>
  <c r="AF99" i="6"/>
  <c r="Y99" i="6" s="1"/>
  <c r="AG99" i="6"/>
  <c r="Z99" i="6" s="1"/>
  <c r="AH99" i="6"/>
  <c r="AA99" i="6" s="1"/>
  <c r="AI99" i="6"/>
  <c r="AB99" i="6" s="1"/>
  <c r="AJ99" i="6"/>
  <c r="AK99" i="6"/>
  <c r="AL99" i="6"/>
  <c r="AM99" i="6"/>
  <c r="AN99" i="6"/>
  <c r="V100" i="6"/>
  <c r="W100" i="6"/>
  <c r="AC100" i="6"/>
  <c r="AD100" i="6"/>
  <c r="AE100" i="6"/>
  <c r="X100" i="6" s="1"/>
  <c r="AF100" i="6"/>
  <c r="Y100" i="6" s="1"/>
  <c r="AG100" i="6"/>
  <c r="Z100" i="6" s="1"/>
  <c r="AH100" i="6"/>
  <c r="AA100" i="6" s="1"/>
  <c r="AI100" i="6"/>
  <c r="AB100" i="6" s="1"/>
  <c r="AJ100" i="6"/>
  <c r="AK100" i="6"/>
  <c r="AL100" i="6"/>
  <c r="AM100" i="6"/>
  <c r="AN100" i="6"/>
  <c r="V101" i="6"/>
  <c r="W101" i="6"/>
  <c r="AC101" i="6"/>
  <c r="AD101" i="6"/>
  <c r="AE101" i="6"/>
  <c r="X101" i="6" s="1"/>
  <c r="AF101" i="6"/>
  <c r="Y101" i="6" s="1"/>
  <c r="AG101" i="6"/>
  <c r="Z101" i="6" s="1"/>
  <c r="AH101" i="6"/>
  <c r="AA101" i="6" s="1"/>
  <c r="AI101" i="6"/>
  <c r="AB101" i="6" s="1"/>
  <c r="AJ101" i="6"/>
  <c r="AK101" i="6"/>
  <c r="AL101" i="6"/>
  <c r="AM101" i="6"/>
  <c r="AN101" i="6"/>
  <c r="V102" i="6"/>
  <c r="W102" i="6"/>
  <c r="AC102" i="6"/>
  <c r="AD102" i="6"/>
  <c r="AE102" i="6"/>
  <c r="X102" i="6" s="1"/>
  <c r="AF102" i="6"/>
  <c r="Y102" i="6" s="1"/>
  <c r="AG102" i="6"/>
  <c r="Z102" i="6" s="1"/>
  <c r="AH102" i="6"/>
  <c r="AA102" i="6" s="1"/>
  <c r="AI102" i="6"/>
  <c r="AB102" i="6" s="1"/>
  <c r="AJ102" i="6"/>
  <c r="AK102" i="6"/>
  <c r="AL102" i="6"/>
  <c r="AM102" i="6"/>
  <c r="AN102" i="6"/>
  <c r="V103" i="6"/>
  <c r="W103" i="6"/>
  <c r="AC103" i="6"/>
  <c r="AD103" i="6"/>
  <c r="AE103" i="6"/>
  <c r="X103" i="6" s="1"/>
  <c r="AF103" i="6"/>
  <c r="Y103" i="6" s="1"/>
  <c r="AG103" i="6"/>
  <c r="Z103" i="6" s="1"/>
  <c r="AH103" i="6"/>
  <c r="AA103" i="6" s="1"/>
  <c r="AI103" i="6"/>
  <c r="AB103" i="6" s="1"/>
  <c r="AJ103" i="6"/>
  <c r="AK103" i="6"/>
  <c r="AL103" i="6"/>
  <c r="AM103" i="6"/>
  <c r="AN103" i="6"/>
  <c r="V104" i="6"/>
  <c r="W104" i="6"/>
  <c r="AC104" i="6"/>
  <c r="AD104" i="6"/>
  <c r="AE104" i="6"/>
  <c r="X104" i="6" s="1"/>
  <c r="AF104" i="6"/>
  <c r="Y104" i="6" s="1"/>
  <c r="AG104" i="6"/>
  <c r="Z104" i="6" s="1"/>
  <c r="AH104" i="6"/>
  <c r="AA104" i="6" s="1"/>
  <c r="AI104" i="6"/>
  <c r="AB104" i="6" s="1"/>
  <c r="AJ104" i="6"/>
  <c r="AK104" i="6"/>
  <c r="AL104" i="6"/>
  <c r="AM104" i="6"/>
  <c r="AN104" i="6"/>
  <c r="V105" i="6"/>
  <c r="W105" i="6"/>
  <c r="AC105" i="6"/>
  <c r="AD105" i="6"/>
  <c r="AE105" i="6"/>
  <c r="X105" i="6" s="1"/>
  <c r="AF105" i="6"/>
  <c r="Y105" i="6" s="1"/>
  <c r="AG105" i="6"/>
  <c r="Z105" i="6" s="1"/>
  <c r="AH105" i="6"/>
  <c r="AA105" i="6" s="1"/>
  <c r="AI105" i="6"/>
  <c r="AB105" i="6" s="1"/>
  <c r="AJ105" i="6"/>
  <c r="AK105" i="6"/>
  <c r="AL105" i="6"/>
  <c r="AM105" i="6"/>
  <c r="AN105" i="6"/>
  <c r="V106" i="6"/>
  <c r="W106" i="6"/>
  <c r="AC106" i="6"/>
  <c r="AD106" i="6"/>
  <c r="AE106" i="6"/>
  <c r="X106" i="6" s="1"/>
  <c r="AF106" i="6"/>
  <c r="Y106" i="6" s="1"/>
  <c r="AG106" i="6"/>
  <c r="Z106" i="6" s="1"/>
  <c r="AH106" i="6"/>
  <c r="AA106" i="6" s="1"/>
  <c r="AI106" i="6"/>
  <c r="AB106" i="6" s="1"/>
  <c r="AJ106" i="6"/>
  <c r="AK106" i="6"/>
  <c r="AL106" i="6"/>
  <c r="AM106" i="6"/>
  <c r="AN106" i="6"/>
  <c r="V107" i="6"/>
  <c r="W107" i="6"/>
  <c r="AC107" i="6"/>
  <c r="AD107" i="6"/>
  <c r="AE107" i="6"/>
  <c r="X107" i="6" s="1"/>
  <c r="AF107" i="6"/>
  <c r="Y107" i="6" s="1"/>
  <c r="AG107" i="6"/>
  <c r="Z107" i="6" s="1"/>
  <c r="AH107" i="6"/>
  <c r="AA107" i="6" s="1"/>
  <c r="AI107" i="6"/>
  <c r="AB107" i="6" s="1"/>
  <c r="AJ107" i="6"/>
  <c r="AK107" i="6"/>
  <c r="AL107" i="6"/>
  <c r="AM107" i="6"/>
  <c r="AN107" i="6"/>
  <c r="V108" i="6"/>
  <c r="W108" i="6"/>
  <c r="AC108" i="6"/>
  <c r="AD108" i="6"/>
  <c r="AE108" i="6"/>
  <c r="X108" i="6" s="1"/>
  <c r="AF108" i="6"/>
  <c r="Y108" i="6" s="1"/>
  <c r="AG108" i="6"/>
  <c r="Z108" i="6" s="1"/>
  <c r="AH108" i="6"/>
  <c r="AA108" i="6" s="1"/>
  <c r="AI108" i="6"/>
  <c r="AB108" i="6" s="1"/>
  <c r="AJ108" i="6"/>
  <c r="AK108" i="6"/>
  <c r="AL108" i="6"/>
  <c r="AM108" i="6"/>
  <c r="AN108" i="6"/>
  <c r="V109" i="6"/>
  <c r="W109" i="6"/>
  <c r="AC109" i="6"/>
  <c r="AD109" i="6"/>
  <c r="AE109" i="6"/>
  <c r="X109" i="6" s="1"/>
  <c r="AF109" i="6"/>
  <c r="Y109" i="6" s="1"/>
  <c r="AG109" i="6"/>
  <c r="Z109" i="6" s="1"/>
  <c r="AH109" i="6"/>
  <c r="AA109" i="6" s="1"/>
  <c r="AI109" i="6"/>
  <c r="AB109" i="6" s="1"/>
  <c r="AJ109" i="6"/>
  <c r="AK109" i="6"/>
  <c r="AL109" i="6"/>
  <c r="AM109" i="6"/>
  <c r="AN109" i="6"/>
  <c r="V110" i="6"/>
  <c r="W110" i="6"/>
  <c r="AC110" i="6"/>
  <c r="AD110" i="6"/>
  <c r="AE110" i="6"/>
  <c r="X110" i="6" s="1"/>
  <c r="AF110" i="6"/>
  <c r="Y110" i="6" s="1"/>
  <c r="AG110" i="6"/>
  <c r="Z110" i="6" s="1"/>
  <c r="AH110" i="6"/>
  <c r="AA110" i="6" s="1"/>
  <c r="AI110" i="6"/>
  <c r="AB110" i="6" s="1"/>
  <c r="AJ110" i="6"/>
  <c r="AK110" i="6"/>
  <c r="AL110" i="6"/>
  <c r="AM110" i="6"/>
  <c r="AN110" i="6"/>
  <c r="V111" i="6"/>
  <c r="W111" i="6"/>
  <c r="AC111" i="6"/>
  <c r="AD111" i="6"/>
  <c r="AE111" i="6"/>
  <c r="X111" i="6" s="1"/>
  <c r="AF111" i="6"/>
  <c r="Y111" i="6" s="1"/>
  <c r="AG111" i="6"/>
  <c r="Z111" i="6" s="1"/>
  <c r="AH111" i="6"/>
  <c r="AA111" i="6" s="1"/>
  <c r="AI111" i="6"/>
  <c r="AB111" i="6" s="1"/>
  <c r="AJ111" i="6"/>
  <c r="AK111" i="6"/>
  <c r="AL111" i="6"/>
  <c r="AM111" i="6"/>
  <c r="AN111" i="6"/>
  <c r="V112" i="6"/>
  <c r="W112" i="6"/>
  <c r="AC112" i="6"/>
  <c r="AD112" i="6"/>
  <c r="AE112" i="6"/>
  <c r="X112" i="6" s="1"/>
  <c r="AF112" i="6"/>
  <c r="Y112" i="6" s="1"/>
  <c r="AG112" i="6"/>
  <c r="Z112" i="6" s="1"/>
  <c r="AH112" i="6"/>
  <c r="AA112" i="6" s="1"/>
  <c r="AI112" i="6"/>
  <c r="AB112" i="6" s="1"/>
  <c r="AJ112" i="6"/>
  <c r="AK112" i="6"/>
  <c r="AL112" i="6"/>
  <c r="AM112" i="6"/>
  <c r="AN112" i="6"/>
  <c r="V113" i="6"/>
  <c r="W113" i="6"/>
  <c r="AC113" i="6"/>
  <c r="AD113" i="6"/>
  <c r="AE113" i="6"/>
  <c r="X113" i="6" s="1"/>
  <c r="AF113" i="6"/>
  <c r="Y113" i="6" s="1"/>
  <c r="AG113" i="6"/>
  <c r="Z113" i="6" s="1"/>
  <c r="AH113" i="6"/>
  <c r="AA113" i="6" s="1"/>
  <c r="AI113" i="6"/>
  <c r="AB113" i="6" s="1"/>
  <c r="AJ113" i="6"/>
  <c r="AK113" i="6"/>
  <c r="AL113" i="6"/>
  <c r="AM113" i="6"/>
  <c r="AN113" i="6"/>
  <c r="V114" i="6"/>
  <c r="W114" i="6"/>
  <c r="AC114" i="6"/>
  <c r="AD114" i="6"/>
  <c r="AE114" i="6"/>
  <c r="X114" i="6" s="1"/>
  <c r="AF114" i="6"/>
  <c r="Y114" i="6" s="1"/>
  <c r="AG114" i="6"/>
  <c r="Z114" i="6" s="1"/>
  <c r="AH114" i="6"/>
  <c r="AA114" i="6" s="1"/>
  <c r="AI114" i="6"/>
  <c r="AB114" i="6" s="1"/>
  <c r="AJ114" i="6"/>
  <c r="AK114" i="6"/>
  <c r="AL114" i="6"/>
  <c r="AM114" i="6"/>
  <c r="AN114" i="6"/>
  <c r="V115" i="6"/>
  <c r="W115" i="6"/>
  <c r="AC115" i="6"/>
  <c r="AD115" i="6"/>
  <c r="AE115" i="6"/>
  <c r="X115" i="6" s="1"/>
  <c r="AF115" i="6"/>
  <c r="Y115" i="6" s="1"/>
  <c r="AG115" i="6"/>
  <c r="Z115" i="6" s="1"/>
  <c r="AH115" i="6"/>
  <c r="AA115" i="6" s="1"/>
  <c r="AI115" i="6"/>
  <c r="AB115" i="6" s="1"/>
  <c r="AJ115" i="6"/>
  <c r="AK115" i="6"/>
  <c r="AL115" i="6"/>
  <c r="AM115" i="6"/>
  <c r="AN115" i="6"/>
  <c r="V116" i="6"/>
  <c r="W116" i="6"/>
  <c r="AC116" i="6"/>
  <c r="AD116" i="6"/>
  <c r="AE116" i="6"/>
  <c r="X116" i="6" s="1"/>
  <c r="AF116" i="6"/>
  <c r="Y116" i="6" s="1"/>
  <c r="AG116" i="6"/>
  <c r="Z116" i="6" s="1"/>
  <c r="AH116" i="6"/>
  <c r="AA116" i="6" s="1"/>
  <c r="AI116" i="6"/>
  <c r="AB116" i="6" s="1"/>
  <c r="AJ116" i="6"/>
  <c r="AK116" i="6"/>
  <c r="AL116" i="6"/>
  <c r="AM116" i="6"/>
  <c r="AN116" i="6"/>
  <c r="V117" i="6"/>
  <c r="W117" i="6"/>
  <c r="AC117" i="6"/>
  <c r="AD117" i="6"/>
  <c r="AE117" i="6"/>
  <c r="X117" i="6" s="1"/>
  <c r="AF117" i="6"/>
  <c r="Y117" i="6" s="1"/>
  <c r="AG117" i="6"/>
  <c r="Z117" i="6" s="1"/>
  <c r="AH117" i="6"/>
  <c r="AA117" i="6" s="1"/>
  <c r="AI117" i="6"/>
  <c r="AB117" i="6" s="1"/>
  <c r="AJ117" i="6"/>
  <c r="AK117" i="6"/>
  <c r="AL117" i="6"/>
  <c r="AM117" i="6"/>
  <c r="AN117" i="6"/>
  <c r="V118" i="6"/>
  <c r="W118" i="6"/>
  <c r="AC118" i="6"/>
  <c r="AD118" i="6"/>
  <c r="AE118" i="6"/>
  <c r="X118" i="6" s="1"/>
  <c r="AF118" i="6"/>
  <c r="Y118" i="6" s="1"/>
  <c r="AG118" i="6"/>
  <c r="Z118" i="6" s="1"/>
  <c r="AH118" i="6"/>
  <c r="AA118" i="6" s="1"/>
  <c r="AI118" i="6"/>
  <c r="AB118" i="6" s="1"/>
  <c r="AJ118" i="6"/>
  <c r="AK118" i="6"/>
  <c r="AL118" i="6"/>
  <c r="AM118" i="6"/>
  <c r="AN118" i="6"/>
  <c r="V119" i="6"/>
  <c r="W119" i="6"/>
  <c r="AC119" i="6"/>
  <c r="AD119" i="6"/>
  <c r="AE119" i="6"/>
  <c r="X119" i="6" s="1"/>
  <c r="AF119" i="6"/>
  <c r="Y119" i="6" s="1"/>
  <c r="AG119" i="6"/>
  <c r="Z119" i="6" s="1"/>
  <c r="AH119" i="6"/>
  <c r="AA119" i="6" s="1"/>
  <c r="AI119" i="6"/>
  <c r="AB119" i="6" s="1"/>
  <c r="AJ119" i="6"/>
  <c r="AK119" i="6"/>
  <c r="AL119" i="6"/>
  <c r="AM119" i="6"/>
  <c r="AN119" i="6"/>
  <c r="V120" i="6"/>
  <c r="W120" i="6"/>
  <c r="AC120" i="6"/>
  <c r="AD120" i="6"/>
  <c r="AE120" i="6"/>
  <c r="X120" i="6" s="1"/>
  <c r="AF120" i="6"/>
  <c r="Y120" i="6" s="1"/>
  <c r="AG120" i="6"/>
  <c r="Z120" i="6" s="1"/>
  <c r="AH120" i="6"/>
  <c r="AA120" i="6" s="1"/>
  <c r="AI120" i="6"/>
  <c r="AB120" i="6" s="1"/>
  <c r="AJ120" i="6"/>
  <c r="AK120" i="6"/>
  <c r="AL120" i="6"/>
  <c r="AM120" i="6"/>
  <c r="AN120" i="6"/>
  <c r="V121" i="6"/>
  <c r="W121" i="6"/>
  <c r="AC121" i="6"/>
  <c r="AD121" i="6"/>
  <c r="AE121" i="6"/>
  <c r="X121" i="6" s="1"/>
  <c r="AF121" i="6"/>
  <c r="Y121" i="6" s="1"/>
  <c r="AG121" i="6"/>
  <c r="Z121" i="6" s="1"/>
  <c r="AH121" i="6"/>
  <c r="AA121" i="6" s="1"/>
  <c r="AI121" i="6"/>
  <c r="AB121" i="6" s="1"/>
  <c r="AJ121" i="6"/>
  <c r="AK121" i="6"/>
  <c r="AL121" i="6"/>
  <c r="AM121" i="6"/>
  <c r="AN121" i="6"/>
  <c r="V122" i="6"/>
  <c r="W122" i="6"/>
  <c r="AC122" i="6"/>
  <c r="AD122" i="6"/>
  <c r="AE122" i="6"/>
  <c r="X122" i="6" s="1"/>
  <c r="AF122" i="6"/>
  <c r="Y122" i="6" s="1"/>
  <c r="AG122" i="6"/>
  <c r="Z122" i="6" s="1"/>
  <c r="AH122" i="6"/>
  <c r="AA122" i="6" s="1"/>
  <c r="AI122" i="6"/>
  <c r="AB122" i="6" s="1"/>
  <c r="AJ122" i="6"/>
  <c r="AK122" i="6"/>
  <c r="AL122" i="6"/>
  <c r="AM122" i="6"/>
  <c r="AN122" i="6"/>
  <c r="V123" i="6"/>
  <c r="W123" i="6"/>
  <c r="AC123" i="6"/>
  <c r="AD123" i="6"/>
  <c r="AE123" i="6"/>
  <c r="X123" i="6" s="1"/>
  <c r="AF123" i="6"/>
  <c r="Y123" i="6" s="1"/>
  <c r="AG123" i="6"/>
  <c r="Z123" i="6" s="1"/>
  <c r="AH123" i="6"/>
  <c r="AA123" i="6" s="1"/>
  <c r="AI123" i="6"/>
  <c r="AB123" i="6" s="1"/>
  <c r="AJ123" i="6"/>
  <c r="AK123" i="6"/>
  <c r="AL123" i="6"/>
  <c r="AM123" i="6"/>
  <c r="AN123" i="6"/>
  <c r="V124" i="6"/>
  <c r="W124" i="6"/>
  <c r="AC124" i="6"/>
  <c r="AD124" i="6"/>
  <c r="AE124" i="6"/>
  <c r="X124" i="6" s="1"/>
  <c r="AF124" i="6"/>
  <c r="Y124" i="6" s="1"/>
  <c r="AG124" i="6"/>
  <c r="Z124" i="6" s="1"/>
  <c r="AH124" i="6"/>
  <c r="AA124" i="6" s="1"/>
  <c r="AI124" i="6"/>
  <c r="AB124" i="6" s="1"/>
  <c r="AJ124" i="6"/>
  <c r="AK124" i="6"/>
  <c r="AL124" i="6"/>
  <c r="AM124" i="6"/>
  <c r="AN124" i="6"/>
  <c r="V125" i="6"/>
  <c r="W125" i="6"/>
  <c r="AC125" i="6"/>
  <c r="AD125" i="6"/>
  <c r="AE125" i="6"/>
  <c r="X125" i="6" s="1"/>
  <c r="AF125" i="6"/>
  <c r="Y125" i="6" s="1"/>
  <c r="AG125" i="6"/>
  <c r="Z125" i="6" s="1"/>
  <c r="AH125" i="6"/>
  <c r="AA125" i="6" s="1"/>
  <c r="AI125" i="6"/>
  <c r="AB125" i="6" s="1"/>
  <c r="AJ125" i="6"/>
  <c r="AK125" i="6"/>
  <c r="AL125" i="6"/>
  <c r="AM125" i="6"/>
  <c r="AN125" i="6"/>
  <c r="V126" i="6"/>
  <c r="W126" i="6"/>
  <c r="AC126" i="6"/>
  <c r="AD126" i="6"/>
  <c r="AE126" i="6"/>
  <c r="X126" i="6" s="1"/>
  <c r="AF126" i="6"/>
  <c r="Y126" i="6" s="1"/>
  <c r="AG126" i="6"/>
  <c r="Z126" i="6" s="1"/>
  <c r="AH126" i="6"/>
  <c r="AA126" i="6" s="1"/>
  <c r="AI126" i="6"/>
  <c r="AB126" i="6" s="1"/>
  <c r="AJ126" i="6"/>
  <c r="AK126" i="6"/>
  <c r="AL126" i="6"/>
  <c r="AM126" i="6"/>
  <c r="AN126" i="6"/>
  <c r="V127" i="6"/>
  <c r="W127" i="6"/>
  <c r="AC127" i="6"/>
  <c r="AD127" i="6"/>
  <c r="AE127" i="6"/>
  <c r="X127" i="6" s="1"/>
  <c r="AF127" i="6"/>
  <c r="Y127" i="6" s="1"/>
  <c r="AG127" i="6"/>
  <c r="Z127" i="6" s="1"/>
  <c r="AH127" i="6"/>
  <c r="AA127" i="6" s="1"/>
  <c r="AI127" i="6"/>
  <c r="AB127" i="6" s="1"/>
  <c r="AJ127" i="6"/>
  <c r="AK127" i="6"/>
  <c r="AL127" i="6"/>
  <c r="AM127" i="6"/>
  <c r="AN127" i="6"/>
  <c r="V128" i="6"/>
  <c r="W128" i="6"/>
  <c r="AC128" i="6"/>
  <c r="AD128" i="6"/>
  <c r="AE128" i="6"/>
  <c r="X128" i="6" s="1"/>
  <c r="AF128" i="6"/>
  <c r="Y128" i="6" s="1"/>
  <c r="AG128" i="6"/>
  <c r="Z128" i="6" s="1"/>
  <c r="AH128" i="6"/>
  <c r="AA128" i="6" s="1"/>
  <c r="AI128" i="6"/>
  <c r="AB128" i="6" s="1"/>
  <c r="AJ128" i="6"/>
  <c r="AK128" i="6"/>
  <c r="AL128" i="6"/>
  <c r="AM128" i="6"/>
  <c r="AN128" i="6"/>
  <c r="V129" i="6"/>
  <c r="W129" i="6"/>
  <c r="AC129" i="6"/>
  <c r="AD129" i="6"/>
  <c r="AE129" i="6"/>
  <c r="X129" i="6" s="1"/>
  <c r="AF129" i="6"/>
  <c r="Y129" i="6" s="1"/>
  <c r="AG129" i="6"/>
  <c r="Z129" i="6" s="1"/>
  <c r="AH129" i="6"/>
  <c r="AA129" i="6" s="1"/>
  <c r="AI129" i="6"/>
  <c r="AB129" i="6" s="1"/>
  <c r="AJ129" i="6"/>
  <c r="AK129" i="6"/>
  <c r="AL129" i="6"/>
  <c r="AM129" i="6"/>
  <c r="AN129" i="6"/>
  <c r="V130" i="6"/>
  <c r="W130" i="6"/>
  <c r="AC130" i="6"/>
  <c r="AD130" i="6"/>
  <c r="AE130" i="6"/>
  <c r="X130" i="6" s="1"/>
  <c r="AF130" i="6"/>
  <c r="Y130" i="6" s="1"/>
  <c r="AG130" i="6"/>
  <c r="Z130" i="6" s="1"/>
  <c r="AH130" i="6"/>
  <c r="AA130" i="6" s="1"/>
  <c r="AI130" i="6"/>
  <c r="AB130" i="6" s="1"/>
  <c r="AJ130" i="6"/>
  <c r="AK130" i="6"/>
  <c r="AL130" i="6"/>
  <c r="AM130" i="6"/>
  <c r="AN130" i="6"/>
  <c r="V131" i="6"/>
  <c r="W131" i="6"/>
  <c r="AC131" i="6"/>
  <c r="AD131" i="6"/>
  <c r="AE131" i="6"/>
  <c r="X131" i="6" s="1"/>
  <c r="AF131" i="6"/>
  <c r="Y131" i="6" s="1"/>
  <c r="AG131" i="6"/>
  <c r="Z131" i="6" s="1"/>
  <c r="AH131" i="6"/>
  <c r="AA131" i="6" s="1"/>
  <c r="AI131" i="6"/>
  <c r="AB131" i="6" s="1"/>
  <c r="AJ131" i="6"/>
  <c r="AK131" i="6"/>
  <c r="AL131" i="6"/>
  <c r="AM131" i="6"/>
  <c r="AN131" i="6"/>
  <c r="V132" i="6"/>
  <c r="W132" i="6"/>
  <c r="AC132" i="6"/>
  <c r="AD132" i="6"/>
  <c r="AE132" i="6"/>
  <c r="X132" i="6" s="1"/>
  <c r="AF132" i="6"/>
  <c r="Y132" i="6" s="1"/>
  <c r="AG132" i="6"/>
  <c r="Z132" i="6" s="1"/>
  <c r="AH132" i="6"/>
  <c r="AA132" i="6" s="1"/>
  <c r="AI132" i="6"/>
  <c r="AB132" i="6" s="1"/>
  <c r="AJ132" i="6"/>
  <c r="AK132" i="6"/>
  <c r="AL132" i="6"/>
  <c r="AM132" i="6"/>
  <c r="AN132" i="6"/>
  <c r="V133" i="6"/>
  <c r="W133" i="6"/>
  <c r="AC133" i="6"/>
  <c r="AD133" i="6"/>
  <c r="AE133" i="6"/>
  <c r="X133" i="6" s="1"/>
  <c r="AF133" i="6"/>
  <c r="Y133" i="6" s="1"/>
  <c r="AG133" i="6"/>
  <c r="Z133" i="6" s="1"/>
  <c r="AH133" i="6"/>
  <c r="AA133" i="6" s="1"/>
  <c r="AI133" i="6"/>
  <c r="AB133" i="6" s="1"/>
  <c r="AJ133" i="6"/>
  <c r="AK133" i="6"/>
  <c r="AL133" i="6"/>
  <c r="AM133" i="6"/>
  <c r="AN133" i="6"/>
  <c r="V134" i="6"/>
  <c r="W134" i="6"/>
  <c r="AC134" i="6"/>
  <c r="AD134" i="6"/>
  <c r="AE134" i="6"/>
  <c r="X134" i="6" s="1"/>
  <c r="AF134" i="6"/>
  <c r="Y134" i="6" s="1"/>
  <c r="AG134" i="6"/>
  <c r="Z134" i="6" s="1"/>
  <c r="AH134" i="6"/>
  <c r="AA134" i="6" s="1"/>
  <c r="AI134" i="6"/>
  <c r="AB134" i="6" s="1"/>
  <c r="AJ134" i="6"/>
  <c r="AK134" i="6"/>
  <c r="AL134" i="6"/>
  <c r="AM134" i="6"/>
  <c r="AN134" i="6"/>
  <c r="V135" i="6"/>
  <c r="W135" i="6"/>
  <c r="AC135" i="6"/>
  <c r="AD135" i="6"/>
  <c r="AE135" i="6"/>
  <c r="X135" i="6" s="1"/>
  <c r="AF135" i="6"/>
  <c r="Y135" i="6" s="1"/>
  <c r="AG135" i="6"/>
  <c r="Z135" i="6" s="1"/>
  <c r="AH135" i="6"/>
  <c r="AA135" i="6" s="1"/>
  <c r="AI135" i="6"/>
  <c r="AB135" i="6" s="1"/>
  <c r="AJ135" i="6"/>
  <c r="AK135" i="6"/>
  <c r="AL135" i="6"/>
  <c r="AM135" i="6"/>
  <c r="AN135" i="6"/>
  <c r="V136" i="6"/>
  <c r="W136" i="6"/>
  <c r="AC136" i="6"/>
  <c r="AD136" i="6"/>
  <c r="AE136" i="6"/>
  <c r="X136" i="6" s="1"/>
  <c r="AF136" i="6"/>
  <c r="Y136" i="6" s="1"/>
  <c r="AG136" i="6"/>
  <c r="Z136" i="6" s="1"/>
  <c r="AH136" i="6"/>
  <c r="AA136" i="6" s="1"/>
  <c r="AI136" i="6"/>
  <c r="AB136" i="6" s="1"/>
  <c r="AJ136" i="6"/>
  <c r="AK136" i="6"/>
  <c r="AL136" i="6"/>
  <c r="AM136" i="6"/>
  <c r="AN136" i="6"/>
  <c r="V137" i="6"/>
  <c r="W137" i="6"/>
  <c r="AC137" i="6"/>
  <c r="AD137" i="6"/>
  <c r="AE137" i="6"/>
  <c r="X137" i="6" s="1"/>
  <c r="AF137" i="6"/>
  <c r="Y137" i="6" s="1"/>
  <c r="AG137" i="6"/>
  <c r="Z137" i="6" s="1"/>
  <c r="AH137" i="6"/>
  <c r="AA137" i="6" s="1"/>
  <c r="AI137" i="6"/>
  <c r="AB137" i="6" s="1"/>
  <c r="AJ137" i="6"/>
  <c r="AK137" i="6"/>
  <c r="AL137" i="6"/>
  <c r="AM137" i="6"/>
  <c r="AN137" i="6"/>
  <c r="V138" i="6"/>
  <c r="W138" i="6"/>
  <c r="AC138" i="6"/>
  <c r="AD138" i="6"/>
  <c r="AE138" i="6"/>
  <c r="X138" i="6" s="1"/>
  <c r="AF138" i="6"/>
  <c r="Y138" i="6" s="1"/>
  <c r="AG138" i="6"/>
  <c r="Z138" i="6" s="1"/>
  <c r="AH138" i="6"/>
  <c r="AA138" i="6" s="1"/>
  <c r="AI138" i="6"/>
  <c r="AB138" i="6" s="1"/>
  <c r="AJ138" i="6"/>
  <c r="AK138" i="6"/>
  <c r="AL138" i="6"/>
  <c r="AM138" i="6"/>
  <c r="AN138" i="6"/>
  <c r="V139" i="6"/>
  <c r="W139" i="6"/>
  <c r="AC139" i="6"/>
  <c r="AD139" i="6"/>
  <c r="AE139" i="6"/>
  <c r="X139" i="6" s="1"/>
  <c r="AF139" i="6"/>
  <c r="Y139" i="6" s="1"/>
  <c r="AG139" i="6"/>
  <c r="Z139" i="6" s="1"/>
  <c r="AH139" i="6"/>
  <c r="AA139" i="6" s="1"/>
  <c r="AI139" i="6"/>
  <c r="AB139" i="6" s="1"/>
  <c r="AJ139" i="6"/>
  <c r="AK139" i="6"/>
  <c r="AL139" i="6"/>
  <c r="AM139" i="6"/>
  <c r="AN139" i="6"/>
  <c r="V140" i="6"/>
  <c r="W140" i="6"/>
  <c r="AC140" i="6"/>
  <c r="AD140" i="6"/>
  <c r="AE140" i="6"/>
  <c r="X140" i="6" s="1"/>
  <c r="AF140" i="6"/>
  <c r="Y140" i="6" s="1"/>
  <c r="AG140" i="6"/>
  <c r="Z140" i="6" s="1"/>
  <c r="AH140" i="6"/>
  <c r="AA140" i="6" s="1"/>
  <c r="AI140" i="6"/>
  <c r="AB140" i="6" s="1"/>
  <c r="AJ140" i="6"/>
  <c r="AK140" i="6"/>
  <c r="AL140" i="6"/>
  <c r="AM140" i="6"/>
  <c r="AN140" i="6"/>
  <c r="V141" i="6"/>
  <c r="W141" i="6"/>
  <c r="AC141" i="6"/>
  <c r="AD141" i="6"/>
  <c r="AE141" i="6"/>
  <c r="X141" i="6" s="1"/>
  <c r="AF141" i="6"/>
  <c r="Y141" i="6" s="1"/>
  <c r="AG141" i="6"/>
  <c r="Z141" i="6" s="1"/>
  <c r="AH141" i="6"/>
  <c r="AA141" i="6" s="1"/>
  <c r="AI141" i="6"/>
  <c r="AB141" i="6" s="1"/>
  <c r="AJ141" i="6"/>
  <c r="AK141" i="6"/>
  <c r="AL141" i="6"/>
  <c r="AM141" i="6"/>
  <c r="AN141" i="6"/>
  <c r="V142" i="6"/>
  <c r="W142" i="6"/>
  <c r="AC142" i="6"/>
  <c r="AD142" i="6"/>
  <c r="AE142" i="6"/>
  <c r="X142" i="6" s="1"/>
  <c r="AF142" i="6"/>
  <c r="Y142" i="6" s="1"/>
  <c r="AG142" i="6"/>
  <c r="Z142" i="6" s="1"/>
  <c r="AH142" i="6"/>
  <c r="AA142" i="6" s="1"/>
  <c r="AI142" i="6"/>
  <c r="AB142" i="6" s="1"/>
  <c r="AJ142" i="6"/>
  <c r="AK142" i="6"/>
  <c r="AL142" i="6"/>
  <c r="AM142" i="6"/>
  <c r="AN142" i="6"/>
  <c r="V143" i="6"/>
  <c r="W143" i="6"/>
  <c r="AC143" i="6"/>
  <c r="AD143" i="6"/>
  <c r="AE143" i="6"/>
  <c r="X143" i="6" s="1"/>
  <c r="AF143" i="6"/>
  <c r="Y143" i="6" s="1"/>
  <c r="AG143" i="6"/>
  <c r="Z143" i="6" s="1"/>
  <c r="AH143" i="6"/>
  <c r="AA143" i="6" s="1"/>
  <c r="AI143" i="6"/>
  <c r="AB143" i="6" s="1"/>
  <c r="AJ143" i="6"/>
  <c r="AK143" i="6"/>
  <c r="AL143" i="6"/>
  <c r="AM143" i="6"/>
  <c r="AN143" i="6"/>
  <c r="V144" i="6"/>
  <c r="W144" i="6"/>
  <c r="AC144" i="6"/>
  <c r="AD144" i="6"/>
  <c r="AE144" i="6"/>
  <c r="X144" i="6" s="1"/>
  <c r="AF144" i="6"/>
  <c r="Y144" i="6" s="1"/>
  <c r="AG144" i="6"/>
  <c r="Z144" i="6" s="1"/>
  <c r="AH144" i="6"/>
  <c r="AA144" i="6" s="1"/>
  <c r="AI144" i="6"/>
  <c r="AB144" i="6" s="1"/>
  <c r="AJ144" i="6"/>
  <c r="AK144" i="6"/>
  <c r="AL144" i="6"/>
  <c r="AM144" i="6"/>
  <c r="AN144" i="6"/>
  <c r="V145" i="6"/>
  <c r="W145" i="6"/>
  <c r="AC145" i="6"/>
  <c r="AD145" i="6"/>
  <c r="AE145" i="6"/>
  <c r="X145" i="6" s="1"/>
  <c r="AF145" i="6"/>
  <c r="Y145" i="6" s="1"/>
  <c r="AG145" i="6"/>
  <c r="Z145" i="6" s="1"/>
  <c r="AH145" i="6"/>
  <c r="AA145" i="6" s="1"/>
  <c r="AI145" i="6"/>
  <c r="AB145" i="6" s="1"/>
  <c r="AJ145" i="6"/>
  <c r="AK145" i="6"/>
  <c r="AL145" i="6"/>
  <c r="AM145" i="6"/>
  <c r="AN145" i="6"/>
  <c r="V146" i="6"/>
  <c r="W146" i="6"/>
  <c r="AC146" i="6"/>
  <c r="AD146" i="6"/>
  <c r="AE146" i="6"/>
  <c r="X146" i="6" s="1"/>
  <c r="AF146" i="6"/>
  <c r="Y146" i="6" s="1"/>
  <c r="AG146" i="6"/>
  <c r="Z146" i="6" s="1"/>
  <c r="AH146" i="6"/>
  <c r="AA146" i="6" s="1"/>
  <c r="AI146" i="6"/>
  <c r="AB146" i="6" s="1"/>
  <c r="AJ146" i="6"/>
  <c r="AK146" i="6"/>
  <c r="AL146" i="6"/>
  <c r="AM146" i="6"/>
  <c r="AN146" i="6"/>
  <c r="V147" i="6"/>
  <c r="W147" i="6"/>
  <c r="AC147" i="6"/>
  <c r="AD147" i="6"/>
  <c r="AE147" i="6"/>
  <c r="X147" i="6" s="1"/>
  <c r="AF147" i="6"/>
  <c r="Y147" i="6" s="1"/>
  <c r="AG147" i="6"/>
  <c r="Z147" i="6" s="1"/>
  <c r="AH147" i="6"/>
  <c r="AA147" i="6" s="1"/>
  <c r="AI147" i="6"/>
  <c r="AB147" i="6" s="1"/>
  <c r="AJ147" i="6"/>
  <c r="AK147" i="6"/>
  <c r="AL147" i="6"/>
  <c r="AM147" i="6"/>
  <c r="AN147" i="6"/>
  <c r="V148" i="6"/>
  <c r="W148" i="6"/>
  <c r="AC148" i="6"/>
  <c r="AD148" i="6"/>
  <c r="AE148" i="6"/>
  <c r="X148" i="6" s="1"/>
  <c r="AF148" i="6"/>
  <c r="Y148" i="6" s="1"/>
  <c r="AG148" i="6"/>
  <c r="Z148" i="6" s="1"/>
  <c r="AH148" i="6"/>
  <c r="AA148" i="6" s="1"/>
  <c r="AI148" i="6"/>
  <c r="AB148" i="6" s="1"/>
  <c r="AJ148" i="6"/>
  <c r="AK148" i="6"/>
  <c r="AL148" i="6"/>
  <c r="AM148" i="6"/>
  <c r="AN148" i="6"/>
  <c r="V149" i="6"/>
  <c r="W149" i="6"/>
  <c r="AC149" i="6"/>
  <c r="AD149" i="6"/>
  <c r="AE149" i="6"/>
  <c r="X149" i="6" s="1"/>
  <c r="AF149" i="6"/>
  <c r="Y149" i="6" s="1"/>
  <c r="AG149" i="6"/>
  <c r="Z149" i="6" s="1"/>
  <c r="AH149" i="6"/>
  <c r="AA149" i="6" s="1"/>
  <c r="AI149" i="6"/>
  <c r="AB149" i="6" s="1"/>
  <c r="AJ149" i="6"/>
  <c r="AK149" i="6"/>
  <c r="AL149" i="6"/>
  <c r="AM149" i="6"/>
  <c r="AN149" i="6"/>
  <c r="V150" i="6"/>
  <c r="W150" i="6"/>
  <c r="AC150" i="6"/>
  <c r="AD150" i="6"/>
  <c r="AE150" i="6"/>
  <c r="X150" i="6" s="1"/>
  <c r="AF150" i="6"/>
  <c r="Y150" i="6" s="1"/>
  <c r="AG150" i="6"/>
  <c r="Z150" i="6" s="1"/>
  <c r="AH150" i="6"/>
  <c r="AA150" i="6" s="1"/>
  <c r="AI150" i="6"/>
  <c r="AB150" i="6" s="1"/>
  <c r="AJ150" i="6"/>
  <c r="AK150" i="6"/>
  <c r="AL150" i="6"/>
  <c r="AM150" i="6"/>
  <c r="AN150" i="6"/>
  <c r="V151" i="6"/>
  <c r="W151" i="6"/>
  <c r="AC151" i="6"/>
  <c r="AD151" i="6"/>
  <c r="AE151" i="6"/>
  <c r="X151" i="6" s="1"/>
  <c r="AF151" i="6"/>
  <c r="Y151" i="6" s="1"/>
  <c r="AG151" i="6"/>
  <c r="Z151" i="6" s="1"/>
  <c r="AH151" i="6"/>
  <c r="AA151" i="6" s="1"/>
  <c r="AI151" i="6"/>
  <c r="AB151" i="6" s="1"/>
  <c r="AJ151" i="6"/>
  <c r="AK151" i="6"/>
  <c r="AL151" i="6"/>
  <c r="AM151" i="6"/>
  <c r="AN151" i="6"/>
  <c r="V152" i="6"/>
  <c r="W152" i="6"/>
  <c r="AC152" i="6"/>
  <c r="AD152" i="6"/>
  <c r="AE152" i="6"/>
  <c r="X152" i="6" s="1"/>
  <c r="AF152" i="6"/>
  <c r="Y152" i="6" s="1"/>
  <c r="AG152" i="6"/>
  <c r="Z152" i="6" s="1"/>
  <c r="AH152" i="6"/>
  <c r="AA152" i="6" s="1"/>
  <c r="AI152" i="6"/>
  <c r="AB152" i="6" s="1"/>
  <c r="AJ152" i="6"/>
  <c r="AK152" i="6"/>
  <c r="AL152" i="6"/>
  <c r="AM152" i="6"/>
  <c r="AN152" i="6"/>
  <c r="V153" i="6"/>
  <c r="W153" i="6"/>
  <c r="AC153" i="6"/>
  <c r="AD153" i="6"/>
  <c r="AE153" i="6"/>
  <c r="X153" i="6" s="1"/>
  <c r="AF153" i="6"/>
  <c r="Y153" i="6" s="1"/>
  <c r="AG153" i="6"/>
  <c r="Z153" i="6" s="1"/>
  <c r="AH153" i="6"/>
  <c r="AA153" i="6" s="1"/>
  <c r="AI153" i="6"/>
  <c r="AB153" i="6" s="1"/>
  <c r="AJ153" i="6"/>
  <c r="AK153" i="6"/>
  <c r="AL153" i="6"/>
  <c r="AM153" i="6"/>
  <c r="AN153" i="6"/>
  <c r="V154" i="6"/>
  <c r="W154" i="6"/>
  <c r="AC154" i="6"/>
  <c r="AD154" i="6"/>
  <c r="AE154" i="6"/>
  <c r="X154" i="6" s="1"/>
  <c r="AF154" i="6"/>
  <c r="Y154" i="6" s="1"/>
  <c r="AG154" i="6"/>
  <c r="Z154" i="6" s="1"/>
  <c r="AH154" i="6"/>
  <c r="AA154" i="6" s="1"/>
  <c r="AI154" i="6"/>
  <c r="AB154" i="6" s="1"/>
  <c r="AJ154" i="6"/>
  <c r="AK154" i="6"/>
  <c r="AL154" i="6"/>
  <c r="AM154" i="6"/>
  <c r="AN154" i="6"/>
  <c r="V155" i="6"/>
  <c r="W155" i="6"/>
  <c r="AC155" i="6"/>
  <c r="AD155" i="6"/>
  <c r="AE155" i="6"/>
  <c r="X155" i="6" s="1"/>
  <c r="AF155" i="6"/>
  <c r="Y155" i="6" s="1"/>
  <c r="AG155" i="6"/>
  <c r="Z155" i="6" s="1"/>
  <c r="AH155" i="6"/>
  <c r="AA155" i="6" s="1"/>
  <c r="AI155" i="6"/>
  <c r="AB155" i="6" s="1"/>
  <c r="AJ155" i="6"/>
  <c r="AK155" i="6"/>
  <c r="AL155" i="6"/>
  <c r="AM155" i="6"/>
  <c r="AN155" i="6"/>
  <c r="V156" i="6"/>
  <c r="W156" i="6"/>
  <c r="AC156" i="6"/>
  <c r="AD156" i="6"/>
  <c r="AE156" i="6"/>
  <c r="X156" i="6" s="1"/>
  <c r="AF156" i="6"/>
  <c r="Y156" i="6" s="1"/>
  <c r="AG156" i="6"/>
  <c r="Z156" i="6" s="1"/>
  <c r="AH156" i="6"/>
  <c r="AA156" i="6" s="1"/>
  <c r="AI156" i="6"/>
  <c r="AB156" i="6" s="1"/>
  <c r="AJ156" i="6"/>
  <c r="AK156" i="6"/>
  <c r="AL156" i="6"/>
  <c r="AM156" i="6"/>
  <c r="AN156" i="6"/>
  <c r="V157" i="6"/>
  <c r="W157" i="6"/>
  <c r="AC157" i="6"/>
  <c r="AD157" i="6"/>
  <c r="AE157" i="6"/>
  <c r="X157" i="6" s="1"/>
  <c r="AF157" i="6"/>
  <c r="Y157" i="6" s="1"/>
  <c r="AG157" i="6"/>
  <c r="Z157" i="6" s="1"/>
  <c r="AH157" i="6"/>
  <c r="AA157" i="6" s="1"/>
  <c r="AI157" i="6"/>
  <c r="AB157" i="6" s="1"/>
  <c r="AJ157" i="6"/>
  <c r="AK157" i="6"/>
  <c r="AL157" i="6"/>
  <c r="AM157" i="6"/>
  <c r="AN157" i="6"/>
  <c r="V158" i="6"/>
  <c r="W158" i="6"/>
  <c r="AC158" i="6"/>
  <c r="AD158" i="6"/>
  <c r="AE158" i="6"/>
  <c r="X158" i="6" s="1"/>
  <c r="AF158" i="6"/>
  <c r="Y158" i="6" s="1"/>
  <c r="AG158" i="6"/>
  <c r="Z158" i="6" s="1"/>
  <c r="AH158" i="6"/>
  <c r="AA158" i="6" s="1"/>
  <c r="AI158" i="6"/>
  <c r="AB158" i="6" s="1"/>
  <c r="AJ158" i="6"/>
  <c r="AK158" i="6"/>
  <c r="AL158" i="6"/>
  <c r="AM158" i="6"/>
  <c r="AN158" i="6"/>
  <c r="V159" i="6"/>
  <c r="W159" i="6"/>
  <c r="AC159" i="6"/>
  <c r="AD159" i="6"/>
  <c r="AE159" i="6"/>
  <c r="X159" i="6" s="1"/>
  <c r="AF159" i="6"/>
  <c r="Y159" i="6" s="1"/>
  <c r="AG159" i="6"/>
  <c r="Z159" i="6" s="1"/>
  <c r="AH159" i="6"/>
  <c r="AA159" i="6" s="1"/>
  <c r="AI159" i="6"/>
  <c r="AB159" i="6" s="1"/>
  <c r="AJ159" i="6"/>
  <c r="AK159" i="6"/>
  <c r="AL159" i="6"/>
  <c r="AM159" i="6"/>
  <c r="AN159" i="6"/>
  <c r="V160" i="6"/>
  <c r="W160" i="6"/>
  <c r="AC160" i="6"/>
  <c r="AD160" i="6"/>
  <c r="AE160" i="6"/>
  <c r="X160" i="6" s="1"/>
  <c r="AF160" i="6"/>
  <c r="Y160" i="6" s="1"/>
  <c r="AG160" i="6"/>
  <c r="Z160" i="6" s="1"/>
  <c r="AH160" i="6"/>
  <c r="AA160" i="6" s="1"/>
  <c r="AI160" i="6"/>
  <c r="AB160" i="6" s="1"/>
  <c r="AJ160" i="6"/>
  <c r="AK160" i="6"/>
  <c r="AL160" i="6"/>
  <c r="AM160" i="6"/>
  <c r="AN160" i="6"/>
  <c r="V161" i="6"/>
  <c r="W161" i="6"/>
  <c r="AC161" i="6"/>
  <c r="AD161" i="6"/>
  <c r="AE161" i="6"/>
  <c r="X161" i="6" s="1"/>
  <c r="AF161" i="6"/>
  <c r="Y161" i="6" s="1"/>
  <c r="AG161" i="6"/>
  <c r="Z161" i="6" s="1"/>
  <c r="AH161" i="6"/>
  <c r="AA161" i="6" s="1"/>
  <c r="AI161" i="6"/>
  <c r="AB161" i="6" s="1"/>
  <c r="AJ161" i="6"/>
  <c r="AK161" i="6"/>
  <c r="AL161" i="6"/>
  <c r="AM161" i="6"/>
  <c r="AN161" i="6"/>
  <c r="V162" i="6"/>
  <c r="W162" i="6"/>
  <c r="AC162" i="6"/>
  <c r="AD162" i="6"/>
  <c r="AE162" i="6"/>
  <c r="X162" i="6" s="1"/>
  <c r="AF162" i="6"/>
  <c r="Y162" i="6" s="1"/>
  <c r="AG162" i="6"/>
  <c r="Z162" i="6" s="1"/>
  <c r="AH162" i="6"/>
  <c r="AA162" i="6" s="1"/>
  <c r="AI162" i="6"/>
  <c r="AB162" i="6" s="1"/>
  <c r="AJ162" i="6"/>
  <c r="AK162" i="6"/>
  <c r="AL162" i="6"/>
  <c r="AM162" i="6"/>
  <c r="AN162" i="6"/>
  <c r="V163" i="6"/>
  <c r="W163" i="6"/>
  <c r="AC163" i="6"/>
  <c r="AD163" i="6"/>
  <c r="AE163" i="6"/>
  <c r="X163" i="6" s="1"/>
  <c r="AF163" i="6"/>
  <c r="Y163" i="6" s="1"/>
  <c r="AG163" i="6"/>
  <c r="Z163" i="6" s="1"/>
  <c r="AH163" i="6"/>
  <c r="AA163" i="6" s="1"/>
  <c r="AI163" i="6"/>
  <c r="AB163" i="6" s="1"/>
  <c r="AJ163" i="6"/>
  <c r="AK163" i="6"/>
  <c r="AL163" i="6"/>
  <c r="AM163" i="6"/>
  <c r="AN163" i="6"/>
  <c r="V164" i="6"/>
  <c r="W164" i="6"/>
  <c r="AC164" i="6"/>
  <c r="AD164" i="6"/>
  <c r="AE164" i="6"/>
  <c r="X164" i="6" s="1"/>
  <c r="AF164" i="6"/>
  <c r="Y164" i="6" s="1"/>
  <c r="AG164" i="6"/>
  <c r="Z164" i="6" s="1"/>
  <c r="AH164" i="6"/>
  <c r="AA164" i="6" s="1"/>
  <c r="AI164" i="6"/>
  <c r="AB164" i="6" s="1"/>
  <c r="AJ164" i="6"/>
  <c r="AK164" i="6"/>
  <c r="AL164" i="6"/>
  <c r="AM164" i="6"/>
  <c r="AN164" i="6"/>
  <c r="V165" i="6"/>
  <c r="W165" i="6"/>
  <c r="AC165" i="6"/>
  <c r="AD165" i="6"/>
  <c r="AE165" i="6"/>
  <c r="X165" i="6" s="1"/>
  <c r="AF165" i="6"/>
  <c r="Y165" i="6" s="1"/>
  <c r="AG165" i="6"/>
  <c r="Z165" i="6" s="1"/>
  <c r="AH165" i="6"/>
  <c r="AA165" i="6" s="1"/>
  <c r="AI165" i="6"/>
  <c r="AB165" i="6" s="1"/>
  <c r="AJ165" i="6"/>
  <c r="AK165" i="6"/>
  <c r="AL165" i="6"/>
  <c r="AM165" i="6"/>
  <c r="AN165" i="6"/>
  <c r="V166" i="6"/>
  <c r="W166" i="6"/>
  <c r="AC166" i="6"/>
  <c r="AD166" i="6"/>
  <c r="AE166" i="6"/>
  <c r="X166" i="6" s="1"/>
  <c r="AF166" i="6"/>
  <c r="Y166" i="6" s="1"/>
  <c r="AG166" i="6"/>
  <c r="Z166" i="6" s="1"/>
  <c r="AH166" i="6"/>
  <c r="AA166" i="6" s="1"/>
  <c r="AI166" i="6"/>
  <c r="AB166" i="6" s="1"/>
  <c r="AJ166" i="6"/>
  <c r="AK166" i="6"/>
  <c r="AL166" i="6"/>
  <c r="AM166" i="6"/>
  <c r="AN166" i="6"/>
  <c r="V167" i="6"/>
  <c r="W167" i="6"/>
  <c r="AC167" i="6"/>
  <c r="AD167" i="6"/>
  <c r="AE167" i="6"/>
  <c r="X167" i="6" s="1"/>
  <c r="AF167" i="6"/>
  <c r="Y167" i="6" s="1"/>
  <c r="AG167" i="6"/>
  <c r="Z167" i="6" s="1"/>
  <c r="AH167" i="6"/>
  <c r="AA167" i="6" s="1"/>
  <c r="AI167" i="6"/>
  <c r="AB167" i="6" s="1"/>
  <c r="AJ167" i="6"/>
  <c r="AK167" i="6"/>
  <c r="AL167" i="6"/>
  <c r="AM167" i="6"/>
  <c r="AN167" i="6"/>
  <c r="V168" i="6"/>
  <c r="W168" i="6"/>
  <c r="AC168" i="6"/>
  <c r="AD168" i="6"/>
  <c r="AE168" i="6"/>
  <c r="X168" i="6" s="1"/>
  <c r="AF168" i="6"/>
  <c r="Y168" i="6" s="1"/>
  <c r="AG168" i="6"/>
  <c r="Z168" i="6" s="1"/>
  <c r="AH168" i="6"/>
  <c r="AA168" i="6" s="1"/>
  <c r="AI168" i="6"/>
  <c r="AB168" i="6" s="1"/>
  <c r="AJ168" i="6"/>
  <c r="AK168" i="6"/>
  <c r="AL168" i="6"/>
  <c r="AM168" i="6"/>
  <c r="AN168" i="6"/>
  <c r="V169" i="6"/>
  <c r="W169" i="6"/>
  <c r="AC169" i="6"/>
  <c r="AD169" i="6"/>
  <c r="AE169" i="6"/>
  <c r="X169" i="6" s="1"/>
  <c r="AF169" i="6"/>
  <c r="Y169" i="6" s="1"/>
  <c r="AG169" i="6"/>
  <c r="Z169" i="6" s="1"/>
  <c r="AH169" i="6"/>
  <c r="AA169" i="6" s="1"/>
  <c r="AI169" i="6"/>
  <c r="AB169" i="6" s="1"/>
  <c r="AJ169" i="6"/>
  <c r="AK169" i="6"/>
  <c r="AL169" i="6"/>
  <c r="AM169" i="6"/>
  <c r="AN169" i="6"/>
  <c r="V170" i="6"/>
  <c r="W170" i="6"/>
  <c r="AC170" i="6"/>
  <c r="AD170" i="6"/>
  <c r="AE170" i="6"/>
  <c r="X170" i="6" s="1"/>
  <c r="AF170" i="6"/>
  <c r="Y170" i="6" s="1"/>
  <c r="AG170" i="6"/>
  <c r="Z170" i="6" s="1"/>
  <c r="AH170" i="6"/>
  <c r="AA170" i="6" s="1"/>
  <c r="AI170" i="6"/>
  <c r="AB170" i="6" s="1"/>
  <c r="AJ170" i="6"/>
  <c r="AK170" i="6"/>
  <c r="AL170" i="6"/>
  <c r="AM170" i="6"/>
  <c r="AN170" i="6"/>
  <c r="V171" i="6"/>
  <c r="W171" i="6"/>
  <c r="AC171" i="6"/>
  <c r="AD171" i="6"/>
  <c r="AE171" i="6"/>
  <c r="X171" i="6" s="1"/>
  <c r="AF171" i="6"/>
  <c r="Y171" i="6" s="1"/>
  <c r="AG171" i="6"/>
  <c r="Z171" i="6" s="1"/>
  <c r="AH171" i="6"/>
  <c r="AA171" i="6" s="1"/>
  <c r="AI171" i="6"/>
  <c r="AB171" i="6" s="1"/>
  <c r="AJ171" i="6"/>
  <c r="AK171" i="6"/>
  <c r="AL171" i="6"/>
  <c r="AM171" i="6"/>
  <c r="AN171" i="6"/>
  <c r="V172" i="6"/>
  <c r="W172" i="6"/>
  <c r="AC172" i="6"/>
  <c r="AD172" i="6"/>
  <c r="AE172" i="6"/>
  <c r="X172" i="6" s="1"/>
  <c r="AF172" i="6"/>
  <c r="Y172" i="6" s="1"/>
  <c r="AG172" i="6"/>
  <c r="Z172" i="6" s="1"/>
  <c r="AH172" i="6"/>
  <c r="AA172" i="6" s="1"/>
  <c r="AI172" i="6"/>
  <c r="AB172" i="6" s="1"/>
  <c r="AJ172" i="6"/>
  <c r="AK172" i="6"/>
  <c r="AL172" i="6"/>
  <c r="AM172" i="6"/>
  <c r="AN172" i="6"/>
  <c r="V173" i="6"/>
  <c r="W173" i="6"/>
  <c r="AC173" i="6"/>
  <c r="AD173" i="6"/>
  <c r="AE173" i="6"/>
  <c r="X173" i="6" s="1"/>
  <c r="AF173" i="6"/>
  <c r="Y173" i="6" s="1"/>
  <c r="AG173" i="6"/>
  <c r="Z173" i="6" s="1"/>
  <c r="AH173" i="6"/>
  <c r="AA173" i="6" s="1"/>
  <c r="AI173" i="6"/>
  <c r="AB173" i="6" s="1"/>
  <c r="AJ173" i="6"/>
  <c r="AK173" i="6"/>
  <c r="AL173" i="6"/>
  <c r="AM173" i="6"/>
  <c r="AN173" i="6"/>
  <c r="V174" i="6"/>
  <c r="W174" i="6"/>
  <c r="AC174" i="6"/>
  <c r="AD174" i="6"/>
  <c r="AE174" i="6"/>
  <c r="X174" i="6" s="1"/>
  <c r="AF174" i="6"/>
  <c r="Y174" i="6" s="1"/>
  <c r="AG174" i="6"/>
  <c r="Z174" i="6" s="1"/>
  <c r="AH174" i="6"/>
  <c r="AA174" i="6" s="1"/>
  <c r="AI174" i="6"/>
  <c r="AB174" i="6" s="1"/>
  <c r="AJ174" i="6"/>
  <c r="AK174" i="6"/>
  <c r="AL174" i="6"/>
  <c r="AM174" i="6"/>
  <c r="AN174" i="6"/>
  <c r="V175" i="6"/>
  <c r="W175" i="6"/>
  <c r="AC175" i="6"/>
  <c r="AD175" i="6"/>
  <c r="AE175" i="6"/>
  <c r="X175" i="6" s="1"/>
  <c r="AF175" i="6"/>
  <c r="Y175" i="6" s="1"/>
  <c r="AG175" i="6"/>
  <c r="Z175" i="6" s="1"/>
  <c r="AH175" i="6"/>
  <c r="AA175" i="6" s="1"/>
  <c r="AI175" i="6"/>
  <c r="AB175" i="6" s="1"/>
  <c r="AJ175" i="6"/>
  <c r="AK175" i="6"/>
  <c r="AL175" i="6"/>
  <c r="AM175" i="6"/>
  <c r="AN175" i="6"/>
  <c r="V176" i="6"/>
  <c r="W176" i="6"/>
  <c r="AC176" i="6"/>
  <c r="AD176" i="6"/>
  <c r="AE176" i="6"/>
  <c r="X176" i="6" s="1"/>
  <c r="AF176" i="6"/>
  <c r="Y176" i="6" s="1"/>
  <c r="AG176" i="6"/>
  <c r="Z176" i="6" s="1"/>
  <c r="AH176" i="6"/>
  <c r="AA176" i="6" s="1"/>
  <c r="AI176" i="6"/>
  <c r="AB176" i="6" s="1"/>
  <c r="AJ176" i="6"/>
  <c r="AK176" i="6"/>
  <c r="AL176" i="6"/>
  <c r="AM176" i="6"/>
  <c r="AN176" i="6"/>
  <c r="V177" i="6"/>
  <c r="W177" i="6"/>
  <c r="AC177" i="6"/>
  <c r="AD177" i="6"/>
  <c r="AE177" i="6"/>
  <c r="X177" i="6" s="1"/>
  <c r="AF177" i="6"/>
  <c r="Y177" i="6" s="1"/>
  <c r="AG177" i="6"/>
  <c r="Z177" i="6" s="1"/>
  <c r="AH177" i="6"/>
  <c r="AA177" i="6" s="1"/>
  <c r="AI177" i="6"/>
  <c r="AB177" i="6" s="1"/>
  <c r="AJ177" i="6"/>
  <c r="AK177" i="6"/>
  <c r="AL177" i="6"/>
  <c r="AM177" i="6"/>
  <c r="AN177" i="6"/>
  <c r="V178" i="6"/>
  <c r="W178" i="6"/>
  <c r="AC178" i="6"/>
  <c r="AD178" i="6"/>
  <c r="AE178" i="6"/>
  <c r="X178" i="6" s="1"/>
  <c r="AF178" i="6"/>
  <c r="Y178" i="6" s="1"/>
  <c r="AG178" i="6"/>
  <c r="Z178" i="6" s="1"/>
  <c r="AH178" i="6"/>
  <c r="AA178" i="6" s="1"/>
  <c r="AI178" i="6"/>
  <c r="AB178" i="6" s="1"/>
  <c r="AJ178" i="6"/>
  <c r="AK178" i="6"/>
  <c r="AL178" i="6"/>
  <c r="AM178" i="6"/>
  <c r="AN178" i="6"/>
  <c r="V179" i="6"/>
  <c r="W179" i="6"/>
  <c r="AC179" i="6"/>
  <c r="AD179" i="6"/>
  <c r="AE179" i="6"/>
  <c r="X179" i="6" s="1"/>
  <c r="AF179" i="6"/>
  <c r="Y179" i="6" s="1"/>
  <c r="AG179" i="6"/>
  <c r="Z179" i="6" s="1"/>
  <c r="AH179" i="6"/>
  <c r="AA179" i="6" s="1"/>
  <c r="AI179" i="6"/>
  <c r="AB179" i="6" s="1"/>
  <c r="AJ179" i="6"/>
  <c r="AK179" i="6"/>
  <c r="AL179" i="6"/>
  <c r="AM179" i="6"/>
  <c r="AN179" i="6"/>
  <c r="V180" i="6"/>
  <c r="W180" i="6"/>
  <c r="AC180" i="6"/>
  <c r="AD180" i="6"/>
  <c r="AE180" i="6"/>
  <c r="X180" i="6" s="1"/>
  <c r="AF180" i="6"/>
  <c r="Y180" i="6" s="1"/>
  <c r="AG180" i="6"/>
  <c r="Z180" i="6" s="1"/>
  <c r="AH180" i="6"/>
  <c r="AA180" i="6" s="1"/>
  <c r="AI180" i="6"/>
  <c r="AB180" i="6" s="1"/>
  <c r="AJ180" i="6"/>
  <c r="AK180" i="6"/>
  <c r="AL180" i="6"/>
  <c r="AM180" i="6"/>
  <c r="AN180" i="6"/>
  <c r="V181" i="6"/>
  <c r="W181" i="6"/>
  <c r="AC181" i="6"/>
  <c r="AD181" i="6"/>
  <c r="AE181" i="6"/>
  <c r="X181" i="6" s="1"/>
  <c r="AF181" i="6"/>
  <c r="Y181" i="6" s="1"/>
  <c r="AG181" i="6"/>
  <c r="Z181" i="6" s="1"/>
  <c r="AH181" i="6"/>
  <c r="AA181" i="6" s="1"/>
  <c r="AI181" i="6"/>
  <c r="AB181" i="6" s="1"/>
  <c r="AJ181" i="6"/>
  <c r="AK181" i="6"/>
  <c r="AL181" i="6"/>
  <c r="AM181" i="6"/>
  <c r="AN181" i="6"/>
  <c r="V182" i="6"/>
  <c r="W182" i="6"/>
  <c r="AC182" i="6"/>
  <c r="AD182" i="6"/>
  <c r="AE182" i="6"/>
  <c r="X182" i="6" s="1"/>
  <c r="AF182" i="6"/>
  <c r="Y182" i="6" s="1"/>
  <c r="AG182" i="6"/>
  <c r="Z182" i="6" s="1"/>
  <c r="AH182" i="6"/>
  <c r="AA182" i="6" s="1"/>
  <c r="AI182" i="6"/>
  <c r="AB182" i="6" s="1"/>
  <c r="AJ182" i="6"/>
  <c r="AK182" i="6"/>
  <c r="AL182" i="6"/>
  <c r="AM182" i="6"/>
  <c r="AN182" i="6"/>
  <c r="V183" i="6"/>
  <c r="W183" i="6"/>
  <c r="AC183" i="6"/>
  <c r="AD183" i="6"/>
  <c r="AE183" i="6"/>
  <c r="X183" i="6" s="1"/>
  <c r="AF183" i="6"/>
  <c r="Y183" i="6" s="1"/>
  <c r="AG183" i="6"/>
  <c r="Z183" i="6" s="1"/>
  <c r="AH183" i="6"/>
  <c r="AA183" i="6" s="1"/>
  <c r="AI183" i="6"/>
  <c r="AB183" i="6" s="1"/>
  <c r="AJ183" i="6"/>
  <c r="AK183" i="6"/>
  <c r="AL183" i="6"/>
  <c r="AM183" i="6"/>
  <c r="AN183" i="6"/>
  <c r="V184" i="6"/>
  <c r="W184" i="6"/>
  <c r="AC184" i="6"/>
  <c r="AD184" i="6"/>
  <c r="AE184" i="6"/>
  <c r="X184" i="6" s="1"/>
  <c r="AF184" i="6"/>
  <c r="Y184" i="6" s="1"/>
  <c r="AG184" i="6"/>
  <c r="Z184" i="6" s="1"/>
  <c r="AH184" i="6"/>
  <c r="AA184" i="6" s="1"/>
  <c r="AI184" i="6"/>
  <c r="AB184" i="6" s="1"/>
  <c r="AJ184" i="6"/>
  <c r="AK184" i="6"/>
  <c r="AL184" i="6"/>
  <c r="AM184" i="6"/>
  <c r="AN184" i="6"/>
  <c r="V185" i="6"/>
  <c r="W185" i="6"/>
  <c r="AC185" i="6"/>
  <c r="AD185" i="6"/>
  <c r="AE185" i="6"/>
  <c r="X185" i="6" s="1"/>
  <c r="AF185" i="6"/>
  <c r="Y185" i="6" s="1"/>
  <c r="AG185" i="6"/>
  <c r="Z185" i="6" s="1"/>
  <c r="AH185" i="6"/>
  <c r="AA185" i="6" s="1"/>
  <c r="AI185" i="6"/>
  <c r="AB185" i="6" s="1"/>
  <c r="AJ185" i="6"/>
  <c r="AK185" i="6"/>
  <c r="AL185" i="6"/>
  <c r="AM185" i="6"/>
  <c r="AN185" i="6"/>
  <c r="V186" i="6"/>
  <c r="W186" i="6"/>
  <c r="AC186" i="6"/>
  <c r="AD186" i="6"/>
  <c r="AE186" i="6"/>
  <c r="X186" i="6" s="1"/>
  <c r="AF186" i="6"/>
  <c r="Y186" i="6" s="1"/>
  <c r="AG186" i="6"/>
  <c r="Z186" i="6" s="1"/>
  <c r="AH186" i="6"/>
  <c r="AA186" i="6" s="1"/>
  <c r="AI186" i="6"/>
  <c r="AB186" i="6" s="1"/>
  <c r="AJ186" i="6"/>
  <c r="AK186" i="6"/>
  <c r="AL186" i="6"/>
  <c r="AM186" i="6"/>
  <c r="AN186" i="6"/>
  <c r="V187" i="6"/>
  <c r="W187" i="6"/>
  <c r="AC187" i="6"/>
  <c r="AD187" i="6"/>
  <c r="AE187" i="6"/>
  <c r="X187" i="6" s="1"/>
  <c r="AF187" i="6"/>
  <c r="Y187" i="6" s="1"/>
  <c r="AG187" i="6"/>
  <c r="Z187" i="6" s="1"/>
  <c r="AH187" i="6"/>
  <c r="AA187" i="6" s="1"/>
  <c r="AI187" i="6"/>
  <c r="AB187" i="6" s="1"/>
  <c r="AJ187" i="6"/>
  <c r="AK187" i="6"/>
  <c r="AL187" i="6"/>
  <c r="AM187" i="6"/>
  <c r="AN187" i="6"/>
  <c r="V188" i="6"/>
  <c r="W188" i="6"/>
  <c r="AC188" i="6"/>
  <c r="AD188" i="6"/>
  <c r="AE188" i="6"/>
  <c r="X188" i="6" s="1"/>
  <c r="AF188" i="6"/>
  <c r="Y188" i="6" s="1"/>
  <c r="AG188" i="6"/>
  <c r="Z188" i="6" s="1"/>
  <c r="AH188" i="6"/>
  <c r="AA188" i="6" s="1"/>
  <c r="AI188" i="6"/>
  <c r="AB188" i="6" s="1"/>
  <c r="AJ188" i="6"/>
  <c r="AK188" i="6"/>
  <c r="AL188" i="6"/>
  <c r="AM188" i="6"/>
  <c r="AN188" i="6"/>
  <c r="V189" i="6"/>
  <c r="W189" i="6"/>
  <c r="AC189" i="6"/>
  <c r="AD189" i="6"/>
  <c r="AE189" i="6"/>
  <c r="X189" i="6" s="1"/>
  <c r="AF189" i="6"/>
  <c r="Y189" i="6" s="1"/>
  <c r="AG189" i="6"/>
  <c r="Z189" i="6" s="1"/>
  <c r="AH189" i="6"/>
  <c r="AA189" i="6" s="1"/>
  <c r="AI189" i="6"/>
  <c r="AB189" i="6" s="1"/>
  <c r="AJ189" i="6"/>
  <c r="AK189" i="6"/>
  <c r="AL189" i="6"/>
  <c r="AM189" i="6"/>
  <c r="AN189" i="6"/>
  <c r="V190" i="6"/>
  <c r="W190" i="6"/>
  <c r="AC190" i="6"/>
  <c r="AD190" i="6"/>
  <c r="AE190" i="6"/>
  <c r="X190" i="6" s="1"/>
  <c r="AF190" i="6"/>
  <c r="Y190" i="6" s="1"/>
  <c r="AG190" i="6"/>
  <c r="Z190" i="6" s="1"/>
  <c r="AH190" i="6"/>
  <c r="AA190" i="6" s="1"/>
  <c r="AI190" i="6"/>
  <c r="AB190" i="6" s="1"/>
  <c r="AJ190" i="6"/>
  <c r="AK190" i="6"/>
  <c r="AL190" i="6"/>
  <c r="AM190" i="6"/>
  <c r="AN190" i="6"/>
  <c r="V191" i="6"/>
  <c r="W191" i="6"/>
  <c r="AC191" i="6"/>
  <c r="AD191" i="6"/>
  <c r="AE191" i="6"/>
  <c r="X191" i="6" s="1"/>
  <c r="AF191" i="6"/>
  <c r="Y191" i="6" s="1"/>
  <c r="AG191" i="6"/>
  <c r="Z191" i="6" s="1"/>
  <c r="AH191" i="6"/>
  <c r="AA191" i="6" s="1"/>
  <c r="AI191" i="6"/>
  <c r="AB191" i="6" s="1"/>
  <c r="AJ191" i="6"/>
  <c r="AK191" i="6"/>
  <c r="AL191" i="6"/>
  <c r="AM191" i="6"/>
  <c r="AN191" i="6"/>
  <c r="V192" i="6"/>
  <c r="W192" i="6"/>
  <c r="AC192" i="6"/>
  <c r="AD192" i="6"/>
  <c r="AE192" i="6"/>
  <c r="X192" i="6" s="1"/>
  <c r="AF192" i="6"/>
  <c r="Y192" i="6" s="1"/>
  <c r="AG192" i="6"/>
  <c r="Z192" i="6" s="1"/>
  <c r="AH192" i="6"/>
  <c r="AA192" i="6" s="1"/>
  <c r="AI192" i="6"/>
  <c r="AB192" i="6" s="1"/>
  <c r="AJ192" i="6"/>
  <c r="AK192" i="6"/>
  <c r="AL192" i="6"/>
  <c r="AM192" i="6"/>
  <c r="AN192" i="6"/>
  <c r="V193" i="6"/>
  <c r="W193" i="6"/>
  <c r="AC193" i="6"/>
  <c r="AD193" i="6"/>
  <c r="AE193" i="6"/>
  <c r="X193" i="6" s="1"/>
  <c r="AF193" i="6"/>
  <c r="Y193" i="6" s="1"/>
  <c r="AG193" i="6"/>
  <c r="Z193" i="6" s="1"/>
  <c r="AH193" i="6"/>
  <c r="AA193" i="6" s="1"/>
  <c r="AI193" i="6"/>
  <c r="AB193" i="6" s="1"/>
  <c r="AJ193" i="6"/>
  <c r="AK193" i="6"/>
  <c r="AL193" i="6"/>
  <c r="AM193" i="6"/>
  <c r="AN193" i="6"/>
  <c r="V194" i="6"/>
  <c r="W194" i="6"/>
  <c r="AC194" i="6"/>
  <c r="AD194" i="6"/>
  <c r="AE194" i="6"/>
  <c r="X194" i="6" s="1"/>
  <c r="AF194" i="6"/>
  <c r="Y194" i="6" s="1"/>
  <c r="AG194" i="6"/>
  <c r="Z194" i="6" s="1"/>
  <c r="AH194" i="6"/>
  <c r="AA194" i="6" s="1"/>
  <c r="AI194" i="6"/>
  <c r="AB194" i="6" s="1"/>
  <c r="AJ194" i="6"/>
  <c r="AK194" i="6"/>
  <c r="AL194" i="6"/>
  <c r="AM194" i="6"/>
  <c r="AN194" i="6"/>
  <c r="V195" i="6"/>
  <c r="W195" i="6"/>
  <c r="AC195" i="6"/>
  <c r="AD195" i="6"/>
  <c r="AE195" i="6"/>
  <c r="X195" i="6" s="1"/>
  <c r="AF195" i="6"/>
  <c r="Y195" i="6" s="1"/>
  <c r="AG195" i="6"/>
  <c r="Z195" i="6" s="1"/>
  <c r="AH195" i="6"/>
  <c r="AA195" i="6" s="1"/>
  <c r="AI195" i="6"/>
  <c r="AB195" i="6" s="1"/>
  <c r="AJ195" i="6"/>
  <c r="AK195" i="6"/>
  <c r="AL195" i="6"/>
  <c r="AM195" i="6"/>
  <c r="AN195" i="6"/>
  <c r="V196" i="6"/>
  <c r="W196" i="6"/>
  <c r="AC196" i="6"/>
  <c r="AD196" i="6"/>
  <c r="AE196" i="6"/>
  <c r="X196" i="6" s="1"/>
  <c r="AF196" i="6"/>
  <c r="Y196" i="6" s="1"/>
  <c r="AG196" i="6"/>
  <c r="Z196" i="6" s="1"/>
  <c r="AH196" i="6"/>
  <c r="AA196" i="6" s="1"/>
  <c r="AI196" i="6"/>
  <c r="AB196" i="6" s="1"/>
  <c r="AJ196" i="6"/>
  <c r="AK196" i="6"/>
  <c r="AL196" i="6"/>
  <c r="AM196" i="6"/>
  <c r="AN196" i="6"/>
  <c r="V197" i="6"/>
  <c r="W197" i="6"/>
  <c r="AC197" i="6"/>
  <c r="AD197" i="6"/>
  <c r="AE197" i="6"/>
  <c r="X197" i="6" s="1"/>
  <c r="AF197" i="6"/>
  <c r="Y197" i="6" s="1"/>
  <c r="AG197" i="6"/>
  <c r="Z197" i="6" s="1"/>
  <c r="AH197" i="6"/>
  <c r="AA197" i="6" s="1"/>
  <c r="AI197" i="6"/>
  <c r="AB197" i="6" s="1"/>
  <c r="AJ197" i="6"/>
  <c r="AK197" i="6"/>
  <c r="AL197" i="6"/>
  <c r="AM197" i="6"/>
  <c r="AN197" i="6"/>
  <c r="V198" i="6"/>
  <c r="W198" i="6"/>
  <c r="AC198" i="6"/>
  <c r="AD198" i="6"/>
  <c r="AE198" i="6"/>
  <c r="X198" i="6" s="1"/>
  <c r="AF198" i="6"/>
  <c r="Y198" i="6" s="1"/>
  <c r="AG198" i="6"/>
  <c r="Z198" i="6" s="1"/>
  <c r="AH198" i="6"/>
  <c r="AA198" i="6" s="1"/>
  <c r="AI198" i="6"/>
  <c r="AB198" i="6" s="1"/>
  <c r="AJ198" i="6"/>
  <c r="AK198" i="6"/>
  <c r="AL198" i="6"/>
  <c r="AM198" i="6"/>
  <c r="AN198" i="6"/>
  <c r="V199" i="6"/>
  <c r="W199" i="6"/>
  <c r="AC199" i="6"/>
  <c r="AD199" i="6"/>
  <c r="AE199" i="6"/>
  <c r="X199" i="6" s="1"/>
  <c r="AF199" i="6"/>
  <c r="Y199" i="6" s="1"/>
  <c r="AG199" i="6"/>
  <c r="Z199" i="6" s="1"/>
  <c r="AH199" i="6"/>
  <c r="AA199" i="6" s="1"/>
  <c r="AI199" i="6"/>
  <c r="AB199" i="6" s="1"/>
  <c r="AJ199" i="6"/>
  <c r="AK199" i="6"/>
  <c r="AL199" i="6"/>
  <c r="AM199" i="6"/>
  <c r="AN199" i="6"/>
  <c r="V200" i="6"/>
  <c r="W200" i="6"/>
  <c r="AC200" i="6"/>
  <c r="AD200" i="6"/>
  <c r="AE200" i="6"/>
  <c r="X200" i="6" s="1"/>
  <c r="AF200" i="6"/>
  <c r="Y200" i="6" s="1"/>
  <c r="AG200" i="6"/>
  <c r="Z200" i="6" s="1"/>
  <c r="AH200" i="6"/>
  <c r="AA200" i="6" s="1"/>
  <c r="AI200" i="6"/>
  <c r="AB200" i="6" s="1"/>
  <c r="AJ200" i="6"/>
  <c r="AK200" i="6"/>
  <c r="AL200" i="6"/>
  <c r="AM200" i="6"/>
  <c r="AN200" i="6"/>
  <c r="V201" i="6"/>
  <c r="W201" i="6"/>
  <c r="AC201" i="6"/>
  <c r="AD201" i="6"/>
  <c r="AE201" i="6"/>
  <c r="X201" i="6" s="1"/>
  <c r="AF201" i="6"/>
  <c r="Y201" i="6" s="1"/>
  <c r="AG201" i="6"/>
  <c r="Z201" i="6" s="1"/>
  <c r="AH201" i="6"/>
  <c r="AA201" i="6" s="1"/>
  <c r="AI201" i="6"/>
  <c r="AB201" i="6" s="1"/>
  <c r="AJ201" i="6"/>
  <c r="AK201" i="6"/>
  <c r="AL201" i="6"/>
  <c r="AM201" i="6"/>
  <c r="AN201" i="6"/>
  <c r="V202" i="6"/>
  <c r="W202" i="6"/>
  <c r="AC202" i="6"/>
  <c r="AD202" i="6"/>
  <c r="AE202" i="6"/>
  <c r="X202" i="6" s="1"/>
  <c r="AF202" i="6"/>
  <c r="Y202" i="6" s="1"/>
  <c r="AG202" i="6"/>
  <c r="Z202" i="6" s="1"/>
  <c r="AH202" i="6"/>
  <c r="AA202" i="6" s="1"/>
  <c r="AI202" i="6"/>
  <c r="AB202" i="6" s="1"/>
  <c r="AJ202" i="6"/>
  <c r="AK202" i="6"/>
  <c r="AL202" i="6"/>
  <c r="AM202" i="6"/>
  <c r="AN202" i="6"/>
  <c r="V203" i="6"/>
  <c r="W203" i="6"/>
  <c r="AC203" i="6"/>
  <c r="AD203" i="6"/>
  <c r="AE203" i="6"/>
  <c r="X203" i="6" s="1"/>
  <c r="AF203" i="6"/>
  <c r="Y203" i="6" s="1"/>
  <c r="AG203" i="6"/>
  <c r="Z203" i="6" s="1"/>
  <c r="AH203" i="6"/>
  <c r="AA203" i="6" s="1"/>
  <c r="AI203" i="6"/>
  <c r="AB203" i="6" s="1"/>
  <c r="AJ203" i="6"/>
  <c r="AK203" i="6"/>
  <c r="AL203" i="6"/>
  <c r="AM203" i="6"/>
  <c r="AN203" i="6"/>
  <c r="V204" i="6"/>
  <c r="W204" i="6"/>
  <c r="AC204" i="6"/>
  <c r="AD204" i="6"/>
  <c r="AE204" i="6"/>
  <c r="X204" i="6" s="1"/>
  <c r="AF204" i="6"/>
  <c r="Y204" i="6" s="1"/>
  <c r="AG204" i="6"/>
  <c r="Z204" i="6" s="1"/>
  <c r="AH204" i="6"/>
  <c r="AA204" i="6" s="1"/>
  <c r="AI204" i="6"/>
  <c r="AB204" i="6" s="1"/>
  <c r="AJ204" i="6"/>
  <c r="AK204" i="6"/>
  <c r="AL204" i="6"/>
  <c r="AM204" i="6"/>
  <c r="AN204" i="6"/>
  <c r="V205" i="6"/>
  <c r="W205" i="6"/>
  <c r="AC205" i="6"/>
  <c r="AD205" i="6"/>
  <c r="AE205" i="6"/>
  <c r="X205" i="6" s="1"/>
  <c r="AF205" i="6"/>
  <c r="Y205" i="6" s="1"/>
  <c r="AG205" i="6"/>
  <c r="Z205" i="6" s="1"/>
  <c r="AH205" i="6"/>
  <c r="AA205" i="6" s="1"/>
  <c r="AI205" i="6"/>
  <c r="AB205" i="6" s="1"/>
  <c r="AJ205" i="6"/>
  <c r="AK205" i="6"/>
  <c r="AL205" i="6"/>
  <c r="AM205" i="6"/>
  <c r="AN205" i="6"/>
  <c r="V206" i="6"/>
  <c r="W206" i="6"/>
  <c r="AC206" i="6"/>
  <c r="AD206" i="6"/>
  <c r="AE206" i="6"/>
  <c r="X206" i="6" s="1"/>
  <c r="AF206" i="6"/>
  <c r="Y206" i="6" s="1"/>
  <c r="AG206" i="6"/>
  <c r="Z206" i="6" s="1"/>
  <c r="AH206" i="6"/>
  <c r="AA206" i="6" s="1"/>
  <c r="AI206" i="6"/>
  <c r="AB206" i="6" s="1"/>
  <c r="AJ206" i="6"/>
  <c r="AK206" i="6"/>
  <c r="AL206" i="6"/>
  <c r="AM206" i="6"/>
  <c r="AN206" i="6"/>
  <c r="V207" i="6"/>
  <c r="W207" i="6"/>
  <c r="AC207" i="6"/>
  <c r="AD207" i="6"/>
  <c r="AE207" i="6"/>
  <c r="X207" i="6" s="1"/>
  <c r="AF207" i="6"/>
  <c r="Y207" i="6" s="1"/>
  <c r="AG207" i="6"/>
  <c r="Z207" i="6" s="1"/>
  <c r="AH207" i="6"/>
  <c r="AA207" i="6" s="1"/>
  <c r="AI207" i="6"/>
  <c r="AB207" i="6" s="1"/>
  <c r="AJ207" i="6"/>
  <c r="AK207" i="6"/>
  <c r="AL207" i="6"/>
  <c r="AM207" i="6"/>
  <c r="AN207" i="6"/>
  <c r="V208" i="6"/>
  <c r="W208" i="6"/>
  <c r="AC208" i="6"/>
  <c r="AD208" i="6"/>
  <c r="AE208" i="6"/>
  <c r="X208" i="6" s="1"/>
  <c r="AF208" i="6"/>
  <c r="Y208" i="6" s="1"/>
  <c r="AG208" i="6"/>
  <c r="Z208" i="6" s="1"/>
  <c r="AH208" i="6"/>
  <c r="AA208" i="6" s="1"/>
  <c r="AI208" i="6"/>
  <c r="AB208" i="6" s="1"/>
  <c r="AJ208" i="6"/>
  <c r="AK208" i="6"/>
  <c r="AL208" i="6"/>
  <c r="AM208" i="6"/>
  <c r="AN208" i="6"/>
  <c r="V209" i="6"/>
  <c r="W209" i="6"/>
  <c r="AC209" i="6"/>
  <c r="AD209" i="6"/>
  <c r="AE209" i="6"/>
  <c r="X209" i="6" s="1"/>
  <c r="AF209" i="6"/>
  <c r="Y209" i="6" s="1"/>
  <c r="AG209" i="6"/>
  <c r="Z209" i="6" s="1"/>
  <c r="AH209" i="6"/>
  <c r="AA209" i="6" s="1"/>
  <c r="AI209" i="6"/>
  <c r="AB209" i="6" s="1"/>
  <c r="AJ209" i="6"/>
  <c r="AK209" i="6"/>
  <c r="AL209" i="6"/>
  <c r="AM209" i="6"/>
  <c r="AN209" i="6"/>
  <c r="V210" i="6"/>
  <c r="W210" i="6"/>
  <c r="AC210" i="6"/>
  <c r="AD210" i="6"/>
  <c r="AE210" i="6"/>
  <c r="X210" i="6" s="1"/>
  <c r="AF210" i="6"/>
  <c r="Y210" i="6" s="1"/>
  <c r="AG210" i="6"/>
  <c r="Z210" i="6" s="1"/>
  <c r="AH210" i="6"/>
  <c r="AA210" i="6" s="1"/>
  <c r="AI210" i="6"/>
  <c r="AB210" i="6" s="1"/>
  <c r="AJ210" i="6"/>
  <c r="AK210" i="6"/>
  <c r="AL210" i="6"/>
  <c r="AM210" i="6"/>
  <c r="AN210" i="6"/>
  <c r="V211" i="6"/>
  <c r="W211" i="6"/>
  <c r="AC211" i="6"/>
  <c r="AD211" i="6"/>
  <c r="AE211" i="6"/>
  <c r="X211" i="6" s="1"/>
  <c r="AF211" i="6"/>
  <c r="Y211" i="6" s="1"/>
  <c r="AG211" i="6"/>
  <c r="Z211" i="6" s="1"/>
  <c r="AH211" i="6"/>
  <c r="AA211" i="6" s="1"/>
  <c r="AI211" i="6"/>
  <c r="AB211" i="6" s="1"/>
  <c r="AJ211" i="6"/>
  <c r="AK211" i="6"/>
  <c r="AL211" i="6"/>
  <c r="AM211" i="6"/>
  <c r="AN211" i="6"/>
  <c r="V212" i="6"/>
  <c r="W212" i="6"/>
  <c r="AC212" i="6"/>
  <c r="AD212" i="6"/>
  <c r="AE212" i="6"/>
  <c r="X212" i="6" s="1"/>
  <c r="AF212" i="6"/>
  <c r="Y212" i="6" s="1"/>
  <c r="AG212" i="6"/>
  <c r="Z212" i="6" s="1"/>
  <c r="AH212" i="6"/>
  <c r="AA212" i="6" s="1"/>
  <c r="AI212" i="6"/>
  <c r="AB212" i="6" s="1"/>
  <c r="AJ212" i="6"/>
  <c r="AK212" i="6"/>
  <c r="AL212" i="6"/>
  <c r="AM212" i="6"/>
  <c r="AN212" i="6"/>
  <c r="V213" i="6"/>
  <c r="W213" i="6"/>
  <c r="AC213" i="6"/>
  <c r="AD213" i="6"/>
  <c r="AE213" i="6"/>
  <c r="X213" i="6" s="1"/>
  <c r="AF213" i="6"/>
  <c r="Y213" i="6" s="1"/>
  <c r="AG213" i="6"/>
  <c r="Z213" i="6" s="1"/>
  <c r="AH213" i="6"/>
  <c r="AA213" i="6" s="1"/>
  <c r="AI213" i="6"/>
  <c r="AB213" i="6" s="1"/>
  <c r="AJ213" i="6"/>
  <c r="AK213" i="6"/>
  <c r="AL213" i="6"/>
  <c r="AM213" i="6"/>
  <c r="AN213" i="6"/>
  <c r="V214" i="6"/>
  <c r="W214" i="6"/>
  <c r="AC214" i="6"/>
  <c r="AD214" i="6"/>
  <c r="AE214" i="6"/>
  <c r="X214" i="6" s="1"/>
  <c r="AF214" i="6"/>
  <c r="Y214" i="6" s="1"/>
  <c r="AG214" i="6"/>
  <c r="Z214" i="6" s="1"/>
  <c r="AH214" i="6"/>
  <c r="AA214" i="6" s="1"/>
  <c r="AI214" i="6"/>
  <c r="AB214" i="6" s="1"/>
  <c r="AJ214" i="6"/>
  <c r="AK214" i="6"/>
  <c r="AL214" i="6"/>
  <c r="AM214" i="6"/>
  <c r="AN214" i="6"/>
  <c r="V215" i="6"/>
  <c r="W215" i="6"/>
  <c r="AC215" i="6"/>
  <c r="AD215" i="6"/>
  <c r="AE215" i="6"/>
  <c r="X215" i="6" s="1"/>
  <c r="AF215" i="6"/>
  <c r="Y215" i="6" s="1"/>
  <c r="AG215" i="6"/>
  <c r="Z215" i="6" s="1"/>
  <c r="AH215" i="6"/>
  <c r="AA215" i="6" s="1"/>
  <c r="AI215" i="6"/>
  <c r="AB215" i="6" s="1"/>
  <c r="AJ215" i="6"/>
  <c r="AK215" i="6"/>
  <c r="AL215" i="6"/>
  <c r="AM215" i="6"/>
  <c r="AN215" i="6"/>
  <c r="V216" i="6"/>
  <c r="W216" i="6"/>
  <c r="AC216" i="6"/>
  <c r="AD216" i="6"/>
  <c r="AE216" i="6"/>
  <c r="X216" i="6" s="1"/>
  <c r="AF216" i="6"/>
  <c r="Y216" i="6" s="1"/>
  <c r="AG216" i="6"/>
  <c r="Z216" i="6" s="1"/>
  <c r="AH216" i="6"/>
  <c r="AA216" i="6" s="1"/>
  <c r="AI216" i="6"/>
  <c r="AB216" i="6" s="1"/>
  <c r="AJ216" i="6"/>
  <c r="AK216" i="6"/>
  <c r="AL216" i="6"/>
  <c r="AM216" i="6"/>
  <c r="AN216" i="6"/>
  <c r="V217" i="6"/>
  <c r="W217" i="6"/>
  <c r="AC217" i="6"/>
  <c r="AD217" i="6"/>
  <c r="AE217" i="6"/>
  <c r="X217" i="6" s="1"/>
  <c r="AF217" i="6"/>
  <c r="Y217" i="6" s="1"/>
  <c r="AG217" i="6"/>
  <c r="Z217" i="6" s="1"/>
  <c r="AH217" i="6"/>
  <c r="AA217" i="6" s="1"/>
  <c r="AI217" i="6"/>
  <c r="AB217" i="6" s="1"/>
  <c r="AJ217" i="6"/>
  <c r="AK217" i="6"/>
  <c r="AL217" i="6"/>
  <c r="AM217" i="6"/>
  <c r="AN217" i="6"/>
  <c r="V218" i="6"/>
  <c r="W218" i="6"/>
  <c r="AC218" i="6"/>
  <c r="AD218" i="6"/>
  <c r="AE218" i="6"/>
  <c r="X218" i="6" s="1"/>
  <c r="AF218" i="6"/>
  <c r="Y218" i="6" s="1"/>
  <c r="AG218" i="6"/>
  <c r="Z218" i="6" s="1"/>
  <c r="AH218" i="6"/>
  <c r="AA218" i="6" s="1"/>
  <c r="AI218" i="6"/>
  <c r="AB218" i="6" s="1"/>
  <c r="AJ218" i="6"/>
  <c r="AK218" i="6"/>
  <c r="AL218" i="6"/>
  <c r="AM218" i="6"/>
  <c r="AN218" i="6"/>
  <c r="V219" i="6"/>
  <c r="W219" i="6"/>
  <c r="AC219" i="6"/>
  <c r="AD219" i="6"/>
  <c r="AE219" i="6"/>
  <c r="X219" i="6" s="1"/>
  <c r="AF219" i="6"/>
  <c r="Y219" i="6" s="1"/>
  <c r="AG219" i="6"/>
  <c r="Z219" i="6" s="1"/>
  <c r="AH219" i="6"/>
  <c r="AA219" i="6" s="1"/>
  <c r="AI219" i="6"/>
  <c r="AB219" i="6" s="1"/>
  <c r="AJ219" i="6"/>
  <c r="AK219" i="6"/>
  <c r="AL219" i="6"/>
  <c r="AM219" i="6"/>
  <c r="AN219" i="6"/>
  <c r="V220" i="6"/>
  <c r="W220" i="6"/>
  <c r="AC220" i="6"/>
  <c r="AD220" i="6"/>
  <c r="AE220" i="6"/>
  <c r="X220" i="6" s="1"/>
  <c r="AF220" i="6"/>
  <c r="Y220" i="6" s="1"/>
  <c r="AG220" i="6"/>
  <c r="Z220" i="6" s="1"/>
  <c r="AH220" i="6"/>
  <c r="AA220" i="6" s="1"/>
  <c r="AI220" i="6"/>
  <c r="AB220" i="6" s="1"/>
  <c r="AJ220" i="6"/>
  <c r="AK220" i="6"/>
  <c r="AL220" i="6"/>
  <c r="AM220" i="6"/>
  <c r="AN220" i="6"/>
  <c r="V221" i="6"/>
  <c r="W221" i="6"/>
  <c r="AC221" i="6"/>
  <c r="AD221" i="6"/>
  <c r="AE221" i="6"/>
  <c r="X221" i="6" s="1"/>
  <c r="AF221" i="6"/>
  <c r="Y221" i="6" s="1"/>
  <c r="AG221" i="6"/>
  <c r="Z221" i="6" s="1"/>
  <c r="AH221" i="6"/>
  <c r="AA221" i="6" s="1"/>
  <c r="AI221" i="6"/>
  <c r="AB221" i="6" s="1"/>
  <c r="AJ221" i="6"/>
  <c r="AK221" i="6"/>
  <c r="AL221" i="6"/>
  <c r="AM221" i="6"/>
  <c r="AN221" i="6"/>
  <c r="V222" i="6"/>
  <c r="W222" i="6"/>
  <c r="AC222" i="6"/>
  <c r="AD222" i="6"/>
  <c r="AE222" i="6"/>
  <c r="X222" i="6" s="1"/>
  <c r="AF222" i="6"/>
  <c r="Y222" i="6" s="1"/>
  <c r="AG222" i="6"/>
  <c r="Z222" i="6" s="1"/>
  <c r="AH222" i="6"/>
  <c r="AA222" i="6" s="1"/>
  <c r="AI222" i="6"/>
  <c r="AB222" i="6" s="1"/>
  <c r="AJ222" i="6"/>
  <c r="AK222" i="6"/>
  <c r="AL222" i="6"/>
  <c r="AM222" i="6"/>
  <c r="AN222" i="6"/>
  <c r="V223" i="6"/>
  <c r="W223" i="6"/>
  <c r="AC223" i="6"/>
  <c r="AD223" i="6"/>
  <c r="AE223" i="6"/>
  <c r="X223" i="6" s="1"/>
  <c r="AF223" i="6"/>
  <c r="Y223" i="6" s="1"/>
  <c r="AG223" i="6"/>
  <c r="Z223" i="6" s="1"/>
  <c r="AH223" i="6"/>
  <c r="AA223" i="6" s="1"/>
  <c r="AI223" i="6"/>
  <c r="AB223" i="6" s="1"/>
  <c r="AJ223" i="6"/>
  <c r="AK223" i="6"/>
  <c r="AL223" i="6"/>
  <c r="AM223" i="6"/>
  <c r="AN223" i="6"/>
  <c r="V224" i="6"/>
  <c r="W224" i="6"/>
  <c r="AC224" i="6"/>
  <c r="AD224" i="6"/>
  <c r="AE224" i="6"/>
  <c r="X224" i="6" s="1"/>
  <c r="AF224" i="6"/>
  <c r="Y224" i="6" s="1"/>
  <c r="AG224" i="6"/>
  <c r="Z224" i="6" s="1"/>
  <c r="AH224" i="6"/>
  <c r="AA224" i="6" s="1"/>
  <c r="AI224" i="6"/>
  <c r="AB224" i="6" s="1"/>
  <c r="AJ224" i="6"/>
  <c r="AK224" i="6"/>
  <c r="AL224" i="6"/>
  <c r="AM224" i="6"/>
  <c r="AN224" i="6"/>
  <c r="V225" i="6"/>
  <c r="W225" i="6"/>
  <c r="AC225" i="6"/>
  <c r="AD225" i="6"/>
  <c r="AE225" i="6"/>
  <c r="X225" i="6" s="1"/>
  <c r="AF225" i="6"/>
  <c r="Y225" i="6" s="1"/>
  <c r="AG225" i="6"/>
  <c r="Z225" i="6" s="1"/>
  <c r="AH225" i="6"/>
  <c r="AA225" i="6" s="1"/>
  <c r="AI225" i="6"/>
  <c r="AB225" i="6" s="1"/>
  <c r="AJ225" i="6"/>
  <c r="AK225" i="6"/>
  <c r="AL225" i="6"/>
  <c r="AM225" i="6"/>
  <c r="AN225" i="6"/>
  <c r="V226" i="6"/>
  <c r="W226" i="6"/>
  <c r="AC226" i="6"/>
  <c r="AD226" i="6"/>
  <c r="AE226" i="6"/>
  <c r="X226" i="6" s="1"/>
  <c r="AF226" i="6"/>
  <c r="Y226" i="6" s="1"/>
  <c r="AG226" i="6"/>
  <c r="Z226" i="6" s="1"/>
  <c r="AH226" i="6"/>
  <c r="AA226" i="6" s="1"/>
  <c r="AI226" i="6"/>
  <c r="AB226" i="6" s="1"/>
  <c r="AJ226" i="6"/>
  <c r="AK226" i="6"/>
  <c r="AL226" i="6"/>
  <c r="AM226" i="6"/>
  <c r="AN226" i="6"/>
  <c r="V227" i="6"/>
  <c r="W227" i="6"/>
  <c r="AC227" i="6"/>
  <c r="AD227" i="6"/>
  <c r="AE227" i="6"/>
  <c r="X227" i="6" s="1"/>
  <c r="AF227" i="6"/>
  <c r="Y227" i="6" s="1"/>
  <c r="AG227" i="6"/>
  <c r="Z227" i="6" s="1"/>
  <c r="AH227" i="6"/>
  <c r="AA227" i="6" s="1"/>
  <c r="AI227" i="6"/>
  <c r="AB227" i="6" s="1"/>
  <c r="AJ227" i="6"/>
  <c r="AK227" i="6"/>
  <c r="AL227" i="6"/>
  <c r="AM227" i="6"/>
  <c r="AN227" i="6"/>
  <c r="V228" i="6"/>
  <c r="W228" i="6"/>
  <c r="AC228" i="6"/>
  <c r="AD228" i="6"/>
  <c r="AE228" i="6"/>
  <c r="X228" i="6" s="1"/>
  <c r="AF228" i="6"/>
  <c r="Y228" i="6" s="1"/>
  <c r="AG228" i="6"/>
  <c r="Z228" i="6" s="1"/>
  <c r="AH228" i="6"/>
  <c r="AA228" i="6" s="1"/>
  <c r="AI228" i="6"/>
  <c r="AB228" i="6" s="1"/>
  <c r="AJ228" i="6"/>
  <c r="AK228" i="6"/>
  <c r="AL228" i="6"/>
  <c r="AM228" i="6"/>
  <c r="AN228" i="6"/>
  <c r="V229" i="6"/>
  <c r="W229" i="6"/>
  <c r="AC229" i="6"/>
  <c r="AD229" i="6"/>
  <c r="AE229" i="6"/>
  <c r="X229" i="6" s="1"/>
  <c r="AF229" i="6"/>
  <c r="Y229" i="6" s="1"/>
  <c r="AG229" i="6"/>
  <c r="Z229" i="6" s="1"/>
  <c r="AH229" i="6"/>
  <c r="AA229" i="6" s="1"/>
  <c r="AI229" i="6"/>
  <c r="AB229" i="6" s="1"/>
  <c r="AJ229" i="6"/>
  <c r="AK229" i="6"/>
  <c r="AL229" i="6"/>
  <c r="AM229" i="6"/>
  <c r="AN229" i="6"/>
  <c r="V230" i="6"/>
  <c r="W230" i="6"/>
  <c r="AC230" i="6"/>
  <c r="AD230" i="6"/>
  <c r="AE230" i="6"/>
  <c r="X230" i="6" s="1"/>
  <c r="AF230" i="6"/>
  <c r="Y230" i="6" s="1"/>
  <c r="AG230" i="6"/>
  <c r="Z230" i="6" s="1"/>
  <c r="AH230" i="6"/>
  <c r="AA230" i="6" s="1"/>
  <c r="AI230" i="6"/>
  <c r="AB230" i="6" s="1"/>
  <c r="AJ230" i="6"/>
  <c r="AK230" i="6"/>
  <c r="AL230" i="6"/>
  <c r="AM230" i="6"/>
  <c r="AN230" i="6"/>
  <c r="V231" i="6"/>
  <c r="W231" i="6"/>
  <c r="AC231" i="6"/>
  <c r="AD231" i="6"/>
  <c r="AE231" i="6"/>
  <c r="X231" i="6" s="1"/>
  <c r="AF231" i="6"/>
  <c r="Y231" i="6" s="1"/>
  <c r="AG231" i="6"/>
  <c r="Z231" i="6" s="1"/>
  <c r="AH231" i="6"/>
  <c r="AA231" i="6" s="1"/>
  <c r="AI231" i="6"/>
  <c r="AB231" i="6" s="1"/>
  <c r="AJ231" i="6"/>
  <c r="AK231" i="6"/>
  <c r="AL231" i="6"/>
  <c r="AM231" i="6"/>
  <c r="AN231" i="6"/>
  <c r="V232" i="6"/>
  <c r="W232" i="6"/>
  <c r="AC232" i="6"/>
  <c r="AD232" i="6"/>
  <c r="AE232" i="6"/>
  <c r="X232" i="6" s="1"/>
  <c r="AF232" i="6"/>
  <c r="Y232" i="6" s="1"/>
  <c r="AG232" i="6"/>
  <c r="Z232" i="6" s="1"/>
  <c r="AH232" i="6"/>
  <c r="AA232" i="6" s="1"/>
  <c r="AI232" i="6"/>
  <c r="AB232" i="6" s="1"/>
  <c r="AJ232" i="6"/>
  <c r="AK232" i="6"/>
  <c r="AL232" i="6"/>
  <c r="AM232" i="6"/>
  <c r="AN232" i="6"/>
  <c r="V233" i="6"/>
  <c r="W233" i="6"/>
  <c r="AC233" i="6"/>
  <c r="AD233" i="6"/>
  <c r="AE233" i="6"/>
  <c r="X233" i="6" s="1"/>
  <c r="AF233" i="6"/>
  <c r="Y233" i="6" s="1"/>
  <c r="AG233" i="6"/>
  <c r="Z233" i="6" s="1"/>
  <c r="AH233" i="6"/>
  <c r="AA233" i="6" s="1"/>
  <c r="AI233" i="6"/>
  <c r="AB233" i="6" s="1"/>
  <c r="AJ233" i="6"/>
  <c r="AK233" i="6"/>
  <c r="AL233" i="6"/>
  <c r="AM233" i="6"/>
  <c r="AN233" i="6"/>
  <c r="V234" i="6"/>
  <c r="W234" i="6"/>
  <c r="AC234" i="6"/>
  <c r="AD234" i="6"/>
  <c r="AE234" i="6"/>
  <c r="X234" i="6" s="1"/>
  <c r="AF234" i="6"/>
  <c r="Y234" i="6" s="1"/>
  <c r="AG234" i="6"/>
  <c r="Z234" i="6" s="1"/>
  <c r="AH234" i="6"/>
  <c r="AA234" i="6" s="1"/>
  <c r="AI234" i="6"/>
  <c r="AB234" i="6" s="1"/>
  <c r="AJ234" i="6"/>
  <c r="AK234" i="6"/>
  <c r="AL234" i="6"/>
  <c r="AM234" i="6"/>
  <c r="AN234" i="6"/>
  <c r="V235" i="6"/>
  <c r="W235" i="6"/>
  <c r="AC235" i="6"/>
  <c r="AD235" i="6"/>
  <c r="AE235" i="6"/>
  <c r="X235" i="6" s="1"/>
  <c r="AF235" i="6"/>
  <c r="Y235" i="6" s="1"/>
  <c r="AG235" i="6"/>
  <c r="Z235" i="6" s="1"/>
  <c r="AH235" i="6"/>
  <c r="AA235" i="6" s="1"/>
  <c r="AI235" i="6"/>
  <c r="AB235" i="6" s="1"/>
  <c r="AJ235" i="6"/>
  <c r="AK235" i="6"/>
  <c r="AL235" i="6"/>
  <c r="AM235" i="6"/>
  <c r="AN235" i="6"/>
  <c r="V236" i="6"/>
  <c r="W236" i="6"/>
  <c r="AC236" i="6"/>
  <c r="AD236" i="6"/>
  <c r="AE236" i="6"/>
  <c r="X236" i="6" s="1"/>
  <c r="AF236" i="6"/>
  <c r="Y236" i="6" s="1"/>
  <c r="AG236" i="6"/>
  <c r="Z236" i="6" s="1"/>
  <c r="AH236" i="6"/>
  <c r="AA236" i="6" s="1"/>
  <c r="AI236" i="6"/>
  <c r="AB236" i="6" s="1"/>
  <c r="AJ236" i="6"/>
  <c r="AK236" i="6"/>
  <c r="AL236" i="6"/>
  <c r="AM236" i="6"/>
  <c r="AN236" i="6"/>
  <c r="V237" i="6"/>
  <c r="W237" i="6"/>
  <c r="AC237" i="6"/>
  <c r="AD237" i="6"/>
  <c r="AE237" i="6"/>
  <c r="X237" i="6" s="1"/>
  <c r="AF237" i="6"/>
  <c r="Y237" i="6" s="1"/>
  <c r="AG237" i="6"/>
  <c r="Z237" i="6" s="1"/>
  <c r="AH237" i="6"/>
  <c r="AA237" i="6" s="1"/>
  <c r="AI237" i="6"/>
  <c r="AB237" i="6" s="1"/>
  <c r="AJ237" i="6"/>
  <c r="AK237" i="6"/>
  <c r="AL237" i="6"/>
  <c r="AM237" i="6"/>
  <c r="AN237" i="6"/>
  <c r="V238" i="6"/>
  <c r="W238" i="6"/>
  <c r="AC238" i="6"/>
  <c r="AD238" i="6"/>
  <c r="AE238" i="6"/>
  <c r="X238" i="6" s="1"/>
  <c r="AF238" i="6"/>
  <c r="Y238" i="6" s="1"/>
  <c r="AG238" i="6"/>
  <c r="Z238" i="6" s="1"/>
  <c r="AH238" i="6"/>
  <c r="AA238" i="6" s="1"/>
  <c r="AI238" i="6"/>
  <c r="AB238" i="6" s="1"/>
  <c r="AJ238" i="6"/>
  <c r="AK238" i="6"/>
  <c r="AL238" i="6"/>
  <c r="AM238" i="6"/>
  <c r="AN238" i="6"/>
  <c r="V239" i="6"/>
  <c r="W239" i="6"/>
  <c r="AC239" i="6"/>
  <c r="AD239" i="6"/>
  <c r="AE239" i="6"/>
  <c r="X239" i="6" s="1"/>
  <c r="AF239" i="6"/>
  <c r="Y239" i="6" s="1"/>
  <c r="AG239" i="6"/>
  <c r="Z239" i="6" s="1"/>
  <c r="AH239" i="6"/>
  <c r="AA239" i="6" s="1"/>
  <c r="AI239" i="6"/>
  <c r="AB239" i="6" s="1"/>
  <c r="AJ239" i="6"/>
  <c r="AK239" i="6"/>
  <c r="AL239" i="6"/>
  <c r="AM239" i="6"/>
  <c r="AN239" i="6"/>
  <c r="V240" i="6"/>
  <c r="W240" i="6"/>
  <c r="AC240" i="6"/>
  <c r="AD240" i="6"/>
  <c r="AE240" i="6"/>
  <c r="X240" i="6" s="1"/>
  <c r="AF240" i="6"/>
  <c r="Y240" i="6" s="1"/>
  <c r="AG240" i="6"/>
  <c r="Z240" i="6" s="1"/>
  <c r="AH240" i="6"/>
  <c r="AA240" i="6" s="1"/>
  <c r="AI240" i="6"/>
  <c r="AB240" i="6" s="1"/>
  <c r="AJ240" i="6"/>
  <c r="AK240" i="6"/>
  <c r="AL240" i="6"/>
  <c r="AM240" i="6"/>
  <c r="AN240" i="6"/>
  <c r="V241" i="6"/>
  <c r="W241" i="6"/>
  <c r="AC241" i="6"/>
  <c r="AD241" i="6"/>
  <c r="AE241" i="6"/>
  <c r="X241" i="6" s="1"/>
  <c r="AF241" i="6"/>
  <c r="Y241" i="6" s="1"/>
  <c r="AG241" i="6"/>
  <c r="Z241" i="6" s="1"/>
  <c r="AH241" i="6"/>
  <c r="AA241" i="6" s="1"/>
  <c r="AI241" i="6"/>
  <c r="AB241" i="6" s="1"/>
  <c r="AJ241" i="6"/>
  <c r="AK241" i="6"/>
  <c r="AL241" i="6"/>
  <c r="AM241" i="6"/>
  <c r="AN241" i="6"/>
  <c r="V242" i="6"/>
  <c r="W242" i="6"/>
  <c r="AC242" i="6"/>
  <c r="AD242" i="6"/>
  <c r="AE242" i="6"/>
  <c r="X242" i="6" s="1"/>
  <c r="AF242" i="6"/>
  <c r="Y242" i="6" s="1"/>
  <c r="AG242" i="6"/>
  <c r="Z242" i="6" s="1"/>
  <c r="AH242" i="6"/>
  <c r="AA242" i="6" s="1"/>
  <c r="AI242" i="6"/>
  <c r="AB242" i="6" s="1"/>
  <c r="AJ242" i="6"/>
  <c r="AK242" i="6"/>
  <c r="AL242" i="6"/>
  <c r="AM242" i="6"/>
  <c r="AN242" i="6"/>
  <c r="V243" i="6"/>
  <c r="W243" i="6"/>
  <c r="AC243" i="6"/>
  <c r="AD243" i="6"/>
  <c r="AE243" i="6"/>
  <c r="X243" i="6" s="1"/>
  <c r="AF243" i="6"/>
  <c r="Y243" i="6" s="1"/>
  <c r="AG243" i="6"/>
  <c r="Z243" i="6" s="1"/>
  <c r="AH243" i="6"/>
  <c r="AA243" i="6" s="1"/>
  <c r="AI243" i="6"/>
  <c r="AB243" i="6" s="1"/>
  <c r="AJ243" i="6"/>
  <c r="AK243" i="6"/>
  <c r="AL243" i="6"/>
  <c r="AM243" i="6"/>
  <c r="AN243" i="6"/>
  <c r="V244" i="6"/>
  <c r="W244" i="6"/>
  <c r="AC244" i="6"/>
  <c r="AD244" i="6"/>
  <c r="AE244" i="6"/>
  <c r="X244" i="6" s="1"/>
  <c r="AF244" i="6"/>
  <c r="Y244" i="6" s="1"/>
  <c r="AG244" i="6"/>
  <c r="Z244" i="6" s="1"/>
  <c r="AH244" i="6"/>
  <c r="AA244" i="6" s="1"/>
  <c r="AI244" i="6"/>
  <c r="AB244" i="6" s="1"/>
  <c r="AJ244" i="6"/>
  <c r="AK244" i="6"/>
  <c r="AL244" i="6"/>
  <c r="AM244" i="6"/>
  <c r="AN244" i="6"/>
  <c r="V245" i="6"/>
  <c r="W245" i="6"/>
  <c r="AC245" i="6"/>
  <c r="AD245" i="6"/>
  <c r="AE245" i="6"/>
  <c r="X245" i="6" s="1"/>
  <c r="AF245" i="6"/>
  <c r="Y245" i="6" s="1"/>
  <c r="AG245" i="6"/>
  <c r="Z245" i="6" s="1"/>
  <c r="AH245" i="6"/>
  <c r="AA245" i="6" s="1"/>
  <c r="AI245" i="6"/>
  <c r="AB245" i="6" s="1"/>
  <c r="AJ245" i="6"/>
  <c r="AK245" i="6"/>
  <c r="AL245" i="6"/>
  <c r="AM245" i="6"/>
  <c r="AN245" i="6"/>
  <c r="V246" i="6"/>
  <c r="W246" i="6"/>
  <c r="AC246" i="6"/>
  <c r="AD246" i="6"/>
  <c r="AE246" i="6"/>
  <c r="X246" i="6" s="1"/>
  <c r="AF246" i="6"/>
  <c r="Y246" i="6" s="1"/>
  <c r="AG246" i="6"/>
  <c r="Z246" i="6" s="1"/>
  <c r="AH246" i="6"/>
  <c r="AA246" i="6" s="1"/>
  <c r="AI246" i="6"/>
  <c r="AB246" i="6" s="1"/>
  <c r="AJ246" i="6"/>
  <c r="AK246" i="6"/>
  <c r="AL246" i="6"/>
  <c r="AM246" i="6"/>
  <c r="AN246" i="6"/>
  <c r="V247" i="6"/>
  <c r="W247" i="6"/>
  <c r="AC247" i="6"/>
  <c r="AD247" i="6"/>
  <c r="AE247" i="6"/>
  <c r="X247" i="6" s="1"/>
  <c r="AF247" i="6"/>
  <c r="Y247" i="6" s="1"/>
  <c r="AG247" i="6"/>
  <c r="Z247" i="6" s="1"/>
  <c r="AH247" i="6"/>
  <c r="AA247" i="6" s="1"/>
  <c r="AI247" i="6"/>
  <c r="AB247" i="6" s="1"/>
  <c r="AJ247" i="6"/>
  <c r="AK247" i="6"/>
  <c r="AL247" i="6"/>
  <c r="AM247" i="6"/>
  <c r="AN247" i="6"/>
  <c r="V248" i="6"/>
  <c r="W248" i="6"/>
  <c r="AC248" i="6"/>
  <c r="AD248" i="6"/>
  <c r="AE248" i="6"/>
  <c r="X248" i="6" s="1"/>
  <c r="AF248" i="6"/>
  <c r="Y248" i="6" s="1"/>
  <c r="AG248" i="6"/>
  <c r="Z248" i="6" s="1"/>
  <c r="AH248" i="6"/>
  <c r="AA248" i="6" s="1"/>
  <c r="AI248" i="6"/>
  <c r="AB248" i="6" s="1"/>
  <c r="AJ248" i="6"/>
  <c r="AK248" i="6"/>
  <c r="AL248" i="6"/>
  <c r="AM248" i="6"/>
  <c r="AN248" i="6"/>
  <c r="V249" i="6"/>
  <c r="W249" i="6"/>
  <c r="AC249" i="6"/>
  <c r="AD249" i="6"/>
  <c r="AE249" i="6"/>
  <c r="X249" i="6" s="1"/>
  <c r="AF249" i="6"/>
  <c r="Y249" i="6" s="1"/>
  <c r="AG249" i="6"/>
  <c r="Z249" i="6" s="1"/>
  <c r="AH249" i="6"/>
  <c r="AA249" i="6" s="1"/>
  <c r="AI249" i="6"/>
  <c r="AB249" i="6" s="1"/>
  <c r="AJ249" i="6"/>
  <c r="AK249" i="6"/>
  <c r="AL249" i="6"/>
  <c r="AM249" i="6"/>
  <c r="AN249" i="6"/>
  <c r="V250" i="6"/>
  <c r="W250" i="6"/>
  <c r="AC250" i="6"/>
  <c r="AD250" i="6"/>
  <c r="AE250" i="6"/>
  <c r="X250" i="6" s="1"/>
  <c r="AF250" i="6"/>
  <c r="Y250" i="6" s="1"/>
  <c r="AG250" i="6"/>
  <c r="Z250" i="6" s="1"/>
  <c r="AH250" i="6"/>
  <c r="AA250" i="6" s="1"/>
  <c r="AI250" i="6"/>
  <c r="AB250" i="6" s="1"/>
  <c r="AJ250" i="6"/>
  <c r="AK250" i="6"/>
  <c r="AL250" i="6"/>
  <c r="AM250" i="6"/>
  <c r="AN250" i="6"/>
  <c r="V251" i="6"/>
  <c r="W251" i="6"/>
  <c r="AC251" i="6"/>
  <c r="AD251" i="6"/>
  <c r="AE251" i="6"/>
  <c r="X251" i="6" s="1"/>
  <c r="AF251" i="6"/>
  <c r="Y251" i="6" s="1"/>
  <c r="AG251" i="6"/>
  <c r="Z251" i="6" s="1"/>
  <c r="AH251" i="6"/>
  <c r="AA251" i="6" s="1"/>
  <c r="AI251" i="6"/>
  <c r="AB251" i="6" s="1"/>
  <c r="AJ251" i="6"/>
  <c r="AK251" i="6"/>
  <c r="AL251" i="6"/>
  <c r="AM251" i="6"/>
  <c r="AN251" i="6"/>
  <c r="V252" i="6"/>
  <c r="W252" i="6"/>
  <c r="AC252" i="6"/>
  <c r="AD252" i="6"/>
  <c r="AE252" i="6"/>
  <c r="X252" i="6" s="1"/>
  <c r="AF252" i="6"/>
  <c r="Y252" i="6" s="1"/>
  <c r="AG252" i="6"/>
  <c r="Z252" i="6" s="1"/>
  <c r="AH252" i="6"/>
  <c r="AA252" i="6" s="1"/>
  <c r="AI252" i="6"/>
  <c r="AB252" i="6" s="1"/>
  <c r="AJ252" i="6"/>
  <c r="AK252" i="6"/>
  <c r="AL252" i="6"/>
  <c r="AM252" i="6"/>
  <c r="AN252" i="6"/>
  <c r="V253" i="6"/>
  <c r="W253" i="6"/>
  <c r="AC253" i="6"/>
  <c r="AD253" i="6"/>
  <c r="AE253" i="6"/>
  <c r="X253" i="6" s="1"/>
  <c r="AF253" i="6"/>
  <c r="Y253" i="6" s="1"/>
  <c r="AG253" i="6"/>
  <c r="Z253" i="6" s="1"/>
  <c r="AH253" i="6"/>
  <c r="AA253" i="6" s="1"/>
  <c r="AI253" i="6"/>
  <c r="AB253" i="6" s="1"/>
  <c r="AJ253" i="6"/>
  <c r="AK253" i="6"/>
  <c r="AL253" i="6"/>
  <c r="AM253" i="6"/>
  <c r="AN253" i="6"/>
  <c r="V254" i="6"/>
  <c r="W254" i="6"/>
  <c r="AC254" i="6"/>
  <c r="AD254" i="6"/>
  <c r="AE254" i="6"/>
  <c r="X254" i="6" s="1"/>
  <c r="AF254" i="6"/>
  <c r="Y254" i="6" s="1"/>
  <c r="AG254" i="6"/>
  <c r="Z254" i="6" s="1"/>
  <c r="AH254" i="6"/>
  <c r="AA254" i="6" s="1"/>
  <c r="AI254" i="6"/>
  <c r="AB254" i="6" s="1"/>
  <c r="AJ254" i="6"/>
  <c r="AK254" i="6"/>
  <c r="AL254" i="6"/>
  <c r="AM254" i="6"/>
  <c r="AN254" i="6"/>
  <c r="V255" i="6"/>
  <c r="W255" i="6"/>
  <c r="AC255" i="6"/>
  <c r="AD255" i="6"/>
  <c r="AE255" i="6"/>
  <c r="X255" i="6" s="1"/>
  <c r="AF255" i="6"/>
  <c r="Y255" i="6" s="1"/>
  <c r="AG255" i="6"/>
  <c r="Z255" i="6" s="1"/>
  <c r="AH255" i="6"/>
  <c r="AA255" i="6" s="1"/>
  <c r="AI255" i="6"/>
  <c r="AB255" i="6" s="1"/>
  <c r="AJ255" i="6"/>
  <c r="AK255" i="6"/>
  <c r="AL255" i="6"/>
  <c r="AM255" i="6"/>
  <c r="AN255" i="6"/>
  <c r="V256" i="6"/>
  <c r="W256" i="6"/>
  <c r="AC256" i="6"/>
  <c r="AD256" i="6"/>
  <c r="AE256" i="6"/>
  <c r="X256" i="6" s="1"/>
  <c r="AF256" i="6"/>
  <c r="Y256" i="6" s="1"/>
  <c r="AG256" i="6"/>
  <c r="Z256" i="6" s="1"/>
  <c r="AH256" i="6"/>
  <c r="AA256" i="6" s="1"/>
  <c r="AI256" i="6"/>
  <c r="AB256" i="6" s="1"/>
  <c r="AJ256" i="6"/>
  <c r="AK256" i="6"/>
  <c r="AL256" i="6"/>
  <c r="AM256" i="6"/>
  <c r="AN256" i="6"/>
  <c r="V257" i="6"/>
  <c r="W257" i="6"/>
  <c r="AC257" i="6"/>
  <c r="AD257" i="6"/>
  <c r="AE257" i="6"/>
  <c r="X257" i="6" s="1"/>
  <c r="AF257" i="6"/>
  <c r="Y257" i="6" s="1"/>
  <c r="AG257" i="6"/>
  <c r="Z257" i="6" s="1"/>
  <c r="AH257" i="6"/>
  <c r="AA257" i="6" s="1"/>
  <c r="AI257" i="6"/>
  <c r="AB257" i="6" s="1"/>
  <c r="AJ257" i="6"/>
  <c r="AK257" i="6"/>
  <c r="AL257" i="6"/>
  <c r="AM257" i="6"/>
  <c r="AN257" i="6"/>
  <c r="V258" i="6"/>
  <c r="W258" i="6"/>
  <c r="AC258" i="6"/>
  <c r="AD258" i="6"/>
  <c r="AE258" i="6"/>
  <c r="X258" i="6" s="1"/>
  <c r="AF258" i="6"/>
  <c r="Y258" i="6" s="1"/>
  <c r="AG258" i="6"/>
  <c r="Z258" i="6" s="1"/>
  <c r="AH258" i="6"/>
  <c r="AA258" i="6" s="1"/>
  <c r="AI258" i="6"/>
  <c r="AB258" i="6" s="1"/>
  <c r="AJ258" i="6"/>
  <c r="AK258" i="6"/>
  <c r="AL258" i="6"/>
  <c r="AM258" i="6"/>
  <c r="AN258" i="6"/>
  <c r="V259" i="6"/>
  <c r="W259" i="6"/>
  <c r="AC259" i="6"/>
  <c r="AD259" i="6"/>
  <c r="AE259" i="6"/>
  <c r="X259" i="6" s="1"/>
  <c r="AF259" i="6"/>
  <c r="Y259" i="6" s="1"/>
  <c r="AG259" i="6"/>
  <c r="Z259" i="6" s="1"/>
  <c r="AH259" i="6"/>
  <c r="AA259" i="6" s="1"/>
  <c r="AI259" i="6"/>
  <c r="AB259" i="6" s="1"/>
  <c r="AJ259" i="6"/>
  <c r="AK259" i="6"/>
  <c r="AL259" i="6"/>
  <c r="AM259" i="6"/>
  <c r="AN259" i="6"/>
  <c r="V260" i="6"/>
  <c r="W260" i="6"/>
  <c r="AC260" i="6"/>
  <c r="AD260" i="6"/>
  <c r="AE260" i="6"/>
  <c r="X260" i="6" s="1"/>
  <c r="AF260" i="6"/>
  <c r="Y260" i="6" s="1"/>
  <c r="AG260" i="6"/>
  <c r="Z260" i="6" s="1"/>
  <c r="AH260" i="6"/>
  <c r="AA260" i="6" s="1"/>
  <c r="AI260" i="6"/>
  <c r="AB260" i="6" s="1"/>
  <c r="AJ260" i="6"/>
  <c r="AK260" i="6"/>
  <c r="AL260" i="6"/>
  <c r="AM260" i="6"/>
  <c r="AN260" i="6"/>
  <c r="V261" i="6"/>
  <c r="W261" i="6"/>
  <c r="AC261" i="6"/>
  <c r="AD261" i="6"/>
  <c r="AE261" i="6"/>
  <c r="X261" i="6" s="1"/>
  <c r="AF261" i="6"/>
  <c r="Y261" i="6" s="1"/>
  <c r="AG261" i="6"/>
  <c r="Z261" i="6" s="1"/>
  <c r="AH261" i="6"/>
  <c r="AA261" i="6" s="1"/>
  <c r="AI261" i="6"/>
  <c r="AB261" i="6" s="1"/>
  <c r="AJ261" i="6"/>
  <c r="AK261" i="6"/>
  <c r="AL261" i="6"/>
  <c r="AM261" i="6"/>
  <c r="AN261" i="6"/>
  <c r="V262" i="6"/>
  <c r="W262" i="6"/>
  <c r="AC262" i="6"/>
  <c r="AD262" i="6"/>
  <c r="AE262" i="6"/>
  <c r="X262" i="6" s="1"/>
  <c r="AF262" i="6"/>
  <c r="Y262" i="6" s="1"/>
  <c r="AG262" i="6"/>
  <c r="Z262" i="6" s="1"/>
  <c r="AH262" i="6"/>
  <c r="AA262" i="6" s="1"/>
  <c r="AI262" i="6"/>
  <c r="AB262" i="6" s="1"/>
  <c r="AJ262" i="6"/>
  <c r="AK262" i="6"/>
  <c r="AL262" i="6"/>
  <c r="AM262" i="6"/>
  <c r="AN262" i="6"/>
  <c r="V263" i="6"/>
  <c r="W263" i="6"/>
  <c r="AC263" i="6"/>
  <c r="AD263" i="6"/>
  <c r="AE263" i="6"/>
  <c r="X263" i="6" s="1"/>
  <c r="AF263" i="6"/>
  <c r="Y263" i="6" s="1"/>
  <c r="AG263" i="6"/>
  <c r="Z263" i="6" s="1"/>
  <c r="AH263" i="6"/>
  <c r="AA263" i="6" s="1"/>
  <c r="AI263" i="6"/>
  <c r="AB263" i="6" s="1"/>
  <c r="AJ263" i="6"/>
  <c r="AK263" i="6"/>
  <c r="AL263" i="6"/>
  <c r="AM263" i="6"/>
  <c r="AN263" i="6"/>
  <c r="V264" i="6"/>
  <c r="W264" i="6"/>
  <c r="AC264" i="6"/>
  <c r="AD264" i="6"/>
  <c r="AE264" i="6"/>
  <c r="X264" i="6" s="1"/>
  <c r="AF264" i="6"/>
  <c r="Y264" i="6" s="1"/>
  <c r="AG264" i="6"/>
  <c r="Z264" i="6" s="1"/>
  <c r="AH264" i="6"/>
  <c r="AA264" i="6" s="1"/>
  <c r="AI264" i="6"/>
  <c r="AB264" i="6" s="1"/>
  <c r="AJ264" i="6"/>
  <c r="AK264" i="6"/>
  <c r="AL264" i="6"/>
  <c r="AM264" i="6"/>
  <c r="AN264" i="6"/>
  <c r="V265" i="6"/>
  <c r="W265" i="6"/>
  <c r="AC265" i="6"/>
  <c r="AD265" i="6"/>
  <c r="AE265" i="6"/>
  <c r="X265" i="6" s="1"/>
  <c r="AF265" i="6"/>
  <c r="Y265" i="6" s="1"/>
  <c r="AG265" i="6"/>
  <c r="Z265" i="6" s="1"/>
  <c r="AH265" i="6"/>
  <c r="AA265" i="6" s="1"/>
  <c r="AI265" i="6"/>
  <c r="AB265" i="6" s="1"/>
  <c r="AJ265" i="6"/>
  <c r="AK265" i="6"/>
  <c r="AL265" i="6"/>
  <c r="AM265" i="6"/>
  <c r="AN265" i="6"/>
  <c r="V266" i="6"/>
  <c r="W266" i="6"/>
  <c r="AC266" i="6"/>
  <c r="AD266" i="6"/>
  <c r="AE266" i="6"/>
  <c r="X266" i="6" s="1"/>
  <c r="AF266" i="6"/>
  <c r="Y266" i="6" s="1"/>
  <c r="AG266" i="6"/>
  <c r="Z266" i="6" s="1"/>
  <c r="AH266" i="6"/>
  <c r="AA266" i="6" s="1"/>
  <c r="AI266" i="6"/>
  <c r="AB266" i="6" s="1"/>
  <c r="AJ266" i="6"/>
  <c r="AK266" i="6"/>
  <c r="AL266" i="6"/>
  <c r="AM266" i="6"/>
  <c r="AN266" i="6"/>
  <c r="V267" i="6"/>
  <c r="W267" i="6"/>
  <c r="AC267" i="6"/>
  <c r="AD267" i="6"/>
  <c r="AE267" i="6"/>
  <c r="X267" i="6" s="1"/>
  <c r="AF267" i="6"/>
  <c r="Y267" i="6" s="1"/>
  <c r="AG267" i="6"/>
  <c r="Z267" i="6" s="1"/>
  <c r="AH267" i="6"/>
  <c r="AA267" i="6" s="1"/>
  <c r="AI267" i="6"/>
  <c r="AB267" i="6" s="1"/>
  <c r="AJ267" i="6"/>
  <c r="AK267" i="6"/>
  <c r="AL267" i="6"/>
  <c r="AM267" i="6"/>
  <c r="AN267" i="6"/>
  <c r="V268" i="6"/>
  <c r="W268" i="6"/>
  <c r="AC268" i="6"/>
  <c r="AD268" i="6"/>
  <c r="AE268" i="6"/>
  <c r="X268" i="6" s="1"/>
  <c r="AF268" i="6"/>
  <c r="Y268" i="6" s="1"/>
  <c r="AG268" i="6"/>
  <c r="Z268" i="6" s="1"/>
  <c r="AH268" i="6"/>
  <c r="AA268" i="6" s="1"/>
  <c r="AI268" i="6"/>
  <c r="AB268" i="6" s="1"/>
  <c r="AJ268" i="6"/>
  <c r="AK268" i="6"/>
  <c r="AL268" i="6"/>
  <c r="AM268" i="6"/>
  <c r="AN268" i="6"/>
  <c r="V269" i="6"/>
  <c r="W269" i="6"/>
  <c r="AC269" i="6"/>
  <c r="AD269" i="6"/>
  <c r="AE269" i="6"/>
  <c r="X269" i="6" s="1"/>
  <c r="AF269" i="6"/>
  <c r="Y269" i="6" s="1"/>
  <c r="AG269" i="6"/>
  <c r="Z269" i="6" s="1"/>
  <c r="AH269" i="6"/>
  <c r="AA269" i="6" s="1"/>
  <c r="AI269" i="6"/>
  <c r="AB269" i="6" s="1"/>
  <c r="AJ269" i="6"/>
  <c r="AK269" i="6"/>
  <c r="AL269" i="6"/>
  <c r="AM269" i="6"/>
  <c r="AN269" i="6"/>
  <c r="V270" i="6"/>
  <c r="W270" i="6"/>
  <c r="AC270" i="6"/>
  <c r="AD270" i="6"/>
  <c r="AE270" i="6"/>
  <c r="X270" i="6" s="1"/>
  <c r="AF270" i="6"/>
  <c r="Y270" i="6" s="1"/>
  <c r="AG270" i="6"/>
  <c r="Z270" i="6" s="1"/>
  <c r="AH270" i="6"/>
  <c r="AA270" i="6" s="1"/>
  <c r="AI270" i="6"/>
  <c r="AB270" i="6" s="1"/>
  <c r="AJ270" i="6"/>
  <c r="AK270" i="6"/>
  <c r="AL270" i="6"/>
  <c r="AM270" i="6"/>
  <c r="AN270" i="6"/>
  <c r="V271" i="6"/>
  <c r="W271" i="6"/>
  <c r="AC271" i="6"/>
  <c r="AD271" i="6"/>
  <c r="AE271" i="6"/>
  <c r="X271" i="6" s="1"/>
  <c r="AF271" i="6"/>
  <c r="Y271" i="6" s="1"/>
  <c r="AG271" i="6"/>
  <c r="Z271" i="6" s="1"/>
  <c r="AH271" i="6"/>
  <c r="AA271" i="6" s="1"/>
  <c r="AI271" i="6"/>
  <c r="AB271" i="6" s="1"/>
  <c r="AJ271" i="6"/>
  <c r="AK271" i="6"/>
  <c r="AL271" i="6"/>
  <c r="AM271" i="6"/>
  <c r="AN271" i="6"/>
  <c r="V272" i="6"/>
  <c r="W272" i="6"/>
  <c r="AC272" i="6"/>
  <c r="AD272" i="6"/>
  <c r="AE272" i="6"/>
  <c r="X272" i="6" s="1"/>
  <c r="AF272" i="6"/>
  <c r="Y272" i="6" s="1"/>
  <c r="AG272" i="6"/>
  <c r="Z272" i="6" s="1"/>
  <c r="AH272" i="6"/>
  <c r="AA272" i="6" s="1"/>
  <c r="AI272" i="6"/>
  <c r="AB272" i="6" s="1"/>
  <c r="AJ272" i="6"/>
  <c r="AK272" i="6"/>
  <c r="AL272" i="6"/>
  <c r="AM272" i="6"/>
  <c r="AN272" i="6"/>
  <c r="V273" i="6"/>
  <c r="W273" i="6"/>
  <c r="AC273" i="6"/>
  <c r="AD273" i="6"/>
  <c r="AE273" i="6"/>
  <c r="X273" i="6" s="1"/>
  <c r="AF273" i="6"/>
  <c r="Y273" i="6" s="1"/>
  <c r="AG273" i="6"/>
  <c r="Z273" i="6" s="1"/>
  <c r="AH273" i="6"/>
  <c r="AA273" i="6" s="1"/>
  <c r="AI273" i="6"/>
  <c r="AB273" i="6" s="1"/>
  <c r="AJ273" i="6"/>
  <c r="AK273" i="6"/>
  <c r="AL273" i="6"/>
  <c r="AM273" i="6"/>
  <c r="AN273" i="6"/>
  <c r="V274" i="6"/>
  <c r="W274" i="6"/>
  <c r="AC274" i="6"/>
  <c r="AD274" i="6"/>
  <c r="AE274" i="6"/>
  <c r="X274" i="6" s="1"/>
  <c r="AF274" i="6"/>
  <c r="Y274" i="6" s="1"/>
  <c r="AG274" i="6"/>
  <c r="Z274" i="6" s="1"/>
  <c r="AH274" i="6"/>
  <c r="AA274" i="6" s="1"/>
  <c r="AI274" i="6"/>
  <c r="AB274" i="6" s="1"/>
  <c r="AJ274" i="6"/>
  <c r="AK274" i="6"/>
  <c r="AL274" i="6"/>
  <c r="AM274" i="6"/>
  <c r="AN274" i="6"/>
  <c r="V275" i="6"/>
  <c r="W275" i="6"/>
  <c r="AC275" i="6"/>
  <c r="AD275" i="6"/>
  <c r="AE275" i="6"/>
  <c r="X275" i="6" s="1"/>
  <c r="AF275" i="6"/>
  <c r="Y275" i="6" s="1"/>
  <c r="AG275" i="6"/>
  <c r="Z275" i="6" s="1"/>
  <c r="AH275" i="6"/>
  <c r="AA275" i="6" s="1"/>
  <c r="AI275" i="6"/>
  <c r="AB275" i="6" s="1"/>
  <c r="AJ275" i="6"/>
  <c r="AK275" i="6"/>
  <c r="AL275" i="6"/>
  <c r="AM275" i="6"/>
  <c r="AN275" i="6"/>
  <c r="V276" i="6"/>
  <c r="W276" i="6"/>
  <c r="AC276" i="6"/>
  <c r="AD276" i="6"/>
  <c r="AE276" i="6"/>
  <c r="X276" i="6" s="1"/>
  <c r="AF276" i="6"/>
  <c r="Y276" i="6" s="1"/>
  <c r="AG276" i="6"/>
  <c r="Z276" i="6" s="1"/>
  <c r="AH276" i="6"/>
  <c r="AA276" i="6" s="1"/>
  <c r="AI276" i="6"/>
  <c r="AB276" i="6" s="1"/>
  <c r="AJ276" i="6"/>
  <c r="AK276" i="6"/>
  <c r="AL276" i="6"/>
  <c r="AM276" i="6"/>
  <c r="AN276" i="6"/>
  <c r="V277" i="6"/>
  <c r="W277" i="6"/>
  <c r="AC277" i="6"/>
  <c r="AD277" i="6"/>
  <c r="AE277" i="6"/>
  <c r="X277" i="6" s="1"/>
  <c r="AF277" i="6"/>
  <c r="Y277" i="6" s="1"/>
  <c r="AG277" i="6"/>
  <c r="Z277" i="6" s="1"/>
  <c r="AH277" i="6"/>
  <c r="AA277" i="6" s="1"/>
  <c r="AI277" i="6"/>
  <c r="AB277" i="6" s="1"/>
  <c r="AJ277" i="6"/>
  <c r="AK277" i="6"/>
  <c r="AL277" i="6"/>
  <c r="AM277" i="6"/>
  <c r="AN277" i="6"/>
  <c r="V278" i="6"/>
  <c r="W278" i="6"/>
  <c r="AC278" i="6"/>
  <c r="AD278" i="6"/>
  <c r="AE278" i="6"/>
  <c r="X278" i="6" s="1"/>
  <c r="AF278" i="6"/>
  <c r="Y278" i="6" s="1"/>
  <c r="AG278" i="6"/>
  <c r="Z278" i="6" s="1"/>
  <c r="AH278" i="6"/>
  <c r="AA278" i="6" s="1"/>
  <c r="AI278" i="6"/>
  <c r="AB278" i="6" s="1"/>
  <c r="AJ278" i="6"/>
  <c r="AK278" i="6"/>
  <c r="AL278" i="6"/>
  <c r="AM278" i="6"/>
  <c r="AN278" i="6"/>
  <c r="V279" i="6"/>
  <c r="W279" i="6"/>
  <c r="AC279" i="6"/>
  <c r="AD279" i="6"/>
  <c r="AE279" i="6"/>
  <c r="X279" i="6" s="1"/>
  <c r="AF279" i="6"/>
  <c r="Y279" i="6" s="1"/>
  <c r="AG279" i="6"/>
  <c r="Z279" i="6" s="1"/>
  <c r="AH279" i="6"/>
  <c r="AA279" i="6" s="1"/>
  <c r="AI279" i="6"/>
  <c r="AB279" i="6" s="1"/>
  <c r="AJ279" i="6"/>
  <c r="AK279" i="6"/>
  <c r="AL279" i="6"/>
  <c r="AM279" i="6"/>
  <c r="AN279" i="6"/>
  <c r="V280" i="6"/>
  <c r="W280" i="6"/>
  <c r="AC280" i="6"/>
  <c r="AD280" i="6"/>
  <c r="AE280" i="6"/>
  <c r="X280" i="6" s="1"/>
  <c r="AF280" i="6"/>
  <c r="Y280" i="6" s="1"/>
  <c r="AG280" i="6"/>
  <c r="Z280" i="6" s="1"/>
  <c r="AH280" i="6"/>
  <c r="AA280" i="6" s="1"/>
  <c r="AI280" i="6"/>
  <c r="AB280" i="6" s="1"/>
  <c r="AJ280" i="6"/>
  <c r="AK280" i="6"/>
  <c r="AL280" i="6"/>
  <c r="AM280" i="6"/>
  <c r="AN280" i="6"/>
  <c r="V281" i="6"/>
  <c r="W281" i="6"/>
  <c r="AC281" i="6"/>
  <c r="AD281" i="6"/>
  <c r="AE281" i="6"/>
  <c r="X281" i="6" s="1"/>
  <c r="AF281" i="6"/>
  <c r="Y281" i="6" s="1"/>
  <c r="AG281" i="6"/>
  <c r="Z281" i="6" s="1"/>
  <c r="AH281" i="6"/>
  <c r="AA281" i="6" s="1"/>
  <c r="AI281" i="6"/>
  <c r="AB281" i="6" s="1"/>
  <c r="AJ281" i="6"/>
  <c r="AK281" i="6"/>
  <c r="AL281" i="6"/>
  <c r="AM281" i="6"/>
  <c r="AN281" i="6"/>
  <c r="V282" i="6"/>
  <c r="W282" i="6"/>
  <c r="AC282" i="6"/>
  <c r="AD282" i="6"/>
  <c r="AE282" i="6"/>
  <c r="X282" i="6" s="1"/>
  <c r="AF282" i="6"/>
  <c r="Y282" i="6" s="1"/>
  <c r="AG282" i="6"/>
  <c r="Z282" i="6" s="1"/>
  <c r="AH282" i="6"/>
  <c r="AA282" i="6" s="1"/>
  <c r="AI282" i="6"/>
  <c r="AB282" i="6" s="1"/>
  <c r="AJ282" i="6"/>
  <c r="AK282" i="6"/>
  <c r="AL282" i="6"/>
  <c r="AM282" i="6"/>
  <c r="AN282" i="6"/>
  <c r="V283" i="6"/>
  <c r="W283" i="6"/>
  <c r="AC283" i="6"/>
  <c r="AD283" i="6"/>
  <c r="AE283" i="6"/>
  <c r="X283" i="6" s="1"/>
  <c r="AF283" i="6"/>
  <c r="Y283" i="6" s="1"/>
  <c r="AG283" i="6"/>
  <c r="Z283" i="6" s="1"/>
  <c r="AH283" i="6"/>
  <c r="AA283" i="6" s="1"/>
  <c r="AI283" i="6"/>
  <c r="AB283" i="6" s="1"/>
  <c r="AJ283" i="6"/>
  <c r="AK283" i="6"/>
  <c r="AL283" i="6"/>
  <c r="AM283" i="6"/>
  <c r="AN283" i="6"/>
  <c r="V284" i="6"/>
  <c r="W284" i="6"/>
  <c r="AC284" i="6"/>
  <c r="AD284" i="6"/>
  <c r="AE284" i="6"/>
  <c r="X284" i="6" s="1"/>
  <c r="AF284" i="6"/>
  <c r="Y284" i="6" s="1"/>
  <c r="AG284" i="6"/>
  <c r="Z284" i="6" s="1"/>
  <c r="AH284" i="6"/>
  <c r="AA284" i="6" s="1"/>
  <c r="AI284" i="6"/>
  <c r="AB284" i="6" s="1"/>
  <c r="AJ284" i="6"/>
  <c r="AK284" i="6"/>
  <c r="AL284" i="6"/>
  <c r="AM284" i="6"/>
  <c r="AN284" i="6"/>
  <c r="V285" i="6"/>
  <c r="W285" i="6"/>
  <c r="AC285" i="6"/>
  <c r="AD285" i="6"/>
  <c r="AE285" i="6"/>
  <c r="X285" i="6" s="1"/>
  <c r="AF285" i="6"/>
  <c r="Y285" i="6" s="1"/>
  <c r="AG285" i="6"/>
  <c r="Z285" i="6" s="1"/>
  <c r="AH285" i="6"/>
  <c r="AA285" i="6" s="1"/>
  <c r="AI285" i="6"/>
  <c r="AB285" i="6" s="1"/>
  <c r="AJ285" i="6"/>
  <c r="AK285" i="6"/>
  <c r="AL285" i="6"/>
  <c r="AM285" i="6"/>
  <c r="AN285" i="6"/>
  <c r="V286" i="6"/>
  <c r="W286" i="6"/>
  <c r="AC286" i="6"/>
  <c r="AD286" i="6"/>
  <c r="AE286" i="6"/>
  <c r="X286" i="6" s="1"/>
  <c r="AF286" i="6"/>
  <c r="Y286" i="6" s="1"/>
  <c r="AG286" i="6"/>
  <c r="Z286" i="6" s="1"/>
  <c r="AH286" i="6"/>
  <c r="AA286" i="6" s="1"/>
  <c r="AI286" i="6"/>
  <c r="AB286" i="6" s="1"/>
  <c r="AJ286" i="6"/>
  <c r="AK286" i="6"/>
  <c r="AL286" i="6"/>
  <c r="AM286" i="6"/>
  <c r="AN286" i="6"/>
  <c r="V287" i="6"/>
  <c r="W287" i="6"/>
  <c r="AC287" i="6"/>
  <c r="AD287" i="6"/>
  <c r="AE287" i="6"/>
  <c r="X287" i="6" s="1"/>
  <c r="AF287" i="6"/>
  <c r="Y287" i="6" s="1"/>
  <c r="AG287" i="6"/>
  <c r="Z287" i="6" s="1"/>
  <c r="AH287" i="6"/>
  <c r="AA287" i="6" s="1"/>
  <c r="AI287" i="6"/>
  <c r="AB287" i="6" s="1"/>
  <c r="AJ287" i="6"/>
  <c r="AK287" i="6"/>
  <c r="AL287" i="6"/>
  <c r="AM287" i="6"/>
  <c r="AN287" i="6"/>
  <c r="V288" i="6"/>
  <c r="W288" i="6"/>
  <c r="AC288" i="6"/>
  <c r="AD288" i="6"/>
  <c r="AE288" i="6"/>
  <c r="X288" i="6" s="1"/>
  <c r="AF288" i="6"/>
  <c r="Y288" i="6" s="1"/>
  <c r="AG288" i="6"/>
  <c r="Z288" i="6" s="1"/>
  <c r="AH288" i="6"/>
  <c r="AA288" i="6" s="1"/>
  <c r="AI288" i="6"/>
  <c r="AB288" i="6" s="1"/>
  <c r="AJ288" i="6"/>
  <c r="AK288" i="6"/>
  <c r="AL288" i="6"/>
  <c r="AM288" i="6"/>
  <c r="AN288" i="6"/>
  <c r="V289" i="6"/>
  <c r="W289" i="6"/>
  <c r="AC289" i="6"/>
  <c r="AD289" i="6"/>
  <c r="AE289" i="6"/>
  <c r="X289" i="6" s="1"/>
  <c r="AF289" i="6"/>
  <c r="Y289" i="6" s="1"/>
  <c r="AG289" i="6"/>
  <c r="Z289" i="6" s="1"/>
  <c r="AH289" i="6"/>
  <c r="AA289" i="6" s="1"/>
  <c r="AI289" i="6"/>
  <c r="AB289" i="6" s="1"/>
  <c r="AJ289" i="6"/>
  <c r="AK289" i="6"/>
  <c r="AL289" i="6"/>
  <c r="AM289" i="6"/>
  <c r="AN289" i="6"/>
  <c r="V290" i="6"/>
  <c r="W290" i="6"/>
  <c r="AC290" i="6"/>
  <c r="AD290" i="6"/>
  <c r="AE290" i="6"/>
  <c r="X290" i="6" s="1"/>
  <c r="AF290" i="6"/>
  <c r="Y290" i="6" s="1"/>
  <c r="AG290" i="6"/>
  <c r="Z290" i="6" s="1"/>
  <c r="AH290" i="6"/>
  <c r="AA290" i="6" s="1"/>
  <c r="AI290" i="6"/>
  <c r="AB290" i="6" s="1"/>
  <c r="AJ290" i="6"/>
  <c r="AK290" i="6"/>
  <c r="AL290" i="6"/>
  <c r="AM290" i="6"/>
  <c r="AN290" i="6"/>
  <c r="V291" i="6"/>
  <c r="W291" i="6"/>
  <c r="AC291" i="6"/>
  <c r="AD291" i="6"/>
  <c r="AE291" i="6"/>
  <c r="X291" i="6" s="1"/>
  <c r="AF291" i="6"/>
  <c r="Y291" i="6" s="1"/>
  <c r="AG291" i="6"/>
  <c r="Z291" i="6" s="1"/>
  <c r="AH291" i="6"/>
  <c r="AA291" i="6" s="1"/>
  <c r="AI291" i="6"/>
  <c r="AB291" i="6" s="1"/>
  <c r="AJ291" i="6"/>
  <c r="AK291" i="6"/>
  <c r="AL291" i="6"/>
  <c r="AM291" i="6"/>
  <c r="AN291" i="6"/>
  <c r="V292" i="6"/>
  <c r="W292" i="6"/>
  <c r="AC292" i="6"/>
  <c r="AD292" i="6"/>
  <c r="AE292" i="6"/>
  <c r="X292" i="6" s="1"/>
  <c r="AF292" i="6"/>
  <c r="Y292" i="6" s="1"/>
  <c r="AG292" i="6"/>
  <c r="Z292" i="6" s="1"/>
  <c r="AH292" i="6"/>
  <c r="AA292" i="6" s="1"/>
  <c r="AI292" i="6"/>
  <c r="AB292" i="6" s="1"/>
  <c r="AJ292" i="6"/>
  <c r="AK292" i="6"/>
  <c r="AL292" i="6"/>
  <c r="AM292" i="6"/>
  <c r="AN292" i="6"/>
  <c r="V293" i="6"/>
  <c r="W293" i="6"/>
  <c r="AC293" i="6"/>
  <c r="AD293" i="6"/>
  <c r="AE293" i="6"/>
  <c r="X293" i="6" s="1"/>
  <c r="AF293" i="6"/>
  <c r="Y293" i="6" s="1"/>
  <c r="AG293" i="6"/>
  <c r="Z293" i="6" s="1"/>
  <c r="AH293" i="6"/>
  <c r="AA293" i="6" s="1"/>
  <c r="AI293" i="6"/>
  <c r="AB293" i="6" s="1"/>
  <c r="AJ293" i="6"/>
  <c r="AK293" i="6"/>
  <c r="AL293" i="6"/>
  <c r="AM293" i="6"/>
  <c r="AN293" i="6"/>
  <c r="V294" i="6"/>
  <c r="W294" i="6"/>
  <c r="AC294" i="6"/>
  <c r="AD294" i="6"/>
  <c r="AE294" i="6"/>
  <c r="X294" i="6" s="1"/>
  <c r="AF294" i="6"/>
  <c r="Y294" i="6" s="1"/>
  <c r="AG294" i="6"/>
  <c r="Z294" i="6" s="1"/>
  <c r="AH294" i="6"/>
  <c r="AA294" i="6" s="1"/>
  <c r="AI294" i="6"/>
  <c r="AB294" i="6" s="1"/>
  <c r="AJ294" i="6"/>
  <c r="AK294" i="6"/>
  <c r="AL294" i="6"/>
  <c r="AM294" i="6"/>
  <c r="AN294" i="6"/>
  <c r="V295" i="6"/>
  <c r="W295" i="6"/>
  <c r="AC295" i="6"/>
  <c r="AD295" i="6"/>
  <c r="AE295" i="6"/>
  <c r="X295" i="6" s="1"/>
  <c r="AF295" i="6"/>
  <c r="Y295" i="6" s="1"/>
  <c r="AG295" i="6"/>
  <c r="Z295" i="6" s="1"/>
  <c r="AH295" i="6"/>
  <c r="AA295" i="6" s="1"/>
  <c r="AI295" i="6"/>
  <c r="AB295" i="6" s="1"/>
  <c r="AJ295" i="6"/>
  <c r="AK295" i="6"/>
  <c r="AL295" i="6"/>
  <c r="AM295" i="6"/>
  <c r="AN295" i="6"/>
  <c r="V296" i="6"/>
  <c r="W296" i="6"/>
  <c r="AC296" i="6"/>
  <c r="AD296" i="6"/>
  <c r="AE296" i="6"/>
  <c r="X296" i="6" s="1"/>
  <c r="AF296" i="6"/>
  <c r="Y296" i="6" s="1"/>
  <c r="AG296" i="6"/>
  <c r="Z296" i="6" s="1"/>
  <c r="AH296" i="6"/>
  <c r="AA296" i="6" s="1"/>
  <c r="AI296" i="6"/>
  <c r="AB296" i="6" s="1"/>
  <c r="AJ296" i="6"/>
  <c r="AK296" i="6"/>
  <c r="AL296" i="6"/>
  <c r="AM296" i="6"/>
  <c r="AN296" i="6"/>
  <c r="V297" i="6"/>
  <c r="W297" i="6"/>
  <c r="AC297" i="6"/>
  <c r="AD297" i="6"/>
  <c r="AE297" i="6"/>
  <c r="X297" i="6" s="1"/>
  <c r="AF297" i="6"/>
  <c r="Y297" i="6" s="1"/>
  <c r="AG297" i="6"/>
  <c r="Z297" i="6" s="1"/>
  <c r="AH297" i="6"/>
  <c r="AA297" i="6" s="1"/>
  <c r="AI297" i="6"/>
  <c r="AB297" i="6" s="1"/>
  <c r="AJ297" i="6"/>
  <c r="AK297" i="6"/>
  <c r="AL297" i="6"/>
  <c r="AM297" i="6"/>
  <c r="AN297" i="6"/>
  <c r="V298" i="6"/>
  <c r="W298" i="6"/>
  <c r="AC298" i="6"/>
  <c r="AD298" i="6"/>
  <c r="AE298" i="6"/>
  <c r="X298" i="6" s="1"/>
  <c r="AF298" i="6"/>
  <c r="Y298" i="6" s="1"/>
  <c r="AG298" i="6"/>
  <c r="Z298" i="6" s="1"/>
  <c r="AH298" i="6"/>
  <c r="AA298" i="6" s="1"/>
  <c r="AI298" i="6"/>
  <c r="AB298" i="6" s="1"/>
  <c r="AJ298" i="6"/>
  <c r="AK298" i="6"/>
  <c r="AL298" i="6"/>
  <c r="AM298" i="6"/>
  <c r="AN298" i="6"/>
  <c r="V299" i="6"/>
  <c r="W299" i="6"/>
  <c r="AC299" i="6"/>
  <c r="AD299" i="6"/>
  <c r="AE299" i="6"/>
  <c r="X299" i="6" s="1"/>
  <c r="AF299" i="6"/>
  <c r="Y299" i="6" s="1"/>
  <c r="AG299" i="6"/>
  <c r="Z299" i="6" s="1"/>
  <c r="AH299" i="6"/>
  <c r="AA299" i="6" s="1"/>
  <c r="AI299" i="6"/>
  <c r="AB299" i="6" s="1"/>
  <c r="AJ299" i="6"/>
  <c r="AK299" i="6"/>
  <c r="AL299" i="6"/>
  <c r="AM299" i="6"/>
  <c r="AN299" i="6"/>
  <c r="V300" i="6"/>
  <c r="W300" i="6"/>
  <c r="AC300" i="6"/>
  <c r="AD300" i="6"/>
  <c r="AE300" i="6"/>
  <c r="X300" i="6" s="1"/>
  <c r="AF300" i="6"/>
  <c r="Y300" i="6" s="1"/>
  <c r="AG300" i="6"/>
  <c r="Z300" i="6" s="1"/>
  <c r="AH300" i="6"/>
  <c r="AA300" i="6" s="1"/>
  <c r="AI300" i="6"/>
  <c r="AB300" i="6" s="1"/>
  <c r="AJ300" i="6"/>
  <c r="AK300" i="6"/>
  <c r="AL300" i="6"/>
  <c r="AM300" i="6"/>
  <c r="AN300" i="6"/>
  <c r="V301" i="6"/>
  <c r="W301" i="6"/>
  <c r="AC301" i="6"/>
  <c r="AD301" i="6"/>
  <c r="AE301" i="6"/>
  <c r="X301" i="6" s="1"/>
  <c r="AF301" i="6"/>
  <c r="Y301" i="6" s="1"/>
  <c r="AG301" i="6"/>
  <c r="Z301" i="6" s="1"/>
  <c r="AH301" i="6"/>
  <c r="AA301" i="6" s="1"/>
  <c r="AI301" i="6"/>
  <c r="AB301" i="6" s="1"/>
  <c r="AJ301" i="6"/>
  <c r="AK301" i="6"/>
  <c r="AL301" i="6"/>
  <c r="AM301" i="6"/>
  <c r="AN301" i="6"/>
  <c r="V302" i="6"/>
  <c r="W302" i="6"/>
  <c r="AC302" i="6"/>
  <c r="AD302" i="6"/>
  <c r="AE302" i="6"/>
  <c r="X302" i="6" s="1"/>
  <c r="AF302" i="6"/>
  <c r="Y302" i="6" s="1"/>
  <c r="AG302" i="6"/>
  <c r="Z302" i="6" s="1"/>
  <c r="AH302" i="6"/>
  <c r="AA302" i="6" s="1"/>
  <c r="AI302" i="6"/>
  <c r="AB302" i="6" s="1"/>
  <c r="AJ302" i="6"/>
  <c r="AK302" i="6"/>
  <c r="AL302" i="6"/>
  <c r="AM302" i="6"/>
  <c r="AN302" i="6"/>
  <c r="V303" i="6"/>
  <c r="W303" i="6"/>
  <c r="AC303" i="6"/>
  <c r="AD303" i="6"/>
  <c r="AE303" i="6"/>
  <c r="X303" i="6" s="1"/>
  <c r="AF303" i="6"/>
  <c r="Y303" i="6" s="1"/>
  <c r="AG303" i="6"/>
  <c r="Z303" i="6" s="1"/>
  <c r="AH303" i="6"/>
  <c r="AA303" i="6" s="1"/>
  <c r="AI303" i="6"/>
  <c r="AB303" i="6" s="1"/>
  <c r="AJ303" i="6"/>
  <c r="AK303" i="6"/>
  <c r="AL303" i="6"/>
  <c r="AM303" i="6"/>
  <c r="AN303" i="6"/>
  <c r="V304" i="6"/>
  <c r="W304" i="6"/>
  <c r="AC304" i="6"/>
  <c r="AD304" i="6"/>
  <c r="AE304" i="6"/>
  <c r="X304" i="6" s="1"/>
  <c r="AF304" i="6"/>
  <c r="Y304" i="6" s="1"/>
  <c r="AG304" i="6"/>
  <c r="Z304" i="6" s="1"/>
  <c r="AH304" i="6"/>
  <c r="AA304" i="6" s="1"/>
  <c r="AI304" i="6"/>
  <c r="AB304" i="6" s="1"/>
  <c r="AJ304" i="6"/>
  <c r="AK304" i="6"/>
  <c r="AL304" i="6"/>
  <c r="AM304" i="6"/>
  <c r="AN304" i="6"/>
  <c r="V305" i="6"/>
  <c r="W305" i="6"/>
  <c r="AC305" i="6"/>
  <c r="AD305" i="6"/>
  <c r="AE305" i="6"/>
  <c r="X305" i="6" s="1"/>
  <c r="AF305" i="6"/>
  <c r="Y305" i="6" s="1"/>
  <c r="AG305" i="6"/>
  <c r="Z305" i="6" s="1"/>
  <c r="AH305" i="6"/>
  <c r="AA305" i="6" s="1"/>
  <c r="AI305" i="6"/>
  <c r="AB305" i="6" s="1"/>
  <c r="AJ305" i="6"/>
  <c r="AK305" i="6"/>
  <c r="AL305" i="6"/>
  <c r="AM305" i="6"/>
  <c r="AN305" i="6"/>
  <c r="V306" i="6"/>
  <c r="W306" i="6"/>
  <c r="AC306" i="6"/>
  <c r="AD306" i="6"/>
  <c r="AE306" i="6"/>
  <c r="X306" i="6" s="1"/>
  <c r="AF306" i="6"/>
  <c r="Y306" i="6" s="1"/>
  <c r="AG306" i="6"/>
  <c r="Z306" i="6" s="1"/>
  <c r="AH306" i="6"/>
  <c r="AA306" i="6" s="1"/>
  <c r="AI306" i="6"/>
  <c r="AB306" i="6" s="1"/>
  <c r="AJ306" i="6"/>
  <c r="AK306" i="6"/>
  <c r="AL306" i="6"/>
  <c r="AM306" i="6"/>
  <c r="AN306" i="6"/>
  <c r="V307" i="6"/>
  <c r="W307" i="6"/>
  <c r="AC307" i="6"/>
  <c r="AD307" i="6"/>
  <c r="AE307" i="6"/>
  <c r="X307" i="6" s="1"/>
  <c r="AF307" i="6"/>
  <c r="Y307" i="6" s="1"/>
  <c r="AG307" i="6"/>
  <c r="Z307" i="6" s="1"/>
  <c r="AH307" i="6"/>
  <c r="AA307" i="6" s="1"/>
  <c r="AI307" i="6"/>
  <c r="AB307" i="6" s="1"/>
  <c r="AJ307" i="6"/>
  <c r="AK307" i="6"/>
  <c r="AL307" i="6"/>
  <c r="AM307" i="6"/>
  <c r="AN307" i="6"/>
  <c r="V308" i="6"/>
  <c r="W308" i="6"/>
  <c r="AC308" i="6"/>
  <c r="AD308" i="6"/>
  <c r="AE308" i="6"/>
  <c r="X308" i="6" s="1"/>
  <c r="AF308" i="6"/>
  <c r="Y308" i="6" s="1"/>
  <c r="AG308" i="6"/>
  <c r="Z308" i="6" s="1"/>
  <c r="AH308" i="6"/>
  <c r="AA308" i="6" s="1"/>
  <c r="AI308" i="6"/>
  <c r="AB308" i="6" s="1"/>
  <c r="AJ308" i="6"/>
  <c r="AK308" i="6"/>
  <c r="AL308" i="6"/>
  <c r="AM308" i="6"/>
  <c r="AN308" i="6"/>
  <c r="V309" i="6"/>
  <c r="W309" i="6"/>
  <c r="AC309" i="6"/>
  <c r="AD309" i="6"/>
  <c r="AE309" i="6"/>
  <c r="X309" i="6" s="1"/>
  <c r="AF309" i="6"/>
  <c r="Y309" i="6" s="1"/>
  <c r="AG309" i="6"/>
  <c r="Z309" i="6" s="1"/>
  <c r="AH309" i="6"/>
  <c r="AA309" i="6" s="1"/>
  <c r="AI309" i="6"/>
  <c r="AB309" i="6" s="1"/>
  <c r="AJ309" i="6"/>
  <c r="AK309" i="6"/>
  <c r="AL309" i="6"/>
  <c r="AM309" i="6"/>
  <c r="AN309" i="6"/>
  <c r="V310" i="6"/>
  <c r="W310" i="6"/>
  <c r="AC310" i="6"/>
  <c r="AD310" i="6"/>
  <c r="AE310" i="6"/>
  <c r="X310" i="6" s="1"/>
  <c r="AF310" i="6"/>
  <c r="Y310" i="6" s="1"/>
  <c r="AG310" i="6"/>
  <c r="Z310" i="6" s="1"/>
  <c r="AH310" i="6"/>
  <c r="AA310" i="6" s="1"/>
  <c r="AI310" i="6"/>
  <c r="AB310" i="6" s="1"/>
  <c r="AJ310" i="6"/>
  <c r="AK310" i="6"/>
  <c r="AL310" i="6"/>
  <c r="AM310" i="6"/>
  <c r="AN310" i="6"/>
  <c r="V311" i="6"/>
  <c r="W311" i="6"/>
  <c r="AC311" i="6"/>
  <c r="AD311" i="6"/>
  <c r="AE311" i="6"/>
  <c r="X311" i="6" s="1"/>
  <c r="AF311" i="6"/>
  <c r="Y311" i="6" s="1"/>
  <c r="AG311" i="6"/>
  <c r="Z311" i="6" s="1"/>
  <c r="AH311" i="6"/>
  <c r="AA311" i="6" s="1"/>
  <c r="AI311" i="6"/>
  <c r="AB311" i="6" s="1"/>
  <c r="AJ311" i="6"/>
  <c r="AK311" i="6"/>
  <c r="AL311" i="6"/>
  <c r="AM311" i="6"/>
  <c r="AN311" i="6"/>
  <c r="V312" i="6"/>
  <c r="W312" i="6"/>
  <c r="AC312" i="6"/>
  <c r="AD312" i="6"/>
  <c r="AE312" i="6"/>
  <c r="X312" i="6" s="1"/>
  <c r="AF312" i="6"/>
  <c r="Y312" i="6" s="1"/>
  <c r="AG312" i="6"/>
  <c r="Z312" i="6" s="1"/>
  <c r="AH312" i="6"/>
  <c r="AA312" i="6" s="1"/>
  <c r="AI312" i="6"/>
  <c r="AB312" i="6" s="1"/>
  <c r="AJ312" i="6"/>
  <c r="AK312" i="6"/>
  <c r="AL312" i="6"/>
  <c r="AM312" i="6"/>
  <c r="AN312" i="6"/>
  <c r="V313" i="6"/>
  <c r="W313" i="6"/>
  <c r="AC313" i="6"/>
  <c r="AD313" i="6"/>
  <c r="AE313" i="6"/>
  <c r="X313" i="6" s="1"/>
  <c r="AF313" i="6"/>
  <c r="Y313" i="6" s="1"/>
  <c r="AG313" i="6"/>
  <c r="Z313" i="6" s="1"/>
  <c r="AH313" i="6"/>
  <c r="AA313" i="6" s="1"/>
  <c r="AI313" i="6"/>
  <c r="AB313" i="6" s="1"/>
  <c r="AJ313" i="6"/>
  <c r="AK313" i="6"/>
  <c r="AL313" i="6"/>
  <c r="AM313" i="6"/>
  <c r="AN313" i="6"/>
  <c r="V314" i="6"/>
  <c r="W314" i="6"/>
  <c r="AC314" i="6"/>
  <c r="AD314" i="6"/>
  <c r="AE314" i="6"/>
  <c r="X314" i="6" s="1"/>
  <c r="AF314" i="6"/>
  <c r="Y314" i="6" s="1"/>
  <c r="AG314" i="6"/>
  <c r="Z314" i="6" s="1"/>
  <c r="AH314" i="6"/>
  <c r="AA314" i="6" s="1"/>
  <c r="AI314" i="6"/>
  <c r="AB314" i="6" s="1"/>
  <c r="AJ314" i="6"/>
  <c r="AK314" i="6"/>
  <c r="AL314" i="6"/>
  <c r="AM314" i="6"/>
  <c r="AN314" i="6"/>
  <c r="V315" i="6"/>
  <c r="W315" i="6"/>
  <c r="AC315" i="6"/>
  <c r="AD315" i="6"/>
  <c r="AE315" i="6"/>
  <c r="X315" i="6" s="1"/>
  <c r="AF315" i="6"/>
  <c r="Y315" i="6" s="1"/>
  <c r="AG315" i="6"/>
  <c r="Z315" i="6" s="1"/>
  <c r="AH315" i="6"/>
  <c r="AA315" i="6" s="1"/>
  <c r="AI315" i="6"/>
  <c r="AB315" i="6" s="1"/>
  <c r="AJ315" i="6"/>
  <c r="AK315" i="6"/>
  <c r="AL315" i="6"/>
  <c r="AM315" i="6"/>
  <c r="AN315" i="6"/>
  <c r="V316" i="6"/>
  <c r="W316" i="6"/>
  <c r="AC316" i="6"/>
  <c r="AD316" i="6"/>
  <c r="AE316" i="6"/>
  <c r="X316" i="6" s="1"/>
  <c r="AF316" i="6"/>
  <c r="Y316" i="6" s="1"/>
  <c r="AG316" i="6"/>
  <c r="Z316" i="6" s="1"/>
  <c r="AH316" i="6"/>
  <c r="AA316" i="6" s="1"/>
  <c r="AI316" i="6"/>
  <c r="AB316" i="6" s="1"/>
  <c r="AJ316" i="6"/>
  <c r="AK316" i="6"/>
  <c r="AL316" i="6"/>
  <c r="AM316" i="6"/>
  <c r="AN316" i="6"/>
  <c r="V317" i="6"/>
  <c r="W317" i="6"/>
  <c r="AC317" i="6"/>
  <c r="AD317" i="6"/>
  <c r="AE317" i="6"/>
  <c r="X317" i="6" s="1"/>
  <c r="AF317" i="6"/>
  <c r="Y317" i="6" s="1"/>
  <c r="AG317" i="6"/>
  <c r="Z317" i="6" s="1"/>
  <c r="AH317" i="6"/>
  <c r="AA317" i="6" s="1"/>
  <c r="AI317" i="6"/>
  <c r="AB317" i="6" s="1"/>
  <c r="AJ317" i="6"/>
  <c r="AK317" i="6"/>
  <c r="AL317" i="6"/>
  <c r="AM317" i="6"/>
  <c r="AN317" i="6"/>
  <c r="V318" i="6"/>
  <c r="W318" i="6"/>
  <c r="AC318" i="6"/>
  <c r="AD318" i="6"/>
  <c r="AE318" i="6"/>
  <c r="X318" i="6" s="1"/>
  <c r="AF318" i="6"/>
  <c r="Y318" i="6" s="1"/>
  <c r="AG318" i="6"/>
  <c r="Z318" i="6" s="1"/>
  <c r="AH318" i="6"/>
  <c r="AA318" i="6" s="1"/>
  <c r="AI318" i="6"/>
  <c r="AB318" i="6" s="1"/>
  <c r="AJ318" i="6"/>
  <c r="AK318" i="6"/>
  <c r="AL318" i="6"/>
  <c r="AM318" i="6"/>
  <c r="AN318" i="6"/>
  <c r="V319" i="6"/>
  <c r="W319" i="6"/>
  <c r="AC319" i="6"/>
  <c r="AD319" i="6"/>
  <c r="AE319" i="6"/>
  <c r="X319" i="6" s="1"/>
  <c r="AF319" i="6"/>
  <c r="Y319" i="6" s="1"/>
  <c r="AG319" i="6"/>
  <c r="Z319" i="6" s="1"/>
  <c r="AH319" i="6"/>
  <c r="AA319" i="6" s="1"/>
  <c r="AI319" i="6"/>
  <c r="AB319" i="6" s="1"/>
  <c r="AJ319" i="6"/>
  <c r="AK319" i="6"/>
  <c r="AL319" i="6"/>
  <c r="AM319" i="6"/>
  <c r="AN319" i="6"/>
  <c r="V320" i="6"/>
  <c r="W320" i="6"/>
  <c r="AC320" i="6"/>
  <c r="AD320" i="6"/>
  <c r="AE320" i="6"/>
  <c r="X320" i="6" s="1"/>
  <c r="AF320" i="6"/>
  <c r="Y320" i="6" s="1"/>
  <c r="AG320" i="6"/>
  <c r="Z320" i="6" s="1"/>
  <c r="AH320" i="6"/>
  <c r="AA320" i="6" s="1"/>
  <c r="AI320" i="6"/>
  <c r="AB320" i="6" s="1"/>
  <c r="AJ320" i="6"/>
  <c r="AK320" i="6"/>
  <c r="AL320" i="6"/>
  <c r="AM320" i="6"/>
  <c r="AN320" i="6"/>
  <c r="V321" i="6"/>
  <c r="W321" i="6"/>
  <c r="AC321" i="6"/>
  <c r="AD321" i="6"/>
  <c r="AE321" i="6"/>
  <c r="X321" i="6" s="1"/>
  <c r="AF321" i="6"/>
  <c r="Y321" i="6" s="1"/>
  <c r="AG321" i="6"/>
  <c r="Z321" i="6" s="1"/>
  <c r="AH321" i="6"/>
  <c r="AA321" i="6" s="1"/>
  <c r="AI321" i="6"/>
  <c r="AB321" i="6" s="1"/>
  <c r="AJ321" i="6"/>
  <c r="AK321" i="6"/>
  <c r="AL321" i="6"/>
  <c r="AM321" i="6"/>
  <c r="AN321" i="6"/>
  <c r="V322" i="6"/>
  <c r="W322" i="6"/>
  <c r="AC322" i="6"/>
  <c r="AD322" i="6"/>
  <c r="AE322" i="6"/>
  <c r="X322" i="6" s="1"/>
  <c r="AF322" i="6"/>
  <c r="Y322" i="6" s="1"/>
  <c r="AG322" i="6"/>
  <c r="Z322" i="6" s="1"/>
  <c r="AH322" i="6"/>
  <c r="AA322" i="6" s="1"/>
  <c r="AI322" i="6"/>
  <c r="AB322" i="6" s="1"/>
  <c r="AJ322" i="6"/>
  <c r="AK322" i="6"/>
  <c r="AL322" i="6"/>
  <c r="AM322" i="6"/>
  <c r="AN322" i="6"/>
  <c r="V323" i="6"/>
  <c r="W323" i="6"/>
  <c r="AC323" i="6"/>
  <c r="AD323" i="6"/>
  <c r="AE323" i="6"/>
  <c r="X323" i="6" s="1"/>
  <c r="AF323" i="6"/>
  <c r="Y323" i="6" s="1"/>
  <c r="AG323" i="6"/>
  <c r="Z323" i="6" s="1"/>
  <c r="AH323" i="6"/>
  <c r="AA323" i="6" s="1"/>
  <c r="AI323" i="6"/>
  <c r="AB323" i="6" s="1"/>
  <c r="AJ323" i="6"/>
  <c r="AK323" i="6"/>
  <c r="AL323" i="6"/>
  <c r="AM323" i="6"/>
  <c r="AN323" i="6"/>
  <c r="V324" i="6"/>
  <c r="W324" i="6"/>
  <c r="AC324" i="6"/>
  <c r="AD324" i="6"/>
  <c r="AE324" i="6"/>
  <c r="X324" i="6" s="1"/>
  <c r="AF324" i="6"/>
  <c r="Y324" i="6" s="1"/>
  <c r="AG324" i="6"/>
  <c r="Z324" i="6" s="1"/>
  <c r="AH324" i="6"/>
  <c r="AA324" i="6" s="1"/>
  <c r="AI324" i="6"/>
  <c r="AB324" i="6" s="1"/>
  <c r="AJ324" i="6"/>
  <c r="AK324" i="6"/>
  <c r="AL324" i="6"/>
  <c r="AM324" i="6"/>
  <c r="AN324" i="6"/>
  <c r="V325" i="6"/>
  <c r="W325" i="6"/>
  <c r="AC325" i="6"/>
  <c r="AD325" i="6"/>
  <c r="AE325" i="6"/>
  <c r="X325" i="6" s="1"/>
  <c r="AF325" i="6"/>
  <c r="Y325" i="6" s="1"/>
  <c r="AG325" i="6"/>
  <c r="Z325" i="6" s="1"/>
  <c r="AH325" i="6"/>
  <c r="AA325" i="6" s="1"/>
  <c r="AI325" i="6"/>
  <c r="AB325" i="6" s="1"/>
  <c r="AJ325" i="6"/>
  <c r="AK325" i="6"/>
  <c r="AL325" i="6"/>
  <c r="AM325" i="6"/>
  <c r="AN325" i="6"/>
  <c r="V326" i="6"/>
  <c r="W326" i="6"/>
  <c r="AC326" i="6"/>
  <c r="AD326" i="6"/>
  <c r="AE326" i="6"/>
  <c r="X326" i="6" s="1"/>
  <c r="AF326" i="6"/>
  <c r="Y326" i="6" s="1"/>
  <c r="AG326" i="6"/>
  <c r="Z326" i="6" s="1"/>
  <c r="AH326" i="6"/>
  <c r="AA326" i="6" s="1"/>
  <c r="AI326" i="6"/>
  <c r="AB326" i="6" s="1"/>
  <c r="AJ326" i="6"/>
  <c r="AK326" i="6"/>
  <c r="AL326" i="6"/>
  <c r="AM326" i="6"/>
  <c r="AN326" i="6"/>
  <c r="V327" i="6"/>
  <c r="W327" i="6"/>
  <c r="AC327" i="6"/>
  <c r="AD327" i="6"/>
  <c r="AE327" i="6"/>
  <c r="X327" i="6" s="1"/>
  <c r="AF327" i="6"/>
  <c r="Y327" i="6" s="1"/>
  <c r="AG327" i="6"/>
  <c r="Z327" i="6" s="1"/>
  <c r="AH327" i="6"/>
  <c r="AA327" i="6" s="1"/>
  <c r="AI327" i="6"/>
  <c r="AB327" i="6" s="1"/>
  <c r="AJ327" i="6"/>
  <c r="AK327" i="6"/>
  <c r="AL327" i="6"/>
  <c r="AM327" i="6"/>
  <c r="AN327" i="6"/>
  <c r="V328" i="6"/>
  <c r="W328" i="6"/>
  <c r="AC328" i="6"/>
  <c r="AD328" i="6"/>
  <c r="AE328" i="6"/>
  <c r="X328" i="6" s="1"/>
  <c r="AF328" i="6"/>
  <c r="Y328" i="6" s="1"/>
  <c r="AG328" i="6"/>
  <c r="Z328" i="6" s="1"/>
  <c r="AH328" i="6"/>
  <c r="AA328" i="6" s="1"/>
  <c r="AI328" i="6"/>
  <c r="AB328" i="6" s="1"/>
  <c r="AJ328" i="6"/>
  <c r="AK328" i="6"/>
  <c r="AL328" i="6"/>
  <c r="AM328" i="6"/>
  <c r="AN328" i="6"/>
  <c r="V329" i="6"/>
  <c r="W329" i="6"/>
  <c r="AC329" i="6"/>
  <c r="AD329" i="6"/>
  <c r="AE329" i="6"/>
  <c r="X329" i="6" s="1"/>
  <c r="AF329" i="6"/>
  <c r="Y329" i="6" s="1"/>
  <c r="AG329" i="6"/>
  <c r="Z329" i="6" s="1"/>
  <c r="AH329" i="6"/>
  <c r="AA329" i="6" s="1"/>
  <c r="AI329" i="6"/>
  <c r="AB329" i="6" s="1"/>
  <c r="AJ329" i="6"/>
  <c r="AK329" i="6"/>
  <c r="AL329" i="6"/>
  <c r="AM329" i="6"/>
  <c r="AN329" i="6"/>
  <c r="V330" i="6"/>
  <c r="W330" i="6"/>
  <c r="AC330" i="6"/>
  <c r="AD330" i="6"/>
  <c r="AE330" i="6"/>
  <c r="X330" i="6" s="1"/>
  <c r="AF330" i="6"/>
  <c r="Y330" i="6" s="1"/>
  <c r="AG330" i="6"/>
  <c r="Z330" i="6" s="1"/>
  <c r="AH330" i="6"/>
  <c r="AA330" i="6" s="1"/>
  <c r="AI330" i="6"/>
  <c r="AB330" i="6" s="1"/>
  <c r="AJ330" i="6"/>
  <c r="AK330" i="6"/>
  <c r="AL330" i="6"/>
  <c r="AM330" i="6"/>
  <c r="AN330" i="6"/>
  <c r="V331" i="6"/>
  <c r="W331" i="6"/>
  <c r="AC331" i="6"/>
  <c r="AD331" i="6"/>
  <c r="AE331" i="6"/>
  <c r="X331" i="6" s="1"/>
  <c r="AF331" i="6"/>
  <c r="Y331" i="6" s="1"/>
  <c r="AG331" i="6"/>
  <c r="Z331" i="6" s="1"/>
  <c r="AH331" i="6"/>
  <c r="AA331" i="6" s="1"/>
  <c r="AI331" i="6"/>
  <c r="AB331" i="6" s="1"/>
  <c r="AJ331" i="6"/>
  <c r="AK331" i="6"/>
  <c r="AL331" i="6"/>
  <c r="AM331" i="6"/>
  <c r="AN331" i="6"/>
  <c r="V332" i="6"/>
  <c r="W332" i="6"/>
  <c r="AC332" i="6"/>
  <c r="AD332" i="6"/>
  <c r="AE332" i="6"/>
  <c r="X332" i="6" s="1"/>
  <c r="AF332" i="6"/>
  <c r="Y332" i="6" s="1"/>
  <c r="AG332" i="6"/>
  <c r="Z332" i="6" s="1"/>
  <c r="AH332" i="6"/>
  <c r="AA332" i="6" s="1"/>
  <c r="AI332" i="6"/>
  <c r="AB332" i="6" s="1"/>
  <c r="AJ332" i="6"/>
  <c r="AK332" i="6"/>
  <c r="AL332" i="6"/>
  <c r="AM332" i="6"/>
  <c r="AN332" i="6"/>
  <c r="V333" i="6"/>
  <c r="W333" i="6"/>
  <c r="AC333" i="6"/>
  <c r="AD333" i="6"/>
  <c r="AE333" i="6"/>
  <c r="X333" i="6" s="1"/>
  <c r="AF333" i="6"/>
  <c r="Y333" i="6" s="1"/>
  <c r="AG333" i="6"/>
  <c r="Z333" i="6" s="1"/>
  <c r="AH333" i="6"/>
  <c r="AA333" i="6" s="1"/>
  <c r="AI333" i="6"/>
  <c r="AB333" i="6" s="1"/>
  <c r="AJ333" i="6"/>
  <c r="AK333" i="6"/>
  <c r="AL333" i="6"/>
  <c r="AM333" i="6"/>
  <c r="AN333" i="6"/>
  <c r="V334" i="6"/>
  <c r="W334" i="6"/>
  <c r="AC334" i="6"/>
  <c r="AD334" i="6"/>
  <c r="AE334" i="6"/>
  <c r="X334" i="6" s="1"/>
  <c r="AF334" i="6"/>
  <c r="Y334" i="6" s="1"/>
  <c r="AG334" i="6"/>
  <c r="Z334" i="6" s="1"/>
  <c r="AH334" i="6"/>
  <c r="AA334" i="6" s="1"/>
  <c r="AI334" i="6"/>
  <c r="AB334" i="6" s="1"/>
  <c r="AJ334" i="6"/>
  <c r="AK334" i="6"/>
  <c r="AL334" i="6"/>
  <c r="AM334" i="6"/>
  <c r="AN334" i="6"/>
  <c r="V335" i="6"/>
  <c r="W335" i="6"/>
  <c r="AC335" i="6"/>
  <c r="AD335" i="6"/>
  <c r="AE335" i="6"/>
  <c r="X335" i="6" s="1"/>
  <c r="AF335" i="6"/>
  <c r="Y335" i="6" s="1"/>
  <c r="AG335" i="6"/>
  <c r="Z335" i="6" s="1"/>
  <c r="AH335" i="6"/>
  <c r="AA335" i="6" s="1"/>
  <c r="AI335" i="6"/>
  <c r="AB335" i="6" s="1"/>
  <c r="AJ335" i="6"/>
  <c r="AK335" i="6"/>
  <c r="AL335" i="6"/>
  <c r="AM335" i="6"/>
  <c r="AN335" i="6"/>
  <c r="V336" i="6"/>
  <c r="W336" i="6"/>
  <c r="AC336" i="6"/>
  <c r="AD336" i="6"/>
  <c r="AE336" i="6"/>
  <c r="X336" i="6" s="1"/>
  <c r="AF336" i="6"/>
  <c r="Y336" i="6" s="1"/>
  <c r="AG336" i="6"/>
  <c r="Z336" i="6" s="1"/>
  <c r="AH336" i="6"/>
  <c r="AA336" i="6" s="1"/>
  <c r="AI336" i="6"/>
  <c r="AB336" i="6" s="1"/>
  <c r="AJ336" i="6"/>
  <c r="AK336" i="6"/>
  <c r="AL336" i="6"/>
  <c r="AM336" i="6"/>
  <c r="AN336" i="6"/>
  <c r="V337" i="6"/>
  <c r="W337" i="6"/>
  <c r="AC337" i="6"/>
  <c r="AD337" i="6"/>
  <c r="AE337" i="6"/>
  <c r="X337" i="6" s="1"/>
  <c r="AF337" i="6"/>
  <c r="Y337" i="6" s="1"/>
  <c r="AG337" i="6"/>
  <c r="Z337" i="6" s="1"/>
  <c r="AH337" i="6"/>
  <c r="AA337" i="6" s="1"/>
  <c r="AI337" i="6"/>
  <c r="AB337" i="6" s="1"/>
  <c r="AJ337" i="6"/>
  <c r="AK337" i="6"/>
  <c r="AL337" i="6"/>
  <c r="AM337" i="6"/>
  <c r="AN337" i="6"/>
  <c r="V338" i="6"/>
  <c r="W338" i="6"/>
  <c r="AC338" i="6"/>
  <c r="AD338" i="6"/>
  <c r="AE338" i="6"/>
  <c r="X338" i="6" s="1"/>
  <c r="AF338" i="6"/>
  <c r="Y338" i="6" s="1"/>
  <c r="AG338" i="6"/>
  <c r="Z338" i="6" s="1"/>
  <c r="AH338" i="6"/>
  <c r="AA338" i="6" s="1"/>
  <c r="AI338" i="6"/>
  <c r="AB338" i="6" s="1"/>
  <c r="AJ338" i="6"/>
  <c r="AK338" i="6"/>
  <c r="AL338" i="6"/>
  <c r="AM338" i="6"/>
  <c r="AN338" i="6"/>
  <c r="V339" i="6"/>
  <c r="W339" i="6"/>
  <c r="AC339" i="6"/>
  <c r="AD339" i="6"/>
  <c r="AE339" i="6"/>
  <c r="X339" i="6" s="1"/>
  <c r="AF339" i="6"/>
  <c r="Y339" i="6" s="1"/>
  <c r="AG339" i="6"/>
  <c r="Z339" i="6" s="1"/>
  <c r="AH339" i="6"/>
  <c r="AA339" i="6" s="1"/>
  <c r="AI339" i="6"/>
  <c r="AB339" i="6" s="1"/>
  <c r="AJ339" i="6"/>
  <c r="AK339" i="6"/>
  <c r="AL339" i="6"/>
  <c r="AM339" i="6"/>
  <c r="AN339" i="6"/>
  <c r="V340" i="6"/>
  <c r="W340" i="6"/>
  <c r="AC340" i="6"/>
  <c r="AD340" i="6"/>
  <c r="AE340" i="6"/>
  <c r="X340" i="6" s="1"/>
  <c r="AF340" i="6"/>
  <c r="Y340" i="6" s="1"/>
  <c r="AG340" i="6"/>
  <c r="Z340" i="6" s="1"/>
  <c r="AH340" i="6"/>
  <c r="AA340" i="6" s="1"/>
  <c r="AI340" i="6"/>
  <c r="AB340" i="6" s="1"/>
  <c r="AJ340" i="6"/>
  <c r="AK340" i="6"/>
  <c r="AL340" i="6"/>
  <c r="AM340" i="6"/>
  <c r="AN340" i="6"/>
  <c r="V341" i="6"/>
  <c r="W341" i="6"/>
  <c r="AC341" i="6"/>
  <c r="AD341" i="6"/>
  <c r="AE341" i="6"/>
  <c r="X341" i="6" s="1"/>
  <c r="AF341" i="6"/>
  <c r="Y341" i="6" s="1"/>
  <c r="AG341" i="6"/>
  <c r="Z341" i="6" s="1"/>
  <c r="AH341" i="6"/>
  <c r="AA341" i="6" s="1"/>
  <c r="AI341" i="6"/>
  <c r="AB341" i="6" s="1"/>
  <c r="AJ341" i="6"/>
  <c r="AK341" i="6"/>
  <c r="AL341" i="6"/>
  <c r="AM341" i="6"/>
  <c r="AN341" i="6"/>
  <c r="V342" i="6"/>
  <c r="W342" i="6"/>
  <c r="AC342" i="6"/>
  <c r="AD342" i="6"/>
  <c r="AE342" i="6"/>
  <c r="X342" i="6" s="1"/>
  <c r="AF342" i="6"/>
  <c r="Y342" i="6" s="1"/>
  <c r="AG342" i="6"/>
  <c r="Z342" i="6" s="1"/>
  <c r="AH342" i="6"/>
  <c r="AA342" i="6" s="1"/>
  <c r="AI342" i="6"/>
  <c r="AB342" i="6" s="1"/>
  <c r="AJ342" i="6"/>
  <c r="AK342" i="6"/>
  <c r="AL342" i="6"/>
  <c r="AM342" i="6"/>
  <c r="AN342" i="6"/>
  <c r="V343" i="6"/>
  <c r="W343" i="6"/>
  <c r="AC343" i="6"/>
  <c r="AD343" i="6"/>
  <c r="AE343" i="6"/>
  <c r="X343" i="6" s="1"/>
  <c r="AF343" i="6"/>
  <c r="Y343" i="6" s="1"/>
  <c r="AG343" i="6"/>
  <c r="Z343" i="6" s="1"/>
  <c r="AH343" i="6"/>
  <c r="AA343" i="6" s="1"/>
  <c r="AI343" i="6"/>
  <c r="AB343" i="6" s="1"/>
  <c r="AJ343" i="6"/>
  <c r="AK343" i="6"/>
  <c r="AL343" i="6"/>
  <c r="AM343" i="6"/>
  <c r="AN343" i="6"/>
  <c r="V344" i="6"/>
  <c r="W344" i="6"/>
  <c r="AC344" i="6"/>
  <c r="AD344" i="6"/>
  <c r="AE344" i="6"/>
  <c r="X344" i="6" s="1"/>
  <c r="AF344" i="6"/>
  <c r="Y344" i="6" s="1"/>
  <c r="AG344" i="6"/>
  <c r="Z344" i="6" s="1"/>
  <c r="AH344" i="6"/>
  <c r="AA344" i="6" s="1"/>
  <c r="AI344" i="6"/>
  <c r="AB344" i="6" s="1"/>
  <c r="AJ344" i="6"/>
  <c r="AK344" i="6"/>
  <c r="AL344" i="6"/>
  <c r="AM344" i="6"/>
  <c r="AN344" i="6"/>
  <c r="V345" i="6"/>
  <c r="W345" i="6"/>
  <c r="AC345" i="6"/>
  <c r="AD345" i="6"/>
  <c r="AE345" i="6"/>
  <c r="X345" i="6" s="1"/>
  <c r="AF345" i="6"/>
  <c r="Y345" i="6" s="1"/>
  <c r="AG345" i="6"/>
  <c r="Z345" i="6" s="1"/>
  <c r="AH345" i="6"/>
  <c r="AA345" i="6" s="1"/>
  <c r="AI345" i="6"/>
  <c r="AB345" i="6" s="1"/>
  <c r="AJ345" i="6"/>
  <c r="AK345" i="6"/>
  <c r="AL345" i="6"/>
  <c r="AM345" i="6"/>
  <c r="AN345" i="6"/>
  <c r="V346" i="6"/>
  <c r="W346" i="6"/>
  <c r="AC346" i="6"/>
  <c r="AD346" i="6"/>
  <c r="AE346" i="6"/>
  <c r="X346" i="6" s="1"/>
  <c r="AF346" i="6"/>
  <c r="Y346" i="6" s="1"/>
  <c r="AG346" i="6"/>
  <c r="Z346" i="6" s="1"/>
  <c r="AH346" i="6"/>
  <c r="AA346" i="6" s="1"/>
  <c r="AI346" i="6"/>
  <c r="AB346" i="6" s="1"/>
  <c r="AJ346" i="6"/>
  <c r="AK346" i="6"/>
  <c r="AL346" i="6"/>
  <c r="AM346" i="6"/>
  <c r="AN346" i="6"/>
  <c r="V347" i="6"/>
  <c r="W347" i="6"/>
  <c r="AC347" i="6"/>
  <c r="AD347" i="6"/>
  <c r="AE347" i="6"/>
  <c r="X347" i="6" s="1"/>
  <c r="AF347" i="6"/>
  <c r="Y347" i="6" s="1"/>
  <c r="AG347" i="6"/>
  <c r="Z347" i="6" s="1"/>
  <c r="AH347" i="6"/>
  <c r="AA347" i="6" s="1"/>
  <c r="AI347" i="6"/>
  <c r="AB347" i="6" s="1"/>
  <c r="AJ347" i="6"/>
  <c r="AK347" i="6"/>
  <c r="AL347" i="6"/>
  <c r="AM347" i="6"/>
  <c r="AN347" i="6"/>
  <c r="V348" i="6"/>
  <c r="W348" i="6"/>
  <c r="AC348" i="6"/>
  <c r="AD348" i="6"/>
  <c r="AE348" i="6"/>
  <c r="X348" i="6" s="1"/>
  <c r="AF348" i="6"/>
  <c r="Y348" i="6" s="1"/>
  <c r="AG348" i="6"/>
  <c r="Z348" i="6" s="1"/>
  <c r="AH348" i="6"/>
  <c r="AA348" i="6" s="1"/>
  <c r="AI348" i="6"/>
  <c r="AB348" i="6" s="1"/>
  <c r="AJ348" i="6"/>
  <c r="AK348" i="6"/>
  <c r="AL348" i="6"/>
  <c r="AM348" i="6"/>
  <c r="AN348" i="6"/>
  <c r="V349" i="6"/>
  <c r="W349" i="6"/>
  <c r="AC349" i="6"/>
  <c r="AD349" i="6"/>
  <c r="AE349" i="6"/>
  <c r="X349" i="6" s="1"/>
  <c r="AF349" i="6"/>
  <c r="Y349" i="6" s="1"/>
  <c r="AG349" i="6"/>
  <c r="Z349" i="6" s="1"/>
  <c r="AH349" i="6"/>
  <c r="AA349" i="6" s="1"/>
  <c r="AI349" i="6"/>
  <c r="AB349" i="6" s="1"/>
  <c r="AJ349" i="6"/>
  <c r="AK349" i="6"/>
  <c r="AL349" i="6"/>
  <c r="AM349" i="6"/>
  <c r="AN349" i="6"/>
  <c r="V350" i="6"/>
  <c r="W350" i="6"/>
  <c r="AC350" i="6"/>
  <c r="AD350" i="6"/>
  <c r="AE350" i="6"/>
  <c r="X350" i="6" s="1"/>
  <c r="AF350" i="6"/>
  <c r="Y350" i="6" s="1"/>
  <c r="AG350" i="6"/>
  <c r="Z350" i="6" s="1"/>
  <c r="AH350" i="6"/>
  <c r="AA350" i="6" s="1"/>
  <c r="AI350" i="6"/>
  <c r="AB350" i="6" s="1"/>
  <c r="AJ350" i="6"/>
  <c r="AK350" i="6"/>
  <c r="AL350" i="6"/>
  <c r="AM350" i="6"/>
  <c r="AN350" i="6"/>
  <c r="V351" i="6"/>
  <c r="W351" i="6"/>
  <c r="AC351" i="6"/>
  <c r="AD351" i="6"/>
  <c r="AE351" i="6"/>
  <c r="X351" i="6" s="1"/>
  <c r="AF351" i="6"/>
  <c r="Y351" i="6" s="1"/>
  <c r="AG351" i="6"/>
  <c r="Z351" i="6" s="1"/>
  <c r="AH351" i="6"/>
  <c r="AA351" i="6" s="1"/>
  <c r="AI351" i="6"/>
  <c r="AB351" i="6" s="1"/>
  <c r="AJ351" i="6"/>
  <c r="AK351" i="6"/>
  <c r="AL351" i="6"/>
  <c r="AM351" i="6"/>
  <c r="AN351" i="6"/>
  <c r="V352" i="6"/>
  <c r="W352" i="6"/>
  <c r="AC352" i="6"/>
  <c r="AD352" i="6"/>
  <c r="AE352" i="6"/>
  <c r="X352" i="6" s="1"/>
  <c r="AF352" i="6"/>
  <c r="Y352" i="6" s="1"/>
  <c r="AG352" i="6"/>
  <c r="Z352" i="6" s="1"/>
  <c r="AH352" i="6"/>
  <c r="AA352" i="6" s="1"/>
  <c r="AI352" i="6"/>
  <c r="AB352" i="6" s="1"/>
  <c r="AJ352" i="6"/>
  <c r="AK352" i="6"/>
  <c r="AL352" i="6"/>
  <c r="AM352" i="6"/>
  <c r="AN352" i="6"/>
  <c r="V353" i="6"/>
  <c r="W353" i="6"/>
  <c r="AC353" i="6"/>
  <c r="AD353" i="6"/>
  <c r="AE353" i="6"/>
  <c r="X353" i="6" s="1"/>
  <c r="AF353" i="6"/>
  <c r="Y353" i="6" s="1"/>
  <c r="AG353" i="6"/>
  <c r="Z353" i="6" s="1"/>
  <c r="AH353" i="6"/>
  <c r="AA353" i="6" s="1"/>
  <c r="AI353" i="6"/>
  <c r="AB353" i="6" s="1"/>
  <c r="AJ353" i="6"/>
  <c r="AK353" i="6"/>
  <c r="AL353" i="6"/>
  <c r="AM353" i="6"/>
  <c r="AN353" i="6"/>
  <c r="V354" i="6"/>
  <c r="W354" i="6"/>
  <c r="AC354" i="6"/>
  <c r="AD354" i="6"/>
  <c r="AE354" i="6"/>
  <c r="X354" i="6" s="1"/>
  <c r="AF354" i="6"/>
  <c r="Y354" i="6" s="1"/>
  <c r="AG354" i="6"/>
  <c r="Z354" i="6" s="1"/>
  <c r="AH354" i="6"/>
  <c r="AA354" i="6" s="1"/>
  <c r="AI354" i="6"/>
  <c r="AB354" i="6" s="1"/>
  <c r="AJ354" i="6"/>
  <c r="AK354" i="6"/>
  <c r="AL354" i="6"/>
  <c r="AM354" i="6"/>
  <c r="AN354" i="6"/>
  <c r="V355" i="6"/>
  <c r="W355" i="6"/>
  <c r="AC355" i="6"/>
  <c r="AD355" i="6"/>
  <c r="AE355" i="6"/>
  <c r="X355" i="6" s="1"/>
  <c r="AF355" i="6"/>
  <c r="Y355" i="6" s="1"/>
  <c r="AG355" i="6"/>
  <c r="Z355" i="6" s="1"/>
  <c r="AH355" i="6"/>
  <c r="AA355" i="6" s="1"/>
  <c r="AI355" i="6"/>
  <c r="AB355" i="6" s="1"/>
  <c r="AJ355" i="6"/>
  <c r="AK355" i="6"/>
  <c r="AL355" i="6"/>
  <c r="AM355" i="6"/>
  <c r="AN355" i="6"/>
  <c r="V356" i="6"/>
  <c r="W356" i="6"/>
  <c r="AC356" i="6"/>
  <c r="AD356" i="6"/>
  <c r="AE356" i="6"/>
  <c r="X356" i="6" s="1"/>
  <c r="AF356" i="6"/>
  <c r="Y356" i="6" s="1"/>
  <c r="AG356" i="6"/>
  <c r="Z356" i="6" s="1"/>
  <c r="AH356" i="6"/>
  <c r="AA356" i="6" s="1"/>
  <c r="AI356" i="6"/>
  <c r="AB356" i="6" s="1"/>
  <c r="AJ356" i="6"/>
  <c r="AK356" i="6"/>
  <c r="AL356" i="6"/>
  <c r="AM356" i="6"/>
  <c r="AN356" i="6"/>
  <c r="V357" i="6"/>
  <c r="W357" i="6"/>
  <c r="AC357" i="6"/>
  <c r="AD357" i="6"/>
  <c r="AE357" i="6"/>
  <c r="X357" i="6" s="1"/>
  <c r="AF357" i="6"/>
  <c r="Y357" i="6" s="1"/>
  <c r="AG357" i="6"/>
  <c r="Z357" i="6" s="1"/>
  <c r="AH357" i="6"/>
  <c r="AA357" i="6" s="1"/>
  <c r="AI357" i="6"/>
  <c r="AB357" i="6" s="1"/>
  <c r="AJ357" i="6"/>
  <c r="AK357" i="6"/>
  <c r="AL357" i="6"/>
  <c r="AM357" i="6"/>
  <c r="AN357" i="6"/>
  <c r="V358" i="6"/>
  <c r="W358" i="6"/>
  <c r="AC358" i="6"/>
  <c r="AD358" i="6"/>
  <c r="AE358" i="6"/>
  <c r="X358" i="6" s="1"/>
  <c r="AF358" i="6"/>
  <c r="Y358" i="6" s="1"/>
  <c r="AG358" i="6"/>
  <c r="Z358" i="6" s="1"/>
  <c r="AH358" i="6"/>
  <c r="AA358" i="6" s="1"/>
  <c r="AI358" i="6"/>
  <c r="AB358" i="6" s="1"/>
  <c r="AJ358" i="6"/>
  <c r="AK358" i="6"/>
  <c r="AL358" i="6"/>
  <c r="AM358" i="6"/>
  <c r="AN358" i="6"/>
  <c r="V359" i="6"/>
  <c r="W359" i="6"/>
  <c r="AC359" i="6"/>
  <c r="AD359" i="6"/>
  <c r="AE359" i="6"/>
  <c r="X359" i="6" s="1"/>
  <c r="AF359" i="6"/>
  <c r="Y359" i="6" s="1"/>
  <c r="AG359" i="6"/>
  <c r="Z359" i="6" s="1"/>
  <c r="AH359" i="6"/>
  <c r="AA359" i="6" s="1"/>
  <c r="AI359" i="6"/>
  <c r="AB359" i="6" s="1"/>
  <c r="AJ359" i="6"/>
  <c r="AK359" i="6"/>
  <c r="AL359" i="6"/>
  <c r="AM359" i="6"/>
  <c r="AN359" i="6"/>
  <c r="V360" i="6"/>
  <c r="W360" i="6"/>
  <c r="AC360" i="6"/>
  <c r="AD360" i="6"/>
  <c r="AE360" i="6"/>
  <c r="X360" i="6" s="1"/>
  <c r="AF360" i="6"/>
  <c r="Y360" i="6" s="1"/>
  <c r="AG360" i="6"/>
  <c r="Z360" i="6" s="1"/>
  <c r="AH360" i="6"/>
  <c r="AA360" i="6" s="1"/>
  <c r="AI360" i="6"/>
  <c r="AB360" i="6" s="1"/>
  <c r="AJ360" i="6"/>
  <c r="AK360" i="6"/>
  <c r="AL360" i="6"/>
  <c r="AM360" i="6"/>
  <c r="AN360" i="6"/>
  <c r="V361" i="6"/>
  <c r="W361" i="6"/>
  <c r="AC361" i="6"/>
  <c r="AD361" i="6"/>
  <c r="AE361" i="6"/>
  <c r="X361" i="6" s="1"/>
  <c r="AF361" i="6"/>
  <c r="Y361" i="6" s="1"/>
  <c r="AG361" i="6"/>
  <c r="Z361" i="6" s="1"/>
  <c r="AH361" i="6"/>
  <c r="AA361" i="6" s="1"/>
  <c r="AI361" i="6"/>
  <c r="AB361" i="6" s="1"/>
  <c r="AJ361" i="6"/>
  <c r="AK361" i="6"/>
  <c r="AL361" i="6"/>
  <c r="AM361" i="6"/>
  <c r="AN361" i="6"/>
  <c r="V362" i="6"/>
  <c r="W362" i="6"/>
  <c r="AC362" i="6"/>
  <c r="AD362" i="6"/>
  <c r="AE362" i="6"/>
  <c r="X362" i="6" s="1"/>
  <c r="AF362" i="6"/>
  <c r="Y362" i="6" s="1"/>
  <c r="AG362" i="6"/>
  <c r="Z362" i="6" s="1"/>
  <c r="AH362" i="6"/>
  <c r="AA362" i="6" s="1"/>
  <c r="AI362" i="6"/>
  <c r="AB362" i="6" s="1"/>
  <c r="AJ362" i="6"/>
  <c r="AK362" i="6"/>
  <c r="AL362" i="6"/>
  <c r="AM362" i="6"/>
  <c r="AN362" i="6"/>
  <c r="V363" i="6"/>
  <c r="W363" i="6"/>
  <c r="AC363" i="6"/>
  <c r="AD363" i="6"/>
  <c r="AE363" i="6"/>
  <c r="X363" i="6" s="1"/>
  <c r="AF363" i="6"/>
  <c r="Y363" i="6" s="1"/>
  <c r="AG363" i="6"/>
  <c r="Z363" i="6" s="1"/>
  <c r="AH363" i="6"/>
  <c r="AA363" i="6" s="1"/>
  <c r="AI363" i="6"/>
  <c r="AB363" i="6" s="1"/>
  <c r="AJ363" i="6"/>
  <c r="AK363" i="6"/>
  <c r="AL363" i="6"/>
  <c r="AM363" i="6"/>
  <c r="AN363" i="6"/>
  <c r="AK2" i="6"/>
  <c r="AJ2" i="6"/>
  <c r="AI2" i="6"/>
  <c r="AH2" i="6"/>
  <c r="AG2" i="6"/>
  <c r="AF2" i="6"/>
  <c r="AE2" i="6"/>
  <c r="AD2" i="6"/>
  <c r="AC2" i="6"/>
  <c r="X2" i="6"/>
  <c r="W2" i="6"/>
  <c r="V2" i="6"/>
  <c r="AL2" i="6"/>
  <c r="AB2" i="6"/>
  <c r="AA2" i="6"/>
  <c r="Z2" i="6"/>
  <c r="Y2" i="6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AM2" i="6" l="1"/>
  <c r="AN2" i="6" l="1"/>
</calcChain>
</file>

<file path=xl/sharedStrings.xml><?xml version="1.0" encoding="utf-8"?>
<sst xmlns="http://schemas.openxmlformats.org/spreadsheetml/2006/main" count="4118" uniqueCount="1096">
  <si>
    <t>PK</t>
  </si>
  <si>
    <t>Route</t>
  </si>
  <si>
    <t>Location Description</t>
  </si>
  <si>
    <t>From</t>
  </si>
  <si>
    <t>To</t>
  </si>
  <si>
    <t>From RP</t>
  </si>
  <si>
    <t>To RP</t>
  </si>
  <si>
    <t>PvmtArea</t>
  </si>
  <si>
    <t>RC</t>
  </si>
  <si>
    <t>FA</t>
  </si>
  <si>
    <t>Planned Project</t>
  </si>
  <si>
    <t># Lanes</t>
  </si>
  <si>
    <t>Surf Type</t>
  </si>
  <si>
    <t>NHS</t>
  </si>
  <si>
    <t>Sub</t>
  </si>
  <si>
    <t>Unit</t>
  </si>
  <si>
    <t>County</t>
  </si>
  <si>
    <t>AADT</t>
  </si>
  <si>
    <t>AADTT</t>
  </si>
  <si>
    <t>Chipable</t>
  </si>
  <si>
    <t>Replacement cycle (years)</t>
  </si>
  <si>
    <t>Adjusted Replacement cycle  (years)</t>
  </si>
  <si>
    <t>Year of latest project completion</t>
  </si>
  <si>
    <t>20y Project plan 1</t>
  </si>
  <si>
    <t>20y Project plan 2</t>
  </si>
  <si>
    <t>20y Project plan 3</t>
  </si>
  <si>
    <t>20y Project plan 4</t>
  </si>
  <si>
    <t>20y Project plan 5</t>
  </si>
  <si>
    <t>20y chip seal 3rd phase plan</t>
  </si>
  <si>
    <t>Planned rpm project by David</t>
  </si>
  <si>
    <t>20y Project plan 1_description</t>
  </si>
  <si>
    <t>20y Project plan 2_description</t>
  </si>
  <si>
    <t>20y Project plan 3_description</t>
  </si>
  <si>
    <t>20y Project plan 4_description</t>
  </si>
  <si>
    <t>20y Project plan 5_description</t>
  </si>
  <si>
    <t>20y Chip Seal Plan</t>
  </si>
  <si>
    <t>Davids's plan for rpm replacement</t>
  </si>
  <si>
    <t>replacement due</t>
  </si>
  <si>
    <t>Possible integration with planned projects year</t>
  </si>
  <si>
    <t>Possible integrated planned projects</t>
  </si>
  <si>
    <t>US 50</t>
  </si>
  <si>
    <t>From US 150 to SR 60</t>
  </si>
  <si>
    <t>43   +0.223</t>
  </si>
  <si>
    <t>53   +0.372</t>
  </si>
  <si>
    <t>C1</t>
  </si>
  <si>
    <t>FLEX</t>
  </si>
  <si>
    <t>Is on the NHS</t>
  </si>
  <si>
    <t>Paoli,Vincennes</t>
  </si>
  <si>
    <t>Bedford Unit 3,Loogootee Unit</t>
  </si>
  <si>
    <t>Lawrence,Martin,Orange</t>
  </si>
  <si>
    <t>N/A</t>
  </si>
  <si>
    <t>I-64</t>
  </si>
  <si>
    <t>From Illinois State Line to 0.6 mile W of SR 165 (Bridge Over Flat Run Ditch)</t>
  </si>
  <si>
    <t>0   +0.000</t>
  </si>
  <si>
    <t>11   +0.272</t>
  </si>
  <si>
    <t>A2</t>
  </si>
  <si>
    <t>Evansville,Vincennes</t>
  </si>
  <si>
    <t>Oakland City Unit,Poseyville Unit 3</t>
  </si>
  <si>
    <t>Gibson,Posey</t>
  </si>
  <si>
    <t>From 0.6 mile W of SR 165 (Bridge Over Flat Run Ditch) to 3.32 mi E of SR 65</t>
  </si>
  <si>
    <t>20   +0.988</t>
  </si>
  <si>
    <t>Evansville</t>
  </si>
  <si>
    <t>Boyle Lane Unit 2,Poseyville Unit 3</t>
  </si>
  <si>
    <t>Gibson,Posey,Vanderburgh</t>
  </si>
  <si>
    <t>From 3.32 mi E of SR 65 to 0.5 mi E of US 41</t>
  </si>
  <si>
    <t>25   +0.524</t>
  </si>
  <si>
    <t>Boyle Lane Unit 2</t>
  </si>
  <si>
    <t>Gibson,Vanderburgh</t>
  </si>
  <si>
    <t>From 0.5 mi E of US 41 to 0.41 mi E of I-69</t>
  </si>
  <si>
    <t>29   +0.888</t>
  </si>
  <si>
    <t>Boyle Lane Unit 2,Chandler Unit 4</t>
  </si>
  <si>
    <t>Gibson,Vanderburgh,Warrick</t>
  </si>
  <si>
    <t>From 0.41 mi E of I-69 to 0.13 mi E of SR 61</t>
  </si>
  <si>
    <t>39   +0.732</t>
  </si>
  <si>
    <t>Evansville,Tell City,Vincennes</t>
  </si>
  <si>
    <t>Boyle Lane Unit 2,Chandler Unit 4,Dale Unit 4,Oakland City Unit</t>
  </si>
  <si>
    <t>Gibson,Warrick</t>
  </si>
  <si>
    <t>From 0.13 mile E of SR 61 to 1.91 mile W SR 161 Overpass</t>
  </si>
  <si>
    <t>48   +0.702</t>
  </si>
  <si>
    <t>Tell City</t>
  </si>
  <si>
    <t>Chrisney Unit 5,Dale Unit 4</t>
  </si>
  <si>
    <t>Spencer,Warrick</t>
  </si>
  <si>
    <t>From 1.91 mile W SR 161 Overpass to 0.79 Miles E of US 231</t>
  </si>
  <si>
    <t>57   +0.254</t>
  </si>
  <si>
    <t>Tell City,Vincennes</t>
  </si>
  <si>
    <t>Dale Unit 4,Oakland City Unit</t>
  </si>
  <si>
    <t>From 0.79 Miles E of US 231 to 3.21 miles E of SR 162</t>
  </si>
  <si>
    <t>65   +0.924</t>
  </si>
  <si>
    <t>Birdseye Unit 3,Chrisney Unit 5,Dale Unit 4</t>
  </si>
  <si>
    <t>Dubois,Spencer</t>
  </si>
  <si>
    <t>From 3.21 miles E of SR 162 to 0.26 mi W of SR145</t>
  </si>
  <si>
    <t>71   +0.799</t>
  </si>
  <si>
    <t>Birdseye Unit 3,Derby Unit 2</t>
  </si>
  <si>
    <t>Dubois,Perry,Spencer</t>
  </si>
  <si>
    <t>From 0.26 mi W of SR145 to 0.47 Miles W of SR 37</t>
  </si>
  <si>
    <t>78   +0.137</t>
  </si>
  <si>
    <t>Crawford,Perry</t>
  </si>
  <si>
    <t>From 0.47 Miles W of SR 37 to 1.30 Miles W of SR 237</t>
  </si>
  <si>
    <t>84   +0.504</t>
  </si>
  <si>
    <t>Birdseye Unit 3</t>
  </si>
  <si>
    <t>From 1.30 mi W of SR 237 to 0.62 miles E of  SR 66</t>
  </si>
  <si>
    <t>92   +0.755</t>
  </si>
  <si>
    <t>I-69</t>
  </si>
  <si>
    <t>From US 41 to 2.3 mi E of US 41</t>
  </si>
  <si>
    <t>0   +0.036</t>
  </si>
  <si>
    <t>2   +0.566</t>
  </si>
  <si>
    <t>Evansville Unit 1</t>
  </si>
  <si>
    <t>Vanderburgh</t>
  </si>
  <si>
    <t>From Jct. SR 66 to I-64</t>
  </si>
  <si>
    <t>7   +0.472</t>
  </si>
  <si>
    <t>20   +0.884</t>
  </si>
  <si>
    <t>RIGID</t>
  </si>
  <si>
    <t>Chandler Unit 4,Evansville Unit 1</t>
  </si>
  <si>
    <t>From I-64 to 0.60 mi N. SR 168 (Concrete)</t>
  </si>
  <si>
    <t>27   +0.869</t>
  </si>
  <si>
    <t>Boyle Lane Unit 2,Chandler Unit 4,Oakland City Unit</t>
  </si>
  <si>
    <t>Gibson,Pike</t>
  </si>
  <si>
    <t>From 0.60 mi. N SR 168 to 2.12 mi S. SR 57 (Asphalt)</t>
  </si>
  <si>
    <t>39   +0.719</t>
  </si>
  <si>
    <t>From 2.12 mi S. SR 57 to 1.57 mi N. SR 356 (6.9 mi Concrete, 2.9 mi Asphalt)</t>
  </si>
  <si>
    <t>49   +0.561</t>
  </si>
  <si>
    <t>Vincennes</t>
  </si>
  <si>
    <t>Oakland City Unit,Vincennes Unit 2</t>
  </si>
  <si>
    <t>Knox,Pike</t>
  </si>
  <si>
    <t>From 1.57 mi N. SR 356 to 0.73 mi N. US 50(12.21 mi Concrete, 0.90 mi Asphalt)</t>
  </si>
  <si>
    <t>62   +0.667</t>
  </si>
  <si>
    <t>Loogootee Unit,Oakland City Unit,Vincennes Unit 2</t>
  </si>
  <si>
    <t>Daviess,Knox,Pike</t>
  </si>
  <si>
    <t>From 0.73 mi N. US 50 to 6.62 mi N. US 50 (Concrete)</t>
  </si>
  <si>
    <t>68   +0.556</t>
  </si>
  <si>
    <t>Linton,Vincennes</t>
  </si>
  <si>
    <t>Crane Unit,Loogootee Unit</t>
  </si>
  <si>
    <t>Daviess,Knox</t>
  </si>
  <si>
    <t>From 6.62 mi N. US 50 to 3.12 mi S. SR 58 (Asphalt)</t>
  </si>
  <si>
    <t>72   +0.818</t>
  </si>
  <si>
    <t>Linton,Loogootee Unit</t>
  </si>
  <si>
    <t>Daviess</t>
  </si>
  <si>
    <t>US 41</t>
  </si>
  <si>
    <t>From KY /IN State line To 0.10 mi S. I69</t>
  </si>
  <si>
    <t>0   -0.064</t>
  </si>
  <si>
    <t>1   +0.112</t>
  </si>
  <si>
    <t>B1</t>
  </si>
  <si>
    <t>From SR 57 to 3.30 mi N SR-57 (0.20 mi N Boonville/New Harmony Road)</t>
  </si>
  <si>
    <t>8   +0.646</t>
  </si>
  <si>
    <t>12   +0.248</t>
  </si>
  <si>
    <t>From 3.30 mi N SR-57 (0.20 mi N Boonville/New Harmony Road) to 0.85 mi S. SR 168 (0.20 mi N. Coal Mine Rd)</t>
  </si>
  <si>
    <t>22   +0.354</t>
  </si>
  <si>
    <t>Boyle Lane Unit 2,Oakland City Unit</t>
  </si>
  <si>
    <t>From 0.85 SR 168 ( 0.20 mil N. Coal Mine Rd) to 0.53 N. SR 64 (Southern RR Bridge)</t>
  </si>
  <si>
    <t>31   +0.451</t>
  </si>
  <si>
    <t>Boyle Lane Unit 2,Oakland City Unit,Vincennes Unit 2</t>
  </si>
  <si>
    <t>Gibson</t>
  </si>
  <si>
    <t>From 0.53 miles N of SR-64 to 0.50 miles S of SR-241</t>
  </si>
  <si>
    <t>43   +0.177</t>
  </si>
  <si>
    <t>B2</t>
  </si>
  <si>
    <t>Gibson,Knox</t>
  </si>
  <si>
    <t>From 0.50 miles S of SR-241 to 0.58 mi S of E intersection with US 50 (Kelso Creek bridge)</t>
  </si>
  <si>
    <t>54   +0.594</t>
  </si>
  <si>
    <t>From W. Jct. US 50 to SR 550</t>
  </si>
  <si>
    <t>56   +0.155</t>
  </si>
  <si>
    <t>64   +0.433</t>
  </si>
  <si>
    <t>Sullivan Unit 3,Vincennes Unit 2</t>
  </si>
  <si>
    <t>Knox</t>
  </si>
  <si>
    <t>From SR 550 to 5.94 miles S of SR 58 (N. of Oaktown)</t>
  </si>
  <si>
    <t>70   +0.490</t>
  </si>
  <si>
    <t>Linton</t>
  </si>
  <si>
    <t>Sullivan Unit 3</t>
  </si>
  <si>
    <t>From 5.94 miles S of SR 58 (N. of Oaktown) to 0.44 mi S. SR 58</t>
  </si>
  <si>
    <t>75   +0.856</t>
  </si>
  <si>
    <t>Knox,Sullivan</t>
  </si>
  <si>
    <t>From 0.44 mi S. SR 58 to 0.47 mi N of SR 54 at RR</t>
  </si>
  <si>
    <t>84   +0.570</t>
  </si>
  <si>
    <t>Sullivan</t>
  </si>
  <si>
    <t>From 0.47 mi N of SR 54 at RR to 1.64 miles S of SR 48</t>
  </si>
  <si>
    <t>90   +0.793</t>
  </si>
  <si>
    <t>From 1.64 miles S of SR 48 to SR 246</t>
  </si>
  <si>
    <t>98   +0.616</t>
  </si>
  <si>
    <t>Sullivan,Vigo</t>
  </si>
  <si>
    <t>From IL/IN State Line to US 41/6th St</t>
  </si>
  <si>
    <t>1   +0.844</t>
  </si>
  <si>
    <t>Vincennes Unit 2</t>
  </si>
  <si>
    <t>From 4.47 E. of E. Jct. US 41 to W. Of White River Bridge</t>
  </si>
  <si>
    <t>7   +0.462</t>
  </si>
  <si>
    <t>17   +0.168</t>
  </si>
  <si>
    <t>From 0.40 mi E. I 69 to 1.79 mi S. of W. Jct. US 231</t>
  </si>
  <si>
    <t>24   +0.411</t>
  </si>
  <si>
    <t>34   +0.016</t>
  </si>
  <si>
    <t>Loogootee Unit</t>
  </si>
  <si>
    <t>From 0.25 mi. E. SR 550 to SR 450</t>
  </si>
  <si>
    <t>36   +0.168</t>
  </si>
  <si>
    <t>41   +0.714</t>
  </si>
  <si>
    <t>Loogootee Unit,Paoli Unit 1</t>
  </si>
  <si>
    <t>Martin</t>
  </si>
  <si>
    <t>From SR 60 to S. Jct. SR 37</t>
  </si>
  <si>
    <t>63   +0.114</t>
  </si>
  <si>
    <t>C2</t>
  </si>
  <si>
    <t>Paoli</t>
  </si>
  <si>
    <t>Bedford Unit 3,Paoli Unit 1</t>
  </si>
  <si>
    <t>Lawrence</t>
  </si>
  <si>
    <t>From S. Jct. SR 37 to N. Jct. SR 37</t>
  </si>
  <si>
    <t>66   +1.006</t>
  </si>
  <si>
    <t>Bedford Unit 3</t>
  </si>
  <si>
    <t>From SR-37 N Jct to 3.33 mi East of SR 37 (West of Leatherwood Rd. Intersection)</t>
  </si>
  <si>
    <t>68   +0.618</t>
  </si>
  <si>
    <t>From 3.33 mi East of SR 37 (West of Leatherwood Rd. Intersection) to to SR 446 (District Line)</t>
  </si>
  <si>
    <t>75   +0.445</t>
  </si>
  <si>
    <t>US 231</t>
  </si>
  <si>
    <t>From SR 70 to 3.65 mi S. SR 162</t>
  </si>
  <si>
    <t>19   +0.689</t>
  </si>
  <si>
    <t>24   +0.773</t>
  </si>
  <si>
    <t>Chrisney Unit 5</t>
  </si>
  <si>
    <t>From 3.65 mi S. SR 162 to 0.95 mi N. I 64</t>
  </si>
  <si>
    <t>35   +0.305</t>
  </si>
  <si>
    <t>From 0.95 miles N of I-64 to 1.64 miles S of SR-64</t>
  </si>
  <si>
    <t>40   +0.250</t>
  </si>
  <si>
    <t>Paoli,Tell City</t>
  </si>
  <si>
    <t>Dale Unit 4,Jasper Unit 4</t>
  </si>
  <si>
    <t>Dubois</t>
  </si>
  <si>
    <t>From 1.64 miles S of SR-64 to 1.02 mi N SR 64 (19th St)</t>
  </si>
  <si>
    <t>42   +0.944</t>
  </si>
  <si>
    <t>From 1.02 mi N SR 64 ( 19th St) to 0.40 mi S. SR 162</t>
  </si>
  <si>
    <t>46   +0.182</t>
  </si>
  <si>
    <t>From 0.40 mi S. SR 162 to  S Jct with SR-56</t>
  </si>
  <si>
    <t>48   +0.557</t>
  </si>
  <si>
    <t>Jasper Unit 4,Loogootee Unit</t>
  </si>
  <si>
    <t>From S Jct with SR-56  to  3.30 miles N of SR-164 (47th St)</t>
  </si>
  <si>
    <t>52   +0.047</t>
  </si>
  <si>
    <t>From 3.30 miles N of SR-164 (47th St) to 1.04 mi N. N. Jct SR 56 (N side of White River Bridge)</t>
  </si>
  <si>
    <t>56   +0.683</t>
  </si>
  <si>
    <t>Daviess,Dubois</t>
  </si>
  <si>
    <t>From 1.04 mi N. N. Jct SR 56 (N side of White River Bridge) to West Jct US 50</t>
  </si>
  <si>
    <t>68   +0.941</t>
  </si>
  <si>
    <t>Dubois,Martin</t>
  </si>
  <si>
    <t>From 0.97 mi N. of E. Jct. US 50 (N. Corporate Limits Loogootee) to SR 45</t>
  </si>
  <si>
    <t>70   +0.341</t>
  </si>
  <si>
    <t>86   +0.254</t>
  </si>
  <si>
    <t>Crane Unit,Linton</t>
  </si>
  <si>
    <t>Daviess,Greene,Martin</t>
  </si>
  <si>
    <t>From SR 45 to 1.16 mi S of E Jct SR-54/SR-157 (Richland Creek)</t>
  </si>
  <si>
    <t>92   +1.030</t>
  </si>
  <si>
    <t>Greene</t>
  </si>
  <si>
    <t>From 0.67 mi. W. Jct. SR 54/SR157 (Bloomfield W. CL) to Jct SR-57 / SR 54</t>
  </si>
  <si>
    <t>94   +0.822</t>
  </si>
  <si>
    <t>98   +0.156</t>
  </si>
  <si>
    <t>From W Jct SR-57 / SR 54 to SR 67</t>
  </si>
  <si>
    <t>101   +0.494</t>
  </si>
  <si>
    <t>US 150</t>
  </si>
  <si>
    <t>From US 50 to SR 56</t>
  </si>
  <si>
    <t>14   +1.134</t>
  </si>
  <si>
    <t>125   +0.404</t>
  </si>
  <si>
    <t>Not on the NHS</t>
  </si>
  <si>
    <t>Paoli Unit 1</t>
  </si>
  <si>
    <t>Martin,Orange</t>
  </si>
  <si>
    <t>Yes</t>
  </si>
  <si>
    <t>From SR 56 to 1.67 mi  W. Jct SR 37 (Paoli Town Limits)</t>
  </si>
  <si>
    <t>132   +0.537</t>
  </si>
  <si>
    <t>Orange</t>
  </si>
  <si>
    <t>From 1.24 mi E. Jct. SR 37 (Paoli E.Town Limits) to SR 66</t>
  </si>
  <si>
    <t>135   +0.494</t>
  </si>
  <si>
    <t>148   +0.039</t>
  </si>
  <si>
    <t>Orange,Washington</t>
  </si>
  <si>
    <t>SR 145</t>
  </si>
  <si>
    <t>From SR 37 to 10.5 mi N SR 37 (Bristow- Athens Rd)</t>
  </si>
  <si>
    <t>10   +0.492</t>
  </si>
  <si>
    <t>From 10.5 mi N SR 37 (Bristow- Athens Rd) to I 64</t>
  </si>
  <si>
    <t>17   +0.586</t>
  </si>
  <si>
    <t>Birdseye Unit 3,Derby Unit 2,Jasper Unit 4</t>
  </si>
  <si>
    <t>From I-64 to 0.69 mi S. W. Jct SR 64 (S. Birdseye town Limits)</t>
  </si>
  <si>
    <t>24   +0.082</t>
  </si>
  <si>
    <t>Dubois,Perry</t>
  </si>
  <si>
    <t>From SR 164 to SR 56</t>
  </si>
  <si>
    <t>31   +0.668</t>
  </si>
  <si>
    <t>45   +0.307</t>
  </si>
  <si>
    <t>Jasper Unit 4,Paoli Unit 1</t>
  </si>
  <si>
    <t>Crawford,Orange</t>
  </si>
  <si>
    <t>SR 154</t>
  </si>
  <si>
    <t>From Illinois/Indiana State Line to SR 63</t>
  </si>
  <si>
    <t>0   -0.133</t>
  </si>
  <si>
    <t>5   +0.728</t>
  </si>
  <si>
    <t>SR 157</t>
  </si>
  <si>
    <t>From US 231/SR 54 to 1.10 N. US 231/SR54</t>
  </si>
  <si>
    <t>1   +0.093</t>
  </si>
  <si>
    <t>SR 158</t>
  </si>
  <si>
    <t>From Beginning of SR 158 (Crane Gate) to SR 450</t>
  </si>
  <si>
    <t>10   +0.094</t>
  </si>
  <si>
    <t>Linton,Paoli</t>
  </si>
  <si>
    <t>Bedford Unit 3,Crane Unit</t>
  </si>
  <si>
    <t>Lawrence,Martin</t>
  </si>
  <si>
    <t>SR 159</t>
  </si>
  <si>
    <t>From SR 67 to 0.33 mi S. SR 58</t>
  </si>
  <si>
    <t>5   +0.763</t>
  </si>
  <si>
    <t>Linton,Sullivan Unit 3</t>
  </si>
  <si>
    <t>From Greene / Sullivan Co. Line to From 0.32 mi. S. SR 54 (S. Dugger Town Limits)</t>
  </si>
  <si>
    <t>5   +1.094</t>
  </si>
  <si>
    <t>13   +0.729</t>
  </si>
  <si>
    <t>SR 161</t>
  </si>
  <si>
    <t>From KY/ IN state Line to E. Jct SR 66</t>
  </si>
  <si>
    <t>500   +0.000</t>
  </si>
  <si>
    <t>508   +0.222</t>
  </si>
  <si>
    <t>From W. Jct SR 66 to W. Jct SR 62</t>
  </si>
  <si>
    <t>508   +0.223</t>
  </si>
  <si>
    <t>10   +0.464</t>
  </si>
  <si>
    <t>Evansville,Tell City</t>
  </si>
  <si>
    <t>Chandler Unit 4,Chrisney Unit 5</t>
  </si>
  <si>
    <t>No</t>
  </si>
  <si>
    <t>From E. Jct. SR 62 to W. Jct. SR 68</t>
  </si>
  <si>
    <t>10   +0.465</t>
  </si>
  <si>
    <t>27   +0.123</t>
  </si>
  <si>
    <t>From E. Jct. SR-68 to 3.24 miles North of I-64 (RP 30+59 to 34+49)</t>
  </si>
  <si>
    <t>27   +0.124</t>
  </si>
  <si>
    <t>34   +0.563</t>
  </si>
  <si>
    <t>Dubois,Spencer,Warrick</t>
  </si>
  <si>
    <t>From 3.24 miles North of I-64 (RP 34+49) to SR 64 (RP 38.25)</t>
  </si>
  <si>
    <t>38   +0.248</t>
  </si>
  <si>
    <t>Dale Unit 4</t>
  </si>
  <si>
    <t>SR 162</t>
  </si>
  <si>
    <t>From SR 62 to E. Jct. SR 245</t>
  </si>
  <si>
    <t>6   +0.808</t>
  </si>
  <si>
    <t>From E. Jct. SR 245 to I-64</t>
  </si>
  <si>
    <t>13   +0.763</t>
  </si>
  <si>
    <t>Birdseye Unit 3,Dale Unit 4</t>
  </si>
  <si>
    <t>Spencer</t>
  </si>
  <si>
    <t>From I-64 To 0.10 mi N SR 264 (N. Ferdinand Town Limits)</t>
  </si>
  <si>
    <t>15   +1.041</t>
  </si>
  <si>
    <t>Jasper Unit 4</t>
  </si>
  <si>
    <t>From SR 64 to US 231</t>
  </si>
  <si>
    <t>20   +0.628</t>
  </si>
  <si>
    <t>27   +0.922</t>
  </si>
  <si>
    <t>SR 164</t>
  </si>
  <si>
    <t>From  0.51 mi E. of US 231 to SR 545</t>
  </si>
  <si>
    <t>0   +0.510</t>
  </si>
  <si>
    <t>11   +0.781</t>
  </si>
  <si>
    <t>From SR 545 to SR 145</t>
  </si>
  <si>
    <t>19   +0.119</t>
  </si>
  <si>
    <t>Crawford,Dubois</t>
  </si>
  <si>
    <t>SR 165</t>
  </si>
  <si>
    <t>From SR 66 to W. Jct. SR 68</t>
  </si>
  <si>
    <t>3   +0.867</t>
  </si>
  <si>
    <t>Poseyville Unit 3</t>
  </si>
  <si>
    <t>Posey</t>
  </si>
  <si>
    <t>From E. Jct SR 68 to 0.47 mi W. SR 65 (W. City Limits Owensville)</t>
  </si>
  <si>
    <t>3   +0.868</t>
  </si>
  <si>
    <t>16   +0.731</t>
  </si>
  <si>
    <t>SR 166</t>
  </si>
  <si>
    <t>From SR 66 to End of Rd (Tobinsport)</t>
  </si>
  <si>
    <t>6   +0.410</t>
  </si>
  <si>
    <t>Derby Unit 2</t>
  </si>
  <si>
    <t>Perry</t>
  </si>
  <si>
    <t>SR 168</t>
  </si>
  <si>
    <t>From 0.73 mi E. SR 65 (Owensville E. City Limits) to US 41</t>
  </si>
  <si>
    <t>0   +0.733</t>
  </si>
  <si>
    <t>7   +0.696</t>
  </si>
  <si>
    <t>From US 41 to SR 57</t>
  </si>
  <si>
    <t>17   +0.271</t>
  </si>
  <si>
    <t>SR 241</t>
  </si>
  <si>
    <t>From US 41 to W Jct. SR 61</t>
  </si>
  <si>
    <t>13   +0.713</t>
  </si>
  <si>
    <t>From E. Jct. SR 61 to US 50</t>
  </si>
  <si>
    <t>13   +0.714</t>
  </si>
  <si>
    <t>18   +0.046</t>
  </si>
  <si>
    <t>SR 245</t>
  </si>
  <si>
    <t>From SR 70 to 3.51 mi S E. Jct. SR 162 (Crooked Creek Bridge)</t>
  </si>
  <si>
    <t>1   -1.063</t>
  </si>
  <si>
    <t>5   +0.036</t>
  </si>
  <si>
    <t>From W. Jct. SR 162 to SR 62</t>
  </si>
  <si>
    <t>8   +0.430</t>
  </si>
  <si>
    <t>13   +0.562</t>
  </si>
  <si>
    <t>SR 257</t>
  </si>
  <si>
    <t>From Beginning of SR 257 (Stendal) to SR 64</t>
  </si>
  <si>
    <t>4   +0.443</t>
  </si>
  <si>
    <t>Pike</t>
  </si>
  <si>
    <t>From SR 64 to SR 356</t>
  </si>
  <si>
    <t>16   +0.945</t>
  </si>
  <si>
    <t>Paoli,Tell City,Vincennes</t>
  </si>
  <si>
    <t>Dale Unit 4,Jasper Unit 4,Loogootee Unit</t>
  </si>
  <si>
    <t>From SR 356 to 0.10 mi S. US 50</t>
  </si>
  <si>
    <t>29   +0.913</t>
  </si>
  <si>
    <t>Jasper Unit 4,Loogootee Unit,Oakland City Unit,Vincennes Unit 2</t>
  </si>
  <si>
    <t>SR 261</t>
  </si>
  <si>
    <t>From SR 66 to From 3.01 mi N. SR 66</t>
  </si>
  <si>
    <t>3   +0.060</t>
  </si>
  <si>
    <t>Chandler Unit 4</t>
  </si>
  <si>
    <t>Warrick</t>
  </si>
  <si>
    <t>SR 264</t>
  </si>
  <si>
    <t>From SR 162 to End of Road (Ferdinand State Forest)</t>
  </si>
  <si>
    <t>4   +0.863</t>
  </si>
  <si>
    <t>SR 269</t>
  </si>
  <si>
    <t>From SR 69 to End of Road (Harmonie State Park)</t>
  </si>
  <si>
    <t>0   +0.889</t>
  </si>
  <si>
    <t>SR 337</t>
  </si>
  <si>
    <t>From SR 56 (Lavonia) to 1.03 mi S. SR 37 (Orleans Town Limits)</t>
  </si>
  <si>
    <t>21   +0.991</t>
  </si>
  <si>
    <t>33   +0.429</t>
  </si>
  <si>
    <t>SR 356</t>
  </si>
  <si>
    <t>From 0.85 mi E. SR 57 (E. Petersburg City Limits) to SR 257</t>
  </si>
  <si>
    <t>0   +0.850</t>
  </si>
  <si>
    <t>9   +0.944</t>
  </si>
  <si>
    <t>SR 357</t>
  </si>
  <si>
    <t>From SR 57 to SR 64 (Oakland City)</t>
  </si>
  <si>
    <t>1   +0.237</t>
  </si>
  <si>
    <t>SR 358</t>
  </si>
  <si>
    <t>From SR 67 to S. Jct SR 57</t>
  </si>
  <si>
    <t>6   +0.427</t>
  </si>
  <si>
    <t>From N. JCt SR 57 to SR 58</t>
  </si>
  <si>
    <t>6   +0.428</t>
  </si>
  <si>
    <t>11   +0.972</t>
  </si>
  <si>
    <t>SR 364</t>
  </si>
  <si>
    <t>From SR 61 to End of Road (Pike State Forest)</t>
  </si>
  <si>
    <t>4   +0.229</t>
  </si>
  <si>
    <t>Jasper Unit 4,Oakland City Unit</t>
  </si>
  <si>
    <t>SR 37</t>
  </si>
  <si>
    <t>From SR 70 to I 64</t>
  </si>
  <si>
    <t>10   +0.919</t>
  </si>
  <si>
    <t>22   +0.428</t>
  </si>
  <si>
    <t>From I-64 to W. Jct SR 64</t>
  </si>
  <si>
    <t>29   +0.552</t>
  </si>
  <si>
    <t>From W . Jct SR 64 to E. Jct. SR 64 / SR 237</t>
  </si>
  <si>
    <t>38   +0.385</t>
  </si>
  <si>
    <t>Crawford</t>
  </si>
  <si>
    <t>From E. Jct. SR 64 to 1.24 mi S. Jct US 150 (S. Paoli Town Limits)</t>
  </si>
  <si>
    <t>53   +0.901</t>
  </si>
  <si>
    <t>From 1.14 mi. N. Jct. US 150 (N. Paoli Town Limits) to 1.34 mi S. SR 337 (S. Orleans Town Limits)</t>
  </si>
  <si>
    <t>56   +0.418</t>
  </si>
  <si>
    <t>61   +0.515</t>
  </si>
  <si>
    <t>From 0.62 mile S of South Jct SR-60 (Concrete Pavement Starts) to the South Jct of US-50</t>
  </si>
  <si>
    <t>66   +0.940</t>
  </si>
  <si>
    <t>74   +0.142</t>
  </si>
  <si>
    <t>From N Jct of US-50 to 1.06 mi S. SR 54</t>
  </si>
  <si>
    <t>74   +0.143</t>
  </si>
  <si>
    <t>81   +0.060</t>
  </si>
  <si>
    <t>SR 43</t>
  </si>
  <si>
    <t>From SR 54 to SR 48 (District Line)</t>
  </si>
  <si>
    <t>12   +0.575</t>
  </si>
  <si>
    <t>Crane Unit</t>
  </si>
  <si>
    <t>Greene,Monroe,Owen</t>
  </si>
  <si>
    <t>SR 441</t>
  </si>
  <si>
    <t>From 0.12 mi E. US 41 (Ramsey Rd) To ILL/ IN Bridge</t>
  </si>
  <si>
    <t>0   -0.134</t>
  </si>
  <si>
    <t>2   +0.581</t>
  </si>
  <si>
    <t>SR 445</t>
  </si>
  <si>
    <t>From SR 54 to 0.36 mi W. SR 45</t>
  </si>
  <si>
    <t>0   +0.927</t>
  </si>
  <si>
    <t>SR 45</t>
  </si>
  <si>
    <t>From US 231 to SR 58</t>
  </si>
  <si>
    <t>6   -0.923</t>
  </si>
  <si>
    <t>14   +0.170</t>
  </si>
  <si>
    <t>From SR 58 to SR 445 (District Line)</t>
  </si>
  <si>
    <t>23   +0.689</t>
  </si>
  <si>
    <t>SR 450</t>
  </si>
  <si>
    <t>From S. Jct. US 50 to Martin/Lawrence Co. Line</t>
  </si>
  <si>
    <t>13   +0.548</t>
  </si>
  <si>
    <t>SR 458</t>
  </si>
  <si>
    <t>From SR 158 to End of Road (Purdue Farm)</t>
  </si>
  <si>
    <t>1   +0.139</t>
  </si>
  <si>
    <t>SR 48</t>
  </si>
  <si>
    <t>From SR 63 TO US 41</t>
  </si>
  <si>
    <t>0   -0.016</t>
  </si>
  <si>
    <t>6   +0.992</t>
  </si>
  <si>
    <t>From US 41 TO   4.1 mi W. SR 159 (Hymera W. Town Limits)</t>
  </si>
  <si>
    <t>11   +0.764</t>
  </si>
  <si>
    <t>From 0.05 mile E of SR 59 (0.05 mi E. Jasonville E. Town Limits) to SR 157</t>
  </si>
  <si>
    <t>19   +0.552</t>
  </si>
  <si>
    <t>29   +0.935</t>
  </si>
  <si>
    <t>SR 54</t>
  </si>
  <si>
    <t>From US 41 to 0.50 mi W. SR 159 (W. Dugger Town Limits)</t>
  </si>
  <si>
    <t>10   -0.158</t>
  </si>
  <si>
    <t>17   +0.884</t>
  </si>
  <si>
    <t>From 0.51 mi E. SR 159 (E. Dugger Town Limits) to 1.23 mi E Jct of E. SR 59 (Linton W. City Limits)</t>
  </si>
  <si>
    <t>18   +0.836</t>
  </si>
  <si>
    <t>23   +0.851</t>
  </si>
  <si>
    <t>Greene,Sullivan</t>
  </si>
  <si>
    <t>From 1.23 mi E Jct of E. SR 59 (Linton W. City Limits) to E Jct SR 59</t>
  </si>
  <si>
    <t>25   +0.423</t>
  </si>
  <si>
    <t>From SR 67 to SR 57 / US 231</t>
  </si>
  <si>
    <t>31   +0.357</t>
  </si>
  <si>
    <t>33   +0.813</t>
  </si>
  <si>
    <t>From 0.52 mi East US 231/SR 157 (Bloomfield Town Limits) TO W. Jct. SR 45</t>
  </si>
  <si>
    <t>38   +0.358</t>
  </si>
  <si>
    <t>51   +0.170</t>
  </si>
  <si>
    <t>From E. Jct. SR 45 to SR 58</t>
  </si>
  <si>
    <t>51   +0.171</t>
  </si>
  <si>
    <t>59   +0.928</t>
  </si>
  <si>
    <t>Greene,Lawrence,Monroe</t>
  </si>
  <si>
    <t>From SR 58 To SR 37</t>
  </si>
  <si>
    <t>65   +0.164</t>
  </si>
  <si>
    <t>SR 545</t>
  </si>
  <si>
    <t>From 0.30 mi N SR 66 to SR 62</t>
  </si>
  <si>
    <t>0   +0.300</t>
  </si>
  <si>
    <t>14   +0.027</t>
  </si>
  <si>
    <t>Perry,Spencer</t>
  </si>
  <si>
    <t>14   +0.028</t>
  </si>
  <si>
    <t>25   +0.167</t>
  </si>
  <si>
    <t>Birdseye Unit 3,Jasper Unit 4</t>
  </si>
  <si>
    <t>SR 550</t>
  </si>
  <si>
    <t>From US 41 to 0.81 mi W. SR 67 ( Bruceville W. Town Limits</t>
  </si>
  <si>
    <t>3   +0.536</t>
  </si>
  <si>
    <t>From SR 67 TO US 50</t>
  </si>
  <si>
    <t>4   +0.351</t>
  </si>
  <si>
    <t>13   +0.891</t>
  </si>
  <si>
    <t>From 0.47 mi E. US 50 ( Loogootee E. Town Limits) TO US 150</t>
  </si>
  <si>
    <t>14   +0.089</t>
  </si>
  <si>
    <t>23   +0.386</t>
  </si>
  <si>
    <t>SR 558</t>
  </si>
  <si>
    <t>From US 231 to end SR 558 (Crane Gate)</t>
  </si>
  <si>
    <t>1   +0.107</t>
  </si>
  <si>
    <t>Daviess,Martin</t>
  </si>
  <si>
    <t>SR 56</t>
  </si>
  <si>
    <t>From 2.20 mi E. US 41 (Hazelton Town Limits) to SR 65</t>
  </si>
  <si>
    <t>2   +0.592</t>
  </si>
  <si>
    <t>12   +0.134</t>
  </si>
  <si>
    <t>Gibson,Knox,Pike</t>
  </si>
  <si>
    <t>From SR 65 to 0.93 mi West of S. Jct SR 57 (Petersburg West City Limits)</t>
  </si>
  <si>
    <t>17   +0.798</t>
  </si>
  <si>
    <t>From I-69 Interchnage E. Ramp  to  E. Jct SR 61</t>
  </si>
  <si>
    <t>20   +0.659</t>
  </si>
  <si>
    <t>23   +0.821</t>
  </si>
  <si>
    <t>From E. Jct SR 61 to SR 257</t>
  </si>
  <si>
    <t>32   +0.134</t>
  </si>
  <si>
    <t>From SR 257 to S. Jct US 231</t>
  </si>
  <si>
    <t>41   +0.300</t>
  </si>
  <si>
    <t>Dubois,Pike</t>
  </si>
  <si>
    <t>From N. Jct US 231 (Haysville) to SR 545</t>
  </si>
  <si>
    <t>41   +0.301</t>
  </si>
  <si>
    <t>54   +0.316</t>
  </si>
  <si>
    <t>From SR 545 to 0.80 mi W. SR 145</t>
  </si>
  <si>
    <t>66   +0.105</t>
  </si>
  <si>
    <t>Jasper Unit 4,Loogootee Unit,Paoli Unit 1</t>
  </si>
  <si>
    <t>Dubois,Martin,Orange</t>
  </si>
  <si>
    <t>From 0.80 mi W. SR 145 to W. Jct US 150 (French Lick_West Baden)</t>
  </si>
  <si>
    <t>68   +0.774</t>
  </si>
  <si>
    <t>From 1.24 mi E. Jct. US 150 (Paoli) to SR 337 (District Line)</t>
  </si>
  <si>
    <t>79   +0.028</t>
  </si>
  <si>
    <t>87   +0.867</t>
  </si>
  <si>
    <t>SR 57</t>
  </si>
  <si>
    <t>From US 41 to 1.32 N. US 41( End of Concrete)</t>
  </si>
  <si>
    <t>1   +0.321</t>
  </si>
  <si>
    <t>From 1.32 N. US 41( End of Concrete) to S. Jct. of I 69 (end of Asphalt)</t>
  </si>
  <si>
    <t>7   +0.717</t>
  </si>
  <si>
    <t>From N. Jct. I 69 / SR 68 to SR 64</t>
  </si>
  <si>
    <t>8   +0.552</t>
  </si>
  <si>
    <t>22   +0.900</t>
  </si>
  <si>
    <t>Gibson,Pike,Warrick</t>
  </si>
  <si>
    <t>From SR 64 to 0.66 mi S. of W. Jct SR 56 (Petersburg South City Limits)</t>
  </si>
  <si>
    <t>35   +0.113</t>
  </si>
  <si>
    <t>From 0.95 mi N. SR 356 (N. Petersburg City Limits) to Old US 50</t>
  </si>
  <si>
    <t>37   +0.403</t>
  </si>
  <si>
    <t>49   +0.550</t>
  </si>
  <si>
    <t>Jasper Unit 4,Loogootee Unit,Vincennes Unit 2</t>
  </si>
  <si>
    <t>From N. City Limits of Washington to 0.41 mi S. SR 358 (Plainville S.Town Limits)</t>
  </si>
  <si>
    <t>50   +0.746</t>
  </si>
  <si>
    <t>60   +0.252</t>
  </si>
  <si>
    <t>Loogootee Unit,Vincennes Unit 2</t>
  </si>
  <si>
    <t>From 6.09 mi N. of W. Jct. SR 58 (S. Approach) White River to US 231 / SR 54</t>
  </si>
  <si>
    <t>72   +0.792</t>
  </si>
  <si>
    <t>80   +0.070</t>
  </si>
  <si>
    <t>SR 58</t>
  </si>
  <si>
    <t>From 0.79 mi E. SR 63 (Merom E. Town Limits)  to US 41</t>
  </si>
  <si>
    <t>0   +0.783</t>
  </si>
  <si>
    <t>13   +0.698</t>
  </si>
  <si>
    <t>From US 41 to 0.79 mi E. US 41 (RR Track)</t>
  </si>
  <si>
    <t>14   +0.528</t>
  </si>
  <si>
    <t>From 0.79 mi E. of US 41 (RR Track) to 0.34 mi W. SR 159</t>
  </si>
  <si>
    <t>23   +0.211</t>
  </si>
  <si>
    <t>From 0.90 mi E. SR 159 to W. Jct. SR 67</t>
  </si>
  <si>
    <t>24   +0.475</t>
  </si>
  <si>
    <t>29   +0.216</t>
  </si>
  <si>
    <t>From W. Jct. SR 67 to E. Jct. SR 67</t>
  </si>
  <si>
    <t>29   +1.522</t>
  </si>
  <si>
    <t>From E. Jct. SR 67 to W. Jct SR 57</t>
  </si>
  <si>
    <t>36   +0.705</t>
  </si>
  <si>
    <t>From E. Jct. of SR 57  to SR 358 (Thru Town Limits of Elnora)</t>
  </si>
  <si>
    <t>36   +0.706</t>
  </si>
  <si>
    <t>38   +0.801</t>
  </si>
  <si>
    <t>From SR 45  to SR 54</t>
  </si>
  <si>
    <t>47   +0.781</t>
  </si>
  <si>
    <t>69   +0.228</t>
  </si>
  <si>
    <t>Greene,Lawrence</t>
  </si>
  <si>
    <t>From SR 37 to 4.78 mi E. of SR 37 (Co. Rd N200E)</t>
  </si>
  <si>
    <t>69   +0.229</t>
  </si>
  <si>
    <t>82   +0.215</t>
  </si>
  <si>
    <t>From 4.78 mi E. of SR 37 (Co. Rd N200E) to SR 446 (District Line)</t>
  </si>
  <si>
    <t>89   +0.061</t>
  </si>
  <si>
    <t>SR 59</t>
  </si>
  <si>
    <t>From SR 58 to SR 67 (Thru Town Limits of Sandborn)</t>
  </si>
  <si>
    <t>1   +0.611</t>
  </si>
  <si>
    <t>From SR 67 to 1.05 mi S. SR 54 (Co. Rd 25 S)</t>
  </si>
  <si>
    <t>10   +0.760</t>
  </si>
  <si>
    <t>Daviess,Greene,Knox</t>
  </si>
  <si>
    <t>From N.  Jct. SR 54 to SR 48</t>
  </si>
  <si>
    <t>12   +0.018</t>
  </si>
  <si>
    <t>21   +0.441</t>
  </si>
  <si>
    <t>SR 60</t>
  </si>
  <si>
    <t>From US 50 to W. Jct. SR 37</t>
  </si>
  <si>
    <t>0   -0.076</t>
  </si>
  <si>
    <t>8   +0.739</t>
  </si>
  <si>
    <t>From E. Jct. SR 37 to 12.30 mi E. SR 37 (District line)</t>
  </si>
  <si>
    <t>8   +0.740</t>
  </si>
  <si>
    <t>20   +0.875</t>
  </si>
  <si>
    <t>Lawrence,Orange</t>
  </si>
  <si>
    <t>SR 61</t>
  </si>
  <si>
    <t>From SR 66 to E. Jct. SR 62</t>
  </si>
  <si>
    <t>8   +0.820</t>
  </si>
  <si>
    <t>From W. Jct. SR 62 to E. Jct. SR 62</t>
  </si>
  <si>
    <t>9   +0.061</t>
  </si>
  <si>
    <t>From New Harmony / Shelton Rd Roundabout (Old SR 61)  to 0.14 mi S. of I 64</t>
  </si>
  <si>
    <t>12   +0.716</t>
  </si>
  <si>
    <t>19   +0.696</t>
  </si>
  <si>
    <t>Chandler Unit 4,Dale Unit 4</t>
  </si>
  <si>
    <t>From 0.88 mi N of SR 68 (N Town Limits Lynnville) to SR 64</t>
  </si>
  <si>
    <t>20   +1.001</t>
  </si>
  <si>
    <t>32   +0.269</t>
  </si>
  <si>
    <t>Boyle Lane Unit 2,Dale Unit 4</t>
  </si>
  <si>
    <t>Pike,Warrick</t>
  </si>
  <si>
    <t>From SR 64 to 3.3 mi N. SR 64 (S. Winslow Town Limts)</t>
  </si>
  <si>
    <t>35   +0.660</t>
  </si>
  <si>
    <t>From 1.10 miles N of Jct with SR 56/SR 57 to 0.83 mi S. of  S. Jct. SR 241</t>
  </si>
  <si>
    <t>45   +0.978</t>
  </si>
  <si>
    <t>54   +0.640</t>
  </si>
  <si>
    <t>From the N. Jct. SR 241 to 0.20 mi E. US 41 (Kimmell Rd- Vincennes))</t>
  </si>
  <si>
    <t>55   +0.971</t>
  </si>
  <si>
    <t>64   +0.335</t>
  </si>
  <si>
    <t>SR 62</t>
  </si>
  <si>
    <t>From IL/IN State line to 1.96 mi E of W. Jct SR 69 (Park St)</t>
  </si>
  <si>
    <t>0   -0.794</t>
  </si>
  <si>
    <t>6   +0.614</t>
  </si>
  <si>
    <t>From 1.96 mi E of W. Jct SR 69 (Park St) to 1.34 mi W. of E. Jct SR 69</t>
  </si>
  <si>
    <t>8   +0.590</t>
  </si>
  <si>
    <t>Evansville Unit 1,Poseyville Unit 3</t>
  </si>
  <si>
    <t>From 1.34 mi W. of E. Jct SR 69 to 8.45 mi E. of E. Jct. SR 69 (Posey / Vand. Co. Line)</t>
  </si>
  <si>
    <t>18   +0.393</t>
  </si>
  <si>
    <t>From US-41 to 0.25 mi E of I-69</t>
  </si>
  <si>
    <t>27   +0.497</t>
  </si>
  <si>
    <t>32   +0.813</t>
  </si>
  <si>
    <t>Vanderburgh,Warrick</t>
  </si>
  <si>
    <t>From Posey/Vanderburgh Co. Line to 5.60 mi W of S Jct US 41 (Boehne Camp Rd)</t>
  </si>
  <si>
    <t>21   +0.899</t>
  </si>
  <si>
    <t>Posey,Vanderburgh</t>
  </si>
  <si>
    <t>From 0.24 mi East of E. Jct SR 61 to 1.38 mi E. of E. Jct SR 61 (Boonvile E. Corporate Limits)</t>
  </si>
  <si>
    <t>42   +1.169</t>
  </si>
  <si>
    <t>45   +0.363</t>
  </si>
  <si>
    <t>From 1.38 mi E. of E. Jct SR 61 (Boonville E. Corporate Limits) to E. Jct SR 161</t>
  </si>
  <si>
    <t>54   +0.216</t>
  </si>
  <si>
    <t>From E. Jct SR 161 to S. Jct US 231</t>
  </si>
  <si>
    <t>65   +0.350</t>
  </si>
  <si>
    <t>From N. Jct. US 231 to SR 245 (Dale)</t>
  </si>
  <si>
    <t>65   +0.351</t>
  </si>
  <si>
    <t>67   +0.487</t>
  </si>
  <si>
    <t>From SR 245 to SR 162</t>
  </si>
  <si>
    <t>72   +0.632</t>
  </si>
  <si>
    <t>From SR 145 to SR 37</t>
  </si>
  <si>
    <t>85   +0.351</t>
  </si>
  <si>
    <t>91   +0.442</t>
  </si>
  <si>
    <t>From SR 37 to W. Jct. SR 66 / SR 237 (Sulphur)</t>
  </si>
  <si>
    <t>98   +0.798</t>
  </si>
  <si>
    <t>From W. Jct. SR 66 / SR 237 (Sulphur) to E. Jct. SR 66</t>
  </si>
  <si>
    <t>106   +0.531</t>
  </si>
  <si>
    <t>SR 63</t>
  </si>
  <si>
    <t>From SR 58 (Merom) to SR 154</t>
  </si>
  <si>
    <t>0   -0.036</t>
  </si>
  <si>
    <t>4   +0.338</t>
  </si>
  <si>
    <t>From SR 48 to SR 246</t>
  </si>
  <si>
    <t>10   +0.648</t>
  </si>
  <si>
    <t>16   +0.274</t>
  </si>
  <si>
    <t>SR 64</t>
  </si>
  <si>
    <t>From 0.35 mi E. of IL/IN (East End of Bridge) to 1.36 mi E of the W Jct of SR-65</t>
  </si>
  <si>
    <t>6   +0.111</t>
  </si>
  <si>
    <t>From 1.36 mi E of the W Jct of SR-65 to US 41</t>
  </si>
  <si>
    <t>9   +0.534</t>
  </si>
  <si>
    <t>Oakland City Unit</t>
  </si>
  <si>
    <t>From US 41 to 1.01 mi E. Of US 41 (Brown St)</t>
  </si>
  <si>
    <t>10   +0.559</t>
  </si>
  <si>
    <t>From 1.01 mi E. Of US 41 (Brown St) to 2.88 mi E of US 41 (Lake Road)</t>
  </si>
  <si>
    <t>12   +0.464</t>
  </si>
  <si>
    <t>From 2.88 mi E of US 41 (Lake Road) to 3.10 Mi W. of I-69 (300' W. RR Track  in Francisco)</t>
  </si>
  <si>
    <t>18   +0.366</t>
  </si>
  <si>
    <t>From 0.76 mi E. SR 357 to SR 61</t>
  </si>
  <si>
    <t>25   +0.027</t>
  </si>
  <si>
    <t>29   +0.948</t>
  </si>
  <si>
    <t>From SR 61 to SR 257</t>
  </si>
  <si>
    <t>36   +0.401</t>
  </si>
  <si>
    <t>From SR 257 to SR 161</t>
  </si>
  <si>
    <t>41   +0.890</t>
  </si>
  <si>
    <t>From SR 161 to 1.52 mi W. of US 231 (WCL Huntingburg)</t>
  </si>
  <si>
    <t>44   +0.724</t>
  </si>
  <si>
    <t>From 1.02 mi E. US 231 (ECL Huntingburg) to SR 162</t>
  </si>
  <si>
    <t>47   +0.283</t>
  </si>
  <si>
    <t>50   +0.769</t>
  </si>
  <si>
    <t>From SR 162 to W. Jct. SR 145 (Birdseye)</t>
  </si>
  <si>
    <t>61   +0.365</t>
  </si>
  <si>
    <t>From W. Jct SR 145 (Birdseye) to W. Jct SR 37</t>
  </si>
  <si>
    <t>66   +0.812</t>
  </si>
  <si>
    <t>From E. Jct. SR 37 / SR 237 to W. Jct SR 66 (Marengo)</t>
  </si>
  <si>
    <t>66   +0.813</t>
  </si>
  <si>
    <t>82   +0.342</t>
  </si>
  <si>
    <t>Birdseye Unit 3,Paoli Unit 1</t>
  </si>
  <si>
    <t>From W. Jct SR 66 (Marengo) to E. Jct. SR 66 (District Line)</t>
  </si>
  <si>
    <t>85   +0.990</t>
  </si>
  <si>
    <t>Crawford,Harrison</t>
  </si>
  <si>
    <t>SR 645</t>
  </si>
  <si>
    <t>From US 231 to End SR 645 (Crane Gate)</t>
  </si>
  <si>
    <t>1   +0.968</t>
  </si>
  <si>
    <t>SR 65</t>
  </si>
  <si>
    <t>From SR 66 to I-64</t>
  </si>
  <si>
    <t>0   -0.037</t>
  </si>
  <si>
    <t>10   +0.914</t>
  </si>
  <si>
    <t>Boyle Lane Unit 2,Evansville Unit 1</t>
  </si>
  <si>
    <t>From I-64 to 0.60 mi S. of W. Jct. SR 68</t>
  </si>
  <si>
    <t>13   +0.026</t>
  </si>
  <si>
    <t>From N. Jct. SR 68 to 0.26 mi S. SR 168 (S. Limits Owensville)</t>
  </si>
  <si>
    <t>14   +0.910</t>
  </si>
  <si>
    <t>19   +0.848</t>
  </si>
  <si>
    <t>From E. Jct. SR 64 to 1. 70 N. SR 64 (N Old Petersburg Rd) (Princeton)</t>
  </si>
  <si>
    <t>26   +0.346</t>
  </si>
  <si>
    <t>34   +0.564</t>
  </si>
  <si>
    <t>From 1. 70 N. SR 64 (N Old Petersburg Rd) to SR 56</t>
  </si>
  <si>
    <t>47   +0.664</t>
  </si>
  <si>
    <t>SR 650</t>
  </si>
  <si>
    <t>From US 50 to End SR 650 (Gypsum Plant Gate)</t>
  </si>
  <si>
    <t>0   +0.878</t>
  </si>
  <si>
    <t>SR 66</t>
  </si>
  <si>
    <t>From N. Jct. SR 69 to SR 165</t>
  </si>
  <si>
    <t>8   +0.779</t>
  </si>
  <si>
    <t>From SR 165 to 4.3 mi W. SR 65 (Beginning of 4 Lane Section)</t>
  </si>
  <si>
    <t>15   +0.481</t>
  </si>
  <si>
    <t>From 4.3 mi W. SR 65 (Beginning of 4 Lane Section) to 2.11 mi E. SR 65</t>
  </si>
  <si>
    <t>21   +0.735</t>
  </si>
  <si>
    <t>From 2.11 mi E. SR 65 to N. Jct US 41</t>
  </si>
  <si>
    <t>25   +0.686</t>
  </si>
  <si>
    <t>From S. Jct US 41 to I-69</t>
  </si>
  <si>
    <t>25   +0.687</t>
  </si>
  <si>
    <t>32   +0.144</t>
  </si>
  <si>
    <t>From I-69 to 0.2 E. SR 261 (End of Concrete/ Beginning of Asphalt)</t>
  </si>
  <si>
    <t>35   +0.600</t>
  </si>
  <si>
    <t>From 0.2 E. SR 261 (End of Concrete/ Beginning of Asphalt) to SR 61</t>
  </si>
  <si>
    <t>41   +0.579</t>
  </si>
  <si>
    <t>From SR 61 to End of 4 Lane</t>
  </si>
  <si>
    <t>48   +0.239</t>
  </si>
  <si>
    <t>From End of 4 Lane to 2.52 mi W. US 231 (W. City Limits Rockports)</t>
  </si>
  <si>
    <t>55   +0.814</t>
  </si>
  <si>
    <t>From 2.52 mi W. US 231 (W. City Limits Rockport) to 1.19 W. of US 231</t>
  </si>
  <si>
    <t>57   +0.202</t>
  </si>
  <si>
    <t>From 1.19 W. of US 231 to 0.15 E. SR 70 (Bridge Over Crooked CreeK)</t>
  </si>
  <si>
    <t>71   +0.062</t>
  </si>
  <si>
    <t>Chrisney Unit 5,Derby Unit 2</t>
  </si>
  <si>
    <t>From 0.15 E. SR 70 (Bridge Over Crooked Creek) to 0.18 mi W. SR 545</t>
  </si>
  <si>
    <t>73   +0.901</t>
  </si>
  <si>
    <t>From 0.67 mi N of SR 165 (Old Princeton Rd) to W. Jct. SR 64</t>
  </si>
  <si>
    <t>20   +0.940</t>
  </si>
  <si>
    <t>26   +0.345</t>
  </si>
  <si>
    <t>From N. Jct SR 37 to 1.9 mi E of SR 37</t>
  </si>
  <si>
    <t>77   +0.216</t>
  </si>
  <si>
    <t>79   +0.403</t>
  </si>
  <si>
    <t>From 1.9 mi E of SR 37  to SR 237</t>
  </si>
  <si>
    <t>81   +0.751</t>
  </si>
  <si>
    <t>From SR 237 SR 166</t>
  </si>
  <si>
    <t>86   +0.098</t>
  </si>
  <si>
    <t>From SR 166 to SR 70</t>
  </si>
  <si>
    <t>103   +0.170</t>
  </si>
  <si>
    <t>From SR 70 W. Jct SR 62</t>
  </si>
  <si>
    <t>121   +0.659</t>
  </si>
  <si>
    <t>From E. Jct. SR 62 to 0.93 mi S. SR 64 ( S. Marengo Town Limits)</t>
  </si>
  <si>
    <t>121   +0.660</t>
  </si>
  <si>
    <t>140   +0.742</t>
  </si>
  <si>
    <t>From 0.93 mi S. SR 64 ( S. Marengo Town Limits) to SR 64</t>
  </si>
  <si>
    <t>141   +0.688</t>
  </si>
  <si>
    <t>From E. Jct SR 64 to US 150</t>
  </si>
  <si>
    <t>141   +0.689</t>
  </si>
  <si>
    <t>152   +0.392</t>
  </si>
  <si>
    <t>Crawford,Harrison,Washington</t>
  </si>
  <si>
    <t>SR 662</t>
  </si>
  <si>
    <t>From I-69 to End SR 62 ( Ellerbusch Co. Rd 950 W)</t>
  </si>
  <si>
    <t>1   +0.504</t>
  </si>
  <si>
    <t>SR 67</t>
  </si>
  <si>
    <t>From US 41 to 0.50 mile N. of SR 550</t>
  </si>
  <si>
    <t>5   +0.550</t>
  </si>
  <si>
    <t>From 0.50 mile N of SR 550 to 0.51 mile S of SR 159</t>
  </si>
  <si>
    <t>10   +0.539</t>
  </si>
  <si>
    <t>From 0.70 mi N SR 159 (Bicknell N. City Limits) to 1.03 mi N. SR 358 (Edwardsport S. Town Limits)</t>
  </si>
  <si>
    <t>11   +0.734</t>
  </si>
  <si>
    <t>14   +0.943</t>
  </si>
  <si>
    <t>Linton,Sullivan Unit 3,Vincennes Unit 2</t>
  </si>
  <si>
    <t>From 1.63 mi. N. SR 358 (Edwardsport N. Town Limits) to S. Jct. SR 58</t>
  </si>
  <si>
    <t>15   +0.556</t>
  </si>
  <si>
    <t>19   +0.072</t>
  </si>
  <si>
    <t>From N. Jct. SR 58 to 4.02 mi S. SR 54 Lyons S. City Limits</t>
  </si>
  <si>
    <t>19   +0.073</t>
  </si>
  <si>
    <t>30   +0.540</t>
  </si>
  <si>
    <t>From 3.02 mi. S. SR 54 (Lyons N. Town Limits to SR 54)</t>
  </si>
  <si>
    <t>31   +0.558</t>
  </si>
  <si>
    <t>34   +0.575</t>
  </si>
  <si>
    <t>From SR 54 to US 231</t>
  </si>
  <si>
    <t>38   +0.349</t>
  </si>
  <si>
    <t>SR 68</t>
  </si>
  <si>
    <t>From SR 69 to S. Jct. SR 165</t>
  </si>
  <si>
    <t>6   +0.333</t>
  </si>
  <si>
    <t>From S. Jct SR 165 to 0.51 mi N. N. Jct. SR 165 (Poseyville E. Town Limits)</t>
  </si>
  <si>
    <t>8   +0.336</t>
  </si>
  <si>
    <t>From 0.51 mi N. N. Jct. SR 165 (Poseyville E. Town Limits) to 0.35 mi W. Jct. SR 65 (Cynthiana W. Town Limits)</t>
  </si>
  <si>
    <t>12   +0.492</t>
  </si>
  <si>
    <t>From E. Jct. SR 65 to US 41</t>
  </si>
  <si>
    <t>12   +0.843</t>
  </si>
  <si>
    <t>21   +1.010</t>
  </si>
  <si>
    <t>From US 41 to I69</t>
  </si>
  <si>
    <t>26   +0.485</t>
  </si>
  <si>
    <t>From SR 57 to SR 61</t>
  </si>
  <si>
    <t>26   +0.486</t>
  </si>
  <si>
    <t>36   +0.289</t>
  </si>
  <si>
    <t>From SR 61 to W. Jct. SR 161</t>
  </si>
  <si>
    <t>47   +0.614</t>
  </si>
  <si>
    <t>SR 69</t>
  </si>
  <si>
    <t>From 8.22 mi S. SR 62  (Hovey Lake)to 3.54 mi S. SR 62 (End Asphalt Section/ Begin Concrete Section)</t>
  </si>
  <si>
    <t>4   +0.690</t>
  </si>
  <si>
    <t>From 3.54 mi S. SR 62 (End Asphalt Section/ Begin Concrete Section) to W. Jct. SR 62</t>
  </si>
  <si>
    <t>8   +0.240</t>
  </si>
  <si>
    <t>From E. Jct. SR 62 to 3.90 N E. Jct. SR 62 (Concrete Section)</t>
  </si>
  <si>
    <t>8   +0.241</t>
  </si>
  <si>
    <t>17   +0.383</t>
  </si>
  <si>
    <t>From 3.90 N E. Jct. SR 62 (Concrete Section/ Begin Asphalt) to 0.5 miles N of SR-269</t>
  </si>
  <si>
    <t>26   +0.549</t>
  </si>
  <si>
    <t>From to 0.5 miles N of SR-269 to Jct. SR 66</t>
  </si>
  <si>
    <t>29   +0.841</t>
  </si>
  <si>
    <t>From Jct. SR 66 to I64</t>
  </si>
  <si>
    <t>35   +0.089</t>
  </si>
  <si>
    <t>SR 70</t>
  </si>
  <si>
    <t>From US 231to W. Jct. SR 66</t>
  </si>
  <si>
    <t>1   -1.077</t>
  </si>
  <si>
    <t>9   +0.088</t>
  </si>
  <si>
    <t>From SR 37 to E. Jct. SR 66 (Derby)</t>
  </si>
  <si>
    <t>9   +0.089</t>
  </si>
  <si>
    <t>15   +0.200</t>
  </si>
  <si>
    <t>SR 237</t>
  </si>
  <si>
    <t>From SR 62/SR 66  to 1.68 mi S. SR 37/ SR 64 (S. Town Limits of English)</t>
  </si>
  <si>
    <t>5   +0.341</t>
  </si>
  <si>
    <t>36   +0.831</t>
  </si>
  <si>
    <t>From 0.68 mi W. of US 41 to US 41</t>
  </si>
  <si>
    <t>0   -0.647</t>
  </si>
  <si>
    <t>From N. Jct. US231/SR 67 to 0.61 mi N. US 231 (Worthington N. Limits)</t>
  </si>
  <si>
    <t>9   +0.513</t>
  </si>
  <si>
    <t>10   +0.120</t>
  </si>
  <si>
    <t>From S. Jct. of I 69 (end of Asphalt) to S. Jct. of I69 (Fly Over  Ramp over I69)</t>
  </si>
  <si>
    <t>8   +0.551</t>
  </si>
  <si>
    <t>From N. Jct. SR 56 / SR 57 to 1.10 miles N of Jct with SR 56/SR 57</t>
  </si>
  <si>
    <t>40   +0.327</t>
  </si>
  <si>
    <t>OLD SR 66</t>
  </si>
  <si>
    <t>From ILL/IN State line to 0.10 mi West SR 69 (New Harmony)</t>
  </si>
  <si>
    <t>1   -0.920</t>
  </si>
  <si>
    <t>1   +0.170</t>
  </si>
  <si>
    <t>From W Jct SR 161 to E Jct SR 161</t>
  </si>
  <si>
    <t>51   +0.136</t>
  </si>
  <si>
    <t>OLD US 231</t>
  </si>
  <si>
    <t>From SR 70 to 1.24 mi  N. SR 70 (Town limits Chrisney)</t>
  </si>
  <si>
    <t>20   -0.466</t>
  </si>
  <si>
    <t>20   +0.776</t>
  </si>
  <si>
    <t>From 0.66 mi S. of W. Jct SR 56 (Petersburg South City Limits) to W. Jct. SR 56</t>
  </si>
  <si>
    <t>35   +0.776</t>
  </si>
  <si>
    <t>From 0.10 mi N. SR 264 N. Ferdinand Town Limits) To SR 64</t>
  </si>
  <si>
    <t>From 2.02 mi E. Of E. Jct SR 59 ( Linton East City Limits) to SR 67</t>
  </si>
  <si>
    <t>27   +0.390</t>
  </si>
  <si>
    <t>From 1.10 N. US 231/SR54 to North End of White River Bridge</t>
  </si>
  <si>
    <t>8   +0.472</t>
  </si>
  <si>
    <t>From 0.58 mi S of E intersection with US 50 (Kelso Creek bridge) to the W intersection with US 50</t>
  </si>
  <si>
    <t>From 2.72 W. of S. Jct US 41 (Wabash Ave.) to US 41</t>
  </si>
  <si>
    <t>24   +0.781</t>
  </si>
  <si>
    <t>27   +0.496</t>
  </si>
  <si>
    <t>From N. Jct. SR 56 / SR 61to 0.95 mi N. SR 356 (N. Petersburg City Limits)</t>
  </si>
  <si>
    <t>35   +0.777</t>
  </si>
  <si>
    <t>From 3.12 mi S. SR 58 to 4.88 mi N. US 231 (Concrete)</t>
  </si>
  <si>
    <t>92   +0.048</t>
  </si>
  <si>
    <t>Crane Unit,Linton,Loogootee Unit</t>
  </si>
  <si>
    <t>From SR 358 to 3.7 mi E. I69 (W. Odon Limits)</t>
  </si>
  <si>
    <t>43   +0.468</t>
  </si>
  <si>
    <t>From 1.05 mi S. SR 54 (Co. Rd 25 S) to S. Jct. SR 54</t>
  </si>
  <si>
    <t>12   +0.017</t>
  </si>
  <si>
    <t>From 3.01 mi N. SR 66 to SR 62</t>
  </si>
  <si>
    <t>7   +0.763</t>
  </si>
  <si>
    <t>From E. Jct. of US 41 to 4.47 mi East of E. Jct. US 41</t>
  </si>
  <si>
    <t>1   +0.845</t>
  </si>
  <si>
    <t>OLD US 41</t>
  </si>
  <si>
    <t>From 0.17 mi S. US 41/US 50 to US 41/US 50 (Vincennes 6th S.)</t>
  </si>
  <si>
    <t>0   -0.014</t>
  </si>
  <si>
    <t>0   +0.214</t>
  </si>
  <si>
    <t>From 3.7 mi E. I69 (W. Odon Limits) to 2.80 mi W. US 231 (E. Odon Town Limits)</t>
  </si>
  <si>
    <t>44   +0.989</t>
  </si>
  <si>
    <t>OLD SR 70</t>
  </si>
  <si>
    <t>From Old US 231 to E. City Limits of Chrisney</t>
  </si>
  <si>
    <t>0   -0.033</t>
  </si>
  <si>
    <t>0   +0.687</t>
  </si>
  <si>
    <t>From 3.10 mi W. of I-69 (300' W. RR Track  in Francisco) to 2.45 mi W. I-69 (ECL of Francisco)</t>
  </si>
  <si>
    <t>18   +0.998</t>
  </si>
  <si>
    <t>From 2.45 mi W. I-69 (ECL of Francisco) to SR 57</t>
  </si>
  <si>
    <t>22   +0.656</t>
  </si>
  <si>
    <t>From Old US 50 to N. City Limits of Washington</t>
  </si>
  <si>
    <t>Loogootee Unit,Oakland City Unit</t>
  </si>
  <si>
    <t>From 1.52 mi W. of US 231 (WCL Huntingburg) to 1.02 mi E. US 231 (ECL Huntingburg)</t>
  </si>
  <si>
    <t>From 0.51 mile S. SR 159 to 0.70 mi N. SR 159 (Bicknell City Limits)</t>
  </si>
  <si>
    <t>From 1.79 mi. S. of W. Jct of US 231 to 0.25 mi. E. SR 550 (Loogootee Limits)</t>
  </si>
  <si>
    <t>From SR 65 to 0.73 mi E. SR 65 (Owensville E. City Limits)</t>
  </si>
  <si>
    <t>Boyle Lane Unit 2,Oakland City Unit,Poseyville Unit 3</t>
  </si>
  <si>
    <t>From 0.47 mi . W. SR 65 (W city Limits - Owensville) to SR 65 (Owensville)</t>
  </si>
  <si>
    <t>17   +0.137</t>
  </si>
  <si>
    <t>From 0.14 mi S of I-64 to 0.88 mi N of SR 68 (N. Town Limits Lynnville)</t>
  </si>
  <si>
    <t>From SR 66 to 0.30 mi N. SR 66 (Troy)</t>
  </si>
  <si>
    <t>From 0.18 W. SR 545 to 0.10 mi E. SR 545</t>
  </si>
  <si>
    <t>74   +0.177</t>
  </si>
  <si>
    <t>From 0.10 mi E. SR 545  to S. Jct SR 37</t>
  </si>
  <si>
    <t>77   +0.215</t>
  </si>
  <si>
    <t>From 1.50 miles W of SR 59 (0.2 mi W. Jasonville W.Town Limits) to 0.05 mile E of SR 59 (0.05 mi E. Jasonville E. Town Limits)</t>
  </si>
  <si>
    <t>17   +1.003</t>
  </si>
  <si>
    <t>From US 231/SR 157 Jct to 0.52 mi. East US 231/SR157 Jct. (Bloomfield Town Limits)</t>
  </si>
  <si>
    <t>33   +0.814</t>
  </si>
  <si>
    <t>From North End of White River Bridge to S. Jct US 231 ( Worthington)</t>
  </si>
  <si>
    <t>9   +0.512</t>
  </si>
  <si>
    <t>From KY / IN State line to 1.1 mi. N. SR 66</t>
  </si>
  <si>
    <t>12   -0.252</t>
  </si>
  <si>
    <t>13   +0.694</t>
  </si>
  <si>
    <t>From 1.1 mi N. SR 66 to SR 70</t>
  </si>
  <si>
    <t>From US 231 to 0.51 mi. E. US 231</t>
  </si>
  <si>
    <t>From 4.1 mi W. SR 159 (Hymera W. Town Limits) to 3.08 mi W. SR 159 (Hymera E. Town Limits)</t>
  </si>
  <si>
    <t>12   +0.787</t>
  </si>
  <si>
    <t>From 3.08 mi W. SR 159 (Hymera E. Town Limits) to 1.50 miles W of SR 59 (0.2 mi W. Jasonville W.Town Limits)</t>
  </si>
  <si>
    <t>Clay,Greene,Sullivan</t>
  </si>
  <si>
    <t>From 0.26 mi S. SR 168 (S. Limits Owensville) to SR 165</t>
  </si>
  <si>
    <t>20   +0.273</t>
  </si>
  <si>
    <t>From 0.83 mi. S. of S. Jct. SR 241 to N. Jct. of SR 241 (Monroe City)</t>
  </si>
  <si>
    <t>From 1.68 mi S. SR 37/ SR 64 (S. Town Limits of English) to SR 37/ SR 64</t>
  </si>
  <si>
    <t>38   +0.479</t>
  </si>
  <si>
    <t>From 1.03 mi. N. SR 358 (Edwardsport S. Town Limits) to 1.63 mi N. SR 358 (Edwardsport N. Town Limits)</t>
  </si>
  <si>
    <t>Linton,Vincennes Unit 2</t>
  </si>
  <si>
    <t>From 4.02 mi. S. SR 54 (Lyons S. Town Limits) to 3.02 mi. S. SR 54 (Lyons N. Town Limits)</t>
  </si>
  <si>
    <t>From 0.10 mi S. I69 to SR 62/SR66 (Lloyd Expressway)</t>
  </si>
  <si>
    <t>3   +0.825</t>
  </si>
  <si>
    <t>From SR 62/SR66 (Lloyd Expwy) to 0.74 mi N of SR 66 (Diamond Ave)</t>
  </si>
  <si>
    <t>6   +0.136</t>
  </si>
  <si>
    <t>From 0.74 mi N of SR 66 (Diamond Ave) to SR 57</t>
  </si>
  <si>
    <t>From 5.60 mi W of S Jct US 41 (Boehne Camp Rd) to 2.72 mi W of S Jct US 41 (Wabash Ave)</t>
  </si>
  <si>
    <t>From 3.51 mi S E. Jct. SR 162 (Crooked Creek Bridge) to E. Jct. SR 162</t>
  </si>
  <si>
    <t>8   +0.429</t>
  </si>
  <si>
    <t>From 0.10 mi N. US 50 to Old US 50</t>
  </si>
  <si>
    <t>30   +0.141</t>
  </si>
  <si>
    <t>31   +0.352</t>
  </si>
  <si>
    <t>From 1.06 mi. S. SR 54 to Lawrence/Monroe Co, Line (District Line)</t>
  </si>
  <si>
    <t>88   +0.063</t>
  </si>
  <si>
    <t>From 0.36 mi W. SR 45 to I69</t>
  </si>
  <si>
    <t>2   +0.917</t>
  </si>
  <si>
    <t>Greene,Monroe</t>
  </si>
  <si>
    <t>From 0.60 mi S. of W. Jct. SR 68 to E. Jct. SR 68 (Cynthiana)</t>
  </si>
  <si>
    <t>From E. Jct US 50 to 0.97 mi N. US 50 (N. Corporate Limits Loogootee)</t>
  </si>
  <si>
    <t>68   +0.942</t>
  </si>
  <si>
    <t>From SR 67 to 0.77 mile S of S Jct SR-157 (S. Limits of Worthington)</t>
  </si>
  <si>
    <t>103   +0.938</t>
  </si>
  <si>
    <t>From W. Jct. SR 62 to New Harmony / Shelton Rd (Old SR 61-Boonville)</t>
  </si>
  <si>
    <t>From 0.1 mi S. US 50 to 0.10 N. US 50 (Concrete)</t>
  </si>
  <si>
    <t>1.03 mi S. SR 37 (Orleans Town Limits) to SR 37</t>
  </si>
  <si>
    <t>34   +0.443</t>
  </si>
  <si>
    <t>From 1.67 mi  W Jct SR 37  (Paoli W. Town Limits) to 1.24 mi E. Jct. SR 37 (Paoli E.Town Limits)</t>
  </si>
  <si>
    <t>From E. Jct. US 150 (Paoli) to 1.24 mi E. Jct. US 150 (Paoli)</t>
  </si>
  <si>
    <t>68   +0.775</t>
  </si>
  <si>
    <t>From SR 57 to 0.76 mi E. SR 357</t>
  </si>
  <si>
    <t>From 4.88 mi N. US 231 to 2.35 mi S. SR 45 (Asphalt)</t>
  </si>
  <si>
    <t>95   +0.974</t>
  </si>
  <si>
    <t>From 2.35 mi S. SR 45 to SR 445 (Concrete)</t>
  </si>
  <si>
    <t>103   +0.735</t>
  </si>
  <si>
    <t>From E. Jct. SR 61 to 0.24 mi east of E. Jct SR 61</t>
  </si>
  <si>
    <t>42   +0.923</t>
  </si>
  <si>
    <t>From 0.61 mi N. US 231 (Worthington N. Limits) to SR 48</t>
  </si>
  <si>
    <t>12   +0.509</t>
  </si>
  <si>
    <t>From 0.25 mi E of I-69 to W. Jct of SR 61</t>
  </si>
  <si>
    <t>42   +0.922</t>
  </si>
  <si>
    <t>OLD US 50</t>
  </si>
  <si>
    <t>From US 50 to 0.55 miles E of US 50 (Sand Pit Road) Bedford</t>
  </si>
  <si>
    <t>From 2.80 mi W. US 231 (E. Odon Town Limits) to US 231</t>
  </si>
  <si>
    <t>47   +0.780</t>
  </si>
  <si>
    <t>13   +0.182</t>
  </si>
  <si>
    <t>From 2.30 E. of US 41 to Jct. SR 66</t>
  </si>
  <si>
    <t>From 1.16 mi S of E Jct SR-54/SR-157 (Richland Creek) to 0.67 mi W of Jct SR-54 / SR 157 (Bloomfiled W. CL)</t>
  </si>
  <si>
    <t>From W. White River Bridge to 0.40 mi. E. I69</t>
  </si>
  <si>
    <t>1.34 mi S. SR 337 (S. Orleans Town Limits) to 1.08 mi N. SR 337 (N. Orleans Town Limits)</t>
  </si>
  <si>
    <t>63   +0.940</t>
  </si>
  <si>
    <t>From 1.08 mi N. SR 337 (N. Orleans Town Limits) to 0.62 mi S of South Jct SR-60 (Concrete Pavement Starts)</t>
  </si>
  <si>
    <t>0.50 mi W. SR 159 (W. Dugger Town Limits) to 0.51 mi E. SR 159 (E. Dugger Town Limits)</t>
  </si>
  <si>
    <t>From US 41 to 2.20 mi E. US 41 (Hazleton Town Limits)</t>
  </si>
  <si>
    <t>From 0.28 mi S. of S. Jct. SR 58 (S. Elnora Town Limits) to 0.55 mi N. of N. Jct SR 58 (N Elnora Town Limits)</t>
  </si>
  <si>
    <t>66   +0.530</t>
  </si>
  <si>
    <t>67   +0.480</t>
  </si>
  <si>
    <t>From SR 63 to 0.79 mi E. SR 63 (Merom E. Town Limits)</t>
  </si>
  <si>
    <t>0   -0.009</t>
  </si>
  <si>
    <t>From SR 154 to SR 48</t>
  </si>
  <si>
    <t>From 0.35 mi W. Jct. SR 65 (Cynthiana W. Town Limits) to SR 65</t>
  </si>
  <si>
    <t>12   +0.842</t>
  </si>
  <si>
    <t>From E. Jct. SR 64 to SR 164</t>
  </si>
  <si>
    <t>24   +0.770</t>
  </si>
  <si>
    <t>From 0.32 mi. S. SR 54 (S. Dugger Town Limits) to SR 54</t>
  </si>
  <si>
    <t>14   +0.068</t>
  </si>
  <si>
    <t>From SR 57 to 0.85 mi E. SR 57 (E. Petersburg City Limits)</t>
  </si>
  <si>
    <t>From Martin/Lawrence Co. Line to N. Jct. US 50 / SR 37</t>
  </si>
  <si>
    <t>24   +0.956</t>
  </si>
  <si>
    <t>From 0.69 mi S. W. Jct SR 64 (S. Birdseye town Limits) to W. Jct. SR 64</t>
  </si>
  <si>
    <t>24   +0.769</t>
  </si>
  <si>
    <t>From 0.34 mi. W. SR 159 to 0.90 mi. E. SR 159 (Freelandville Limits)</t>
  </si>
  <si>
    <t>From 3.3 mi N. SR 64 (S. Winslow Town Limits) to 3.75 mi S. SR 56 (N. Winslow Town Limits)</t>
  </si>
  <si>
    <t>36   +0.484</t>
  </si>
  <si>
    <t>From 3.75 mi S. SR 56 (N. Winslow Town Limits) to S. Jct. SR 56</t>
  </si>
  <si>
    <t>40   +0.326</t>
  </si>
  <si>
    <t>From 0.33 mi S. SR 58 to SR 58 (Freelandville)</t>
  </si>
  <si>
    <t>5   +1.093</t>
  </si>
  <si>
    <t>From 0.41 mi S. SR 358 (Plainville S. Town Limits) to 0.44 mi N. SR 358 (Plainville N. Town LImits)</t>
  </si>
  <si>
    <t>61   +0.078</t>
  </si>
  <si>
    <t>From 0.44 mi N. SR 358 (Plainville N. Town Limits) to 0.28 mi S. of S. Jct. SR 58 (S. Elnora Town Limits)</t>
  </si>
  <si>
    <t>Crane Unit,Loogootee Unit,Vincennes Unit 2</t>
  </si>
  <si>
    <t>From 0.81 mi W. SR 67 ( Bruceville W. Town Limits) to SR 67</t>
  </si>
  <si>
    <t>From US 50 to 0.47 mi E. US 50 ( Loogootee E. Town Limits)</t>
  </si>
  <si>
    <t>13   +0.892</t>
  </si>
  <si>
    <t>From 1.24 mi S. Jct US 150 (S. Paoli Town Limits) to S. Jct. US 150</t>
  </si>
  <si>
    <t>55   +0.113</t>
  </si>
  <si>
    <t>N. Jct. US 150 to 1.14 mi. N. Jct. US 150 (N. Paoli Town Limits)</t>
  </si>
  <si>
    <t>55   +0.114</t>
  </si>
  <si>
    <t>From E Jct SR 161 to US 231</t>
  </si>
  <si>
    <t>53   +0.880</t>
  </si>
  <si>
    <t>From E Jct SR 59 to 2.02 mi E. Of E. Jct SR 59 ( Linton East City Limits)</t>
  </si>
  <si>
    <t>From SR 165 (Owensville) to 0.67 mi N of SR 165 (Old Princeton Rd)</t>
  </si>
  <si>
    <t>From SR 450 to US 150</t>
  </si>
  <si>
    <t>From 0.93 mi West of S. Jct SR 57 (Petersburg West City Limits) to N. Jct SR 57/SR61</t>
  </si>
  <si>
    <t>19   +0.296</t>
  </si>
  <si>
    <t>From N. Jct SR 57/SR61 to I-69 Interchange W. Ramp</t>
  </si>
  <si>
    <t>From 0.77 mi S of S Jct SR 157 to 0.54 mi N of S Jct SR 157 (Worthington)</t>
  </si>
  <si>
    <t>105   +0.240</t>
  </si>
  <si>
    <t>From 0.54 mi N of S Jct SR 157 to 8.32 miles S of W Jct of SR 46 (District Line)</t>
  </si>
  <si>
    <t>113   +0.767</t>
  </si>
  <si>
    <t>Clay,Greene,Owen</t>
  </si>
  <si>
    <t>From KY / IN State line to SR 66</t>
  </si>
  <si>
    <t>0   +0.404</t>
  </si>
  <si>
    <t>From SR 66 to SR 37</t>
  </si>
  <si>
    <t>5   +0.340</t>
  </si>
  <si>
    <t>From SR 66 to SR 237</t>
  </si>
  <si>
    <t>2   +0.278</t>
  </si>
  <si>
    <t>From SR 237 to SR 70</t>
  </si>
  <si>
    <t>From 0.55 mi N. of N. Jct SR 58 (N Elnora Town Limits) to 5.69 mi N. of W. Jct. SR 58 (S Newberry Town Limits)</t>
  </si>
  <si>
    <t>72   +0.389</t>
  </si>
  <si>
    <t>Daviess,Greene</t>
  </si>
  <si>
    <t>From 5.69 mi N. of W. Jct. SR 58 to 6.09 mi N. of W. Jct. SR 58 (S. Approach White River) (Newberry)</t>
  </si>
  <si>
    <t>From SR 162 to 0.71 mi W of SR 545</t>
  </si>
  <si>
    <t>76   +0.188</t>
  </si>
  <si>
    <t>From 0.71 mi W of SR 545 to 0.33 mi E of SR 545 (St Meinrad)</t>
  </si>
  <si>
    <t>77   +0.214</t>
  </si>
  <si>
    <t>From 0.33 mi E of SR 545 to SR 145</t>
  </si>
  <si>
    <t>Replacement year</t>
  </si>
  <si>
    <t>past rpm contract</t>
  </si>
  <si>
    <t>past pavement project</t>
  </si>
  <si>
    <t>Lastest Plan</t>
  </si>
  <si>
    <t>last updated list</t>
  </si>
  <si>
    <t>past_contracts</t>
  </si>
  <si>
    <t>rpm_planned (DAVID)</t>
  </si>
  <si>
    <t>20yP1</t>
  </si>
  <si>
    <t>20yP2</t>
  </si>
  <si>
    <t>20yP3</t>
  </si>
  <si>
    <t>20yP4</t>
  </si>
  <si>
    <t>20yP5</t>
  </si>
  <si>
    <t>2036 Preventive Maintenance</t>
  </si>
  <si>
    <t>2034 Preventive Maintenance</t>
  </si>
  <si>
    <t>2039 Minor Structural</t>
  </si>
  <si>
    <t>2030 Minor Structural</t>
  </si>
  <si>
    <t>2038 Preventive Maintenance</t>
  </si>
  <si>
    <t>2035 Preventive Maintenance</t>
  </si>
  <si>
    <t>2040 Preventive Maintenance</t>
  </si>
  <si>
    <t>2031 Preventive Maintenance</t>
  </si>
  <si>
    <t>2033 Preventive Maintenance</t>
  </si>
  <si>
    <t>2042 Preventive Maintenance</t>
  </si>
  <si>
    <t>2038 Rehab</t>
  </si>
  <si>
    <t>2039 Rehab</t>
  </si>
  <si>
    <t>2044 Preventive Maintenance</t>
  </si>
  <si>
    <t>2039 Preventive Maintenance</t>
  </si>
  <si>
    <t>2043 Preventive Maintenance</t>
  </si>
  <si>
    <t>2030 Major Structural</t>
  </si>
  <si>
    <t>2030 Preventive Maintenance</t>
  </si>
  <si>
    <t>2032 Preventive Maintenance</t>
  </si>
  <si>
    <t>2041 Preventive Maintenance</t>
  </si>
  <si>
    <t>2031 Major Structural</t>
  </si>
  <si>
    <t>2028 Pavement Patching</t>
  </si>
  <si>
    <t>2035 Minor Structural</t>
  </si>
  <si>
    <t>2031 Minor Structural</t>
  </si>
  <si>
    <t>Most Recent Chip</t>
  </si>
  <si>
    <t>Most Recent Chip layers</t>
  </si>
  <si>
    <t>FY1</t>
  </si>
  <si>
    <t>FY2</t>
  </si>
  <si>
    <t>FY3</t>
  </si>
  <si>
    <t>FY4</t>
  </si>
  <si>
    <t>FY1_layer</t>
  </si>
  <si>
    <t>FY2_layer</t>
  </si>
  <si>
    <t>FY3_layer</t>
  </si>
  <si>
    <t>FY4_layer</t>
  </si>
  <si>
    <t>3rd phase chip seal year_PLANNED</t>
  </si>
  <si>
    <t>number of lanes</t>
  </si>
  <si>
    <t>AADT lower limit</t>
  </si>
  <si>
    <t>AADT upper limit</t>
  </si>
  <si>
    <t>replacement cycle (years)</t>
  </si>
  <si>
    <t>For planning purpose the adjustment factor [2 times of replacement cycle]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</si>
</sst>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name val="Aptos Narrow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5ABAB"/>
        <bgColor rgb="FF000000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4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0" borderId="3" xfId="0" applyFont="1" applyBorder="1"/>
    <xf numFmtId="0" fontId="5" fillId="5" borderId="3" xfId="0" applyFont="1" applyFill="1" applyBorder="1"/>
    <xf numFmtId="0" fontId="5" fillId="5" borderId="4" xfId="0" applyFont="1" applyFill="1" applyBorder="1"/>
    <xf numFmtId="0" fontId="0" fillId="5" borderId="1" xfId="0" applyFill="1" applyBorder="1"/>
    <xf numFmtId="0" fontId="5" fillId="5" borderId="1" xfId="0" applyFont="1" applyFill="1" applyBorder="1"/>
    <xf numFmtId="0" fontId="5" fillId="5" borderId="5" xfId="0" applyFont="1" applyFill="1" applyBorder="1"/>
    <xf numFmtId="0" fontId="6" fillId="4" borderId="2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0" fillId="0" borderId="3" xfId="0" applyBorder="1"/>
    <xf numFmtId="3" fontId="0" fillId="0" borderId="3" xfId="0" applyNumberFormat="1" applyBorder="1"/>
    <xf numFmtId="0" fontId="0" fillId="0" borderId="4" xfId="0" applyBorder="1"/>
    <xf numFmtId="0" fontId="0" fillId="0" borderId="1" xfId="0" applyBorder="1"/>
    <xf numFmtId="3" fontId="0" fillId="0" borderId="1" xfId="0" applyNumberFormat="1" applyBorder="1"/>
    <xf numFmtId="0" fontId="0" fillId="0" borderId="5" xfId="0" applyBorder="1"/>
    <xf numFmtId="0" fontId="0" fillId="5" borderId="3" xfId="0" applyFill="1" applyBorder="1"/>
    <xf numFmtId="0" fontId="0" fillId="5" borderId="0" xfId="0" applyFill="1"/>
    <xf numFmtId="0" fontId="3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3" fontId="4" fillId="0" borderId="1" xfId="0" applyNumberFormat="1" applyFont="1" applyBorder="1"/>
    <xf numFmtId="0" fontId="4" fillId="0" borderId="5" xfId="0" applyFont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0" fillId="9" borderId="0" xfId="0" applyFill="1" applyAlignment="1">
      <alignment wrapText="1"/>
    </xf>
    <xf numFmtId="0" fontId="6" fillId="9" borderId="0" xfId="0" applyFont="1" applyFill="1"/>
    <xf numFmtId="0" fontId="1" fillId="4" borderId="2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3" fillId="9" borderId="7" xfId="0" applyFont="1" applyFill="1" applyBorder="1" applyAlignment="1">
      <alignment horizontal="center" wrapText="1"/>
    </xf>
    <xf numFmtId="0" fontId="0" fillId="9" borderId="1" xfId="0" applyFill="1" applyBorder="1" applyAlignment="1">
      <alignment wrapText="1"/>
    </xf>
    <xf numFmtId="0" fontId="5" fillId="9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00A1-4C3D-48C5-9D55-8C2DF350E0BE}">
  <sheetPr>
    <tabColor rgb="FFFFC000"/>
  </sheetPr>
  <dimension ref="A1:AN363"/>
  <sheetViews>
    <sheetView tabSelected="1" workbookViewId="0">
      <pane ySplit="1" topLeftCell="A352" activePane="bottomLeft" state="frozen"/>
      <selection pane="bottomLeft" activeCell="U2" sqref="U2:U363"/>
    </sheetView>
  </sheetViews>
  <sheetFormatPr defaultRowHeight="15"/>
  <cols>
    <col min="3" max="11" width="0" hidden="1" customWidth="1"/>
    <col min="13" max="17" width="0" hidden="1" customWidth="1"/>
    <col min="21" max="21" width="12.42578125" customWidth="1"/>
    <col min="22" max="22" width="12.28515625" customWidth="1"/>
    <col min="23" max="30" width="11.85546875" customWidth="1"/>
    <col min="31" max="35" width="11.85546875" hidden="1" customWidth="1"/>
    <col min="36" max="36" width="14" hidden="1" customWidth="1"/>
    <col min="37" max="37" width="22.42578125" hidden="1" customWidth="1"/>
    <col min="38" max="39" width="11.85546875" customWidth="1"/>
    <col min="40" max="40" width="22.42578125" bestFit="1" customWidth="1"/>
  </cols>
  <sheetData>
    <row r="1" spans="1:40" ht="91.5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3" t="s">
        <v>19</v>
      </c>
      <c r="U1" s="44" t="s">
        <v>20</v>
      </c>
      <c r="V1" s="45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4" t="s">
        <v>37</v>
      </c>
      <c r="AM1" s="33" t="s">
        <v>38</v>
      </c>
      <c r="AN1" s="33" t="s">
        <v>39</v>
      </c>
    </row>
    <row r="2" spans="1:40">
      <c r="A2" s="6">
        <v>60000</v>
      </c>
      <c r="B2" s="6" t="s">
        <v>40</v>
      </c>
      <c r="C2" s="6" t="s">
        <v>41</v>
      </c>
      <c r="D2" s="6">
        <v>43.289583</v>
      </c>
      <c r="E2" s="6">
        <v>53.424867999999996</v>
      </c>
      <c r="F2" s="6" t="s">
        <v>42</v>
      </c>
      <c r="G2" s="6" t="s">
        <v>43</v>
      </c>
      <c r="H2" s="35">
        <v>167677</v>
      </c>
      <c r="I2" s="6" t="s">
        <v>44</v>
      </c>
      <c r="J2" s="6">
        <v>20</v>
      </c>
      <c r="K2" s="6">
        <v>2026</v>
      </c>
      <c r="L2" s="6">
        <v>2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35">
        <v>3656</v>
      </c>
      <c r="S2" s="6">
        <v>986</v>
      </c>
      <c r="T2" s="36" t="s">
        <v>50</v>
      </c>
      <c r="U2" s="46">
        <f>IF($L2&lt;=2,
IF($R2&lt;=RpmDesignStandard!$C$2,RpmDesignStandard!$D$2,
IF(AND($R2&gt;RpmDesignStandard!$B$3,$R2&lt;=RpmDesignStandard!$C$3),RpmDesignStandard!$D$3,RpmDesignStandard!$D$4)),
IF($R2&lt;=RpmDesignStandard!$C$5, RpmDesignStandard!$D$5,
IF(AND($R2&gt;RpmDesignStandard!$B$6,$R2&lt;=RpmDesignStandard!$C$6),RpmDesignStandard!$D$6,
IF(AND($R2&gt;RpmDesignStandard!$B$7,$R2&lt;=RpmDesignStandard!$C$7),RpmDesignStandard!$D$7,RpmDesignStandard!$D$8))))</f>
        <v>4</v>
      </c>
      <c r="V2" s="47">
        <f>U2*RpmDesignStandard!$H$1</f>
        <v>8</v>
      </c>
      <c r="W2" s="37" t="str">
        <f>VLOOKUP(A2,RPM_ProjectRecord!A:AB,8,FALSE)</f>
        <v/>
      </c>
      <c r="X2" s="38" t="str">
        <f>IFERROR(VALUE(LEFT(AE2,4)),"")</f>
        <v/>
      </c>
      <c r="Y2" s="38" t="str">
        <f>IFERROR(VALUE(LEFT(AF2,4)),"")</f>
        <v/>
      </c>
      <c r="Z2" s="38" t="str">
        <f>IFERROR(VALUE(LEFT(AG2,4)),"")</f>
        <v/>
      </c>
      <c r="AA2" s="38" t="str">
        <f>IFERROR(VALUE(LEFT(AH2,4)),"")</f>
        <v/>
      </c>
      <c r="AB2" s="38" t="str">
        <f>IFERROR(VALUE(LEFT(AI2,4)),"")</f>
        <v/>
      </c>
      <c r="AC2" s="38" t="str">
        <f>IF(VLOOKUP(A2,'3rdPhaseChipSeal'!A:L,12,FALSE)="","",VLOOKUP(A2,'3rdPhaseChipSeal'!A:L,12,FALSE))</f>
        <v/>
      </c>
      <c r="AD2" s="38">
        <f>IFERROR(IF(VLOOKUP(A2,RpmContracts!A:C,3,FALSE)="","",VLOOKUP(A2,RpmContracts!A:C,3,FALSE)),"")</f>
        <v>2027</v>
      </c>
      <c r="AE2" s="7" t="str">
        <f>IF(VLOOKUP(A2,'20yPlan'!A:B,2,FALSE)="","",VLOOKUP(A2,'20yPlan'!A:B,2,FALSE))</f>
        <v/>
      </c>
      <c r="AF2" s="7" t="str">
        <f>IF(VLOOKUP(A2,'20yPlan'!A:C,3,FALSE)="","",VLOOKUP(A2,'20yPlan'!A:C,3,FALSE))</f>
        <v/>
      </c>
      <c r="AG2" s="7" t="str">
        <f>IF(VLOOKUP(A2,'20yPlan'!A:D,4,FALSE)="","",VLOOKUP(A2,'20yPlan'!A:D,4,FALSE))</f>
        <v/>
      </c>
      <c r="AH2" s="7" t="str">
        <f>IF(VLOOKUP(A2,'20yPlan'!A:E,5,FALSE)="","",VLOOKUP(A2,'20yPlan'!A:E,5,FALSE))</f>
        <v/>
      </c>
      <c r="AI2" s="7" t="str">
        <f>IF(VLOOKUP(A2,'20yPlan'!A:F,6,FALSE)="","",VLOOKUP(A2,'20yPlan'!A:F,6,FALSE))</f>
        <v/>
      </c>
      <c r="AJ2" s="7" t="str">
        <f>IF(AC2="","",_xlfn.CONCAT(AC2," ","Chip Seal"))</f>
        <v/>
      </c>
      <c r="AK2" s="7" t="str">
        <f>IF(AD2="","",_xlfn.CONCAT(AD2," ","RPM Replacement"))</f>
        <v>2027 RPM Replacement</v>
      </c>
      <c r="AL2" s="39">
        <f ca="1">IFERROR(U2+W2,YEAR(TODAY()))</f>
        <v>2025</v>
      </c>
      <c r="AM2" s="7">
        <f>IF(W2="",AD2,IF(AND(MIN(X2:AD2)&lt;=(W2+V2),MIN(X2:AD2)&gt;W2),MIN(X2:AD2),""))</f>
        <v>2027</v>
      </c>
      <c r="AN2" s="7" t="str">
        <f>IF(AM2=X2,AE2,IF(AM2=Y2,AF2,IF(AM2=AC2,AJ2,AK2)))</f>
        <v>2027 RPM Replacement</v>
      </c>
    </row>
    <row r="3" spans="1:40">
      <c r="A3" s="6">
        <v>60001</v>
      </c>
      <c r="B3" s="6" t="s">
        <v>51</v>
      </c>
      <c r="C3" s="6" t="s">
        <v>52</v>
      </c>
      <c r="D3" s="6">
        <v>0</v>
      </c>
      <c r="E3" s="6">
        <v>11.296388</v>
      </c>
      <c r="F3" s="6" t="s">
        <v>53</v>
      </c>
      <c r="G3" s="6" t="s">
        <v>54</v>
      </c>
      <c r="H3" s="35">
        <v>544122</v>
      </c>
      <c r="I3" s="6" t="s">
        <v>55</v>
      </c>
      <c r="J3" s="6">
        <v>4</v>
      </c>
      <c r="K3" s="6">
        <v>2036</v>
      </c>
      <c r="L3" s="6">
        <v>4</v>
      </c>
      <c r="M3" s="6" t="s">
        <v>45</v>
      </c>
      <c r="N3" s="6" t="s">
        <v>46</v>
      </c>
      <c r="O3" s="6" t="s">
        <v>56</v>
      </c>
      <c r="P3" s="6" t="s">
        <v>57</v>
      </c>
      <c r="Q3" s="6" t="s">
        <v>58</v>
      </c>
      <c r="R3" s="35">
        <v>14526</v>
      </c>
      <c r="S3" s="35">
        <v>6148</v>
      </c>
      <c r="T3" s="36" t="s">
        <v>50</v>
      </c>
      <c r="U3" s="46">
        <f>IF($L3&lt;=2,
IF($R3&lt;=RpmDesignStandard!$C$2,RpmDesignStandard!$D$2,
IF(AND($R3&gt;RpmDesignStandard!$B$3,$R3&lt;=RpmDesignStandard!$C$3),RpmDesignStandard!$D$3,RpmDesignStandard!$D$4)),
IF($R3&lt;=RpmDesignStandard!$C$5, RpmDesignStandard!$D$5,
IF(AND($R3&gt;RpmDesignStandard!$B$6,$R3&lt;=RpmDesignStandard!$C$6),RpmDesignStandard!$D$6,
IF(AND($R3&gt;RpmDesignStandard!$B$7,$R3&lt;=RpmDesignStandard!$C$7),RpmDesignStandard!$D$7,RpmDesignStandard!$D$8))))</f>
        <v>3</v>
      </c>
      <c r="V3" s="47">
        <f>U3*RpmDesignStandard!$H$1</f>
        <v>6</v>
      </c>
      <c r="W3" s="37" t="str">
        <f>VLOOKUP(A3,RPM_ProjectRecord!A:AB,8,FALSE)</f>
        <v/>
      </c>
      <c r="X3" s="38">
        <f t="shared" ref="X3:X66" si="0">IFERROR(VALUE(LEFT(AE3,4)),"")</f>
        <v>2036</v>
      </c>
      <c r="Y3" s="38" t="str">
        <f t="shared" ref="Y3:Y66" si="1">IFERROR(VALUE(LEFT(AF3,4)),"")</f>
        <v/>
      </c>
      <c r="Z3" s="38" t="str">
        <f t="shared" ref="Z3:Z66" si="2">IFERROR(VALUE(LEFT(AG3,4)),"")</f>
        <v/>
      </c>
      <c r="AA3" s="38" t="str">
        <f t="shared" ref="AA3:AA66" si="3">IFERROR(VALUE(LEFT(AH3,4)),"")</f>
        <v/>
      </c>
      <c r="AB3" s="38" t="str">
        <f t="shared" ref="AB3:AB66" si="4">IFERROR(VALUE(LEFT(AI3,4)),"")</f>
        <v/>
      </c>
      <c r="AC3" s="38" t="str">
        <f>IF(VLOOKUP(A3,'3rdPhaseChipSeal'!A:L,12,FALSE)="","",VLOOKUP(A3,'3rdPhaseChipSeal'!A:L,12,FALSE))</f>
        <v/>
      </c>
      <c r="AD3" s="38">
        <f>IFERROR(IF(VLOOKUP(A3,RpmContracts!A:C,3,FALSE)="","",VLOOKUP(A3,RpmContracts!A:C,3,FALSE)),"")</f>
        <v>2027</v>
      </c>
      <c r="AE3" s="7" t="str">
        <f>IF(VLOOKUP(A3,'20yPlan'!A:B,2,FALSE)="","",VLOOKUP(A3,'20yPlan'!A:B,2,FALSE))</f>
        <v>2036 Preventive Maintenance</v>
      </c>
      <c r="AF3" s="7" t="str">
        <f>IF(VLOOKUP(A3,'20yPlan'!A:C,3,FALSE)="","",VLOOKUP(A3,'20yPlan'!A:C,3,FALSE))</f>
        <v/>
      </c>
      <c r="AG3" s="7" t="str">
        <f>IF(VLOOKUP(A3,'20yPlan'!A:D,4,FALSE)="","",VLOOKUP(A3,'20yPlan'!A:D,4,FALSE))</f>
        <v/>
      </c>
      <c r="AH3" s="7" t="str">
        <f>IF(VLOOKUP(A3,'20yPlan'!A:E,5,FALSE)="","",VLOOKUP(A3,'20yPlan'!A:E,5,FALSE))</f>
        <v/>
      </c>
      <c r="AI3" s="7" t="str">
        <f>IF(VLOOKUP(A3,'20yPlan'!A:F,6,FALSE)="","",VLOOKUP(A3,'20yPlan'!A:F,6,FALSE))</f>
        <v/>
      </c>
      <c r="AJ3" s="7" t="str">
        <f t="shared" ref="AJ3:AJ66" si="5">IF(AC3="","",_xlfn.CONCAT(AC3," ","Chip Seal"))</f>
        <v/>
      </c>
      <c r="AK3" s="7" t="str">
        <f t="shared" ref="AK3:AK66" si="6">IF(AD3="","",_xlfn.CONCAT(AD3," ","RPM Replacement"))</f>
        <v>2027 RPM Replacement</v>
      </c>
      <c r="AL3" s="39">
        <f t="shared" ref="AL3:AL66" ca="1" si="7">IFERROR(U3+W3,YEAR(TODAY()))</f>
        <v>2025</v>
      </c>
      <c r="AM3" s="7">
        <f t="shared" ref="AM3:AM66" si="8">IF(W3="",AD3,IF(AND(MIN(X3:AD3)&lt;=(W3+V3),MIN(X3:AD3)&gt;W3),MIN(X3:AD3),""))</f>
        <v>2027</v>
      </c>
      <c r="AN3" s="7" t="str">
        <f t="shared" ref="AN3:AN66" si="9">IF(AM3=X3,AE3,IF(AM3=Y3,AF3,IF(AM3=AC3,AJ3,AK3)))</f>
        <v>2027 RPM Replacement</v>
      </c>
    </row>
    <row r="4" spans="1:40">
      <c r="A4" s="6">
        <v>60002</v>
      </c>
      <c r="B4" s="6" t="s">
        <v>51</v>
      </c>
      <c r="C4" s="6" t="s">
        <v>59</v>
      </c>
      <c r="D4" s="6">
        <v>11.296388</v>
      </c>
      <c r="E4" s="6">
        <v>20.964243</v>
      </c>
      <c r="F4" s="6" t="s">
        <v>54</v>
      </c>
      <c r="G4" s="6" t="s">
        <v>60</v>
      </c>
      <c r="H4" s="35">
        <v>467255</v>
      </c>
      <c r="I4" s="6" t="s">
        <v>55</v>
      </c>
      <c r="J4" s="6">
        <v>3</v>
      </c>
      <c r="K4" s="6">
        <v>2036</v>
      </c>
      <c r="L4" s="6">
        <v>4</v>
      </c>
      <c r="M4" s="6" t="s">
        <v>45</v>
      </c>
      <c r="N4" s="6" t="s">
        <v>46</v>
      </c>
      <c r="O4" s="6" t="s">
        <v>61</v>
      </c>
      <c r="P4" s="6" t="s">
        <v>62</v>
      </c>
      <c r="Q4" s="6" t="s">
        <v>63</v>
      </c>
      <c r="R4" s="35">
        <v>15003</v>
      </c>
      <c r="S4" s="35">
        <v>4991</v>
      </c>
      <c r="T4" s="36" t="s">
        <v>50</v>
      </c>
      <c r="U4" s="46">
        <f>IF($L4&lt;=2,
IF($R4&lt;=RpmDesignStandard!$C$2,RpmDesignStandard!$D$2,
IF(AND($R4&gt;RpmDesignStandard!$B$3,$R4&lt;=RpmDesignStandard!$C$3),RpmDesignStandard!$D$3,RpmDesignStandard!$D$4)),
IF($R4&lt;=RpmDesignStandard!$C$5, RpmDesignStandard!$D$5,
IF(AND($R4&gt;RpmDesignStandard!$B$6,$R4&lt;=RpmDesignStandard!$C$6),RpmDesignStandard!$D$6,
IF(AND($R4&gt;RpmDesignStandard!$B$7,$R4&lt;=RpmDesignStandard!$C$7),RpmDesignStandard!$D$7,RpmDesignStandard!$D$8))))</f>
        <v>3</v>
      </c>
      <c r="V4" s="47">
        <f>U4*RpmDesignStandard!$H$1</f>
        <v>6</v>
      </c>
      <c r="W4" s="37" t="str">
        <f>VLOOKUP(A4,RPM_ProjectRecord!A:AB,8,FALSE)</f>
        <v/>
      </c>
      <c r="X4" s="38">
        <f t="shared" si="0"/>
        <v>2036</v>
      </c>
      <c r="Y4" s="38" t="str">
        <f t="shared" si="1"/>
        <v/>
      </c>
      <c r="Z4" s="38" t="str">
        <f t="shared" si="2"/>
        <v/>
      </c>
      <c r="AA4" s="38" t="str">
        <f t="shared" si="3"/>
        <v/>
      </c>
      <c r="AB4" s="38" t="str">
        <f t="shared" si="4"/>
        <v/>
      </c>
      <c r="AC4" s="38" t="str">
        <f>IF(VLOOKUP(A4,'3rdPhaseChipSeal'!A:L,12,FALSE)="","",VLOOKUP(A4,'3rdPhaseChipSeal'!A:L,12,FALSE))</f>
        <v/>
      </c>
      <c r="AD4" s="38">
        <f>IFERROR(IF(VLOOKUP(A4,RpmContracts!A:C,3,FALSE)="","",VLOOKUP(A4,RpmContracts!A:C,3,FALSE)),"")</f>
        <v>2027</v>
      </c>
      <c r="AE4" s="7" t="str">
        <f>IF(VLOOKUP(A4,'20yPlan'!A:B,2,FALSE)="","",VLOOKUP(A4,'20yPlan'!A:B,2,FALSE))</f>
        <v>2036 Preventive Maintenance</v>
      </c>
      <c r="AF4" s="7" t="str">
        <f>IF(VLOOKUP(A4,'20yPlan'!A:C,3,FALSE)="","",VLOOKUP(A4,'20yPlan'!A:C,3,FALSE))</f>
        <v/>
      </c>
      <c r="AG4" s="7" t="str">
        <f>IF(VLOOKUP(A4,'20yPlan'!A:D,4,FALSE)="","",VLOOKUP(A4,'20yPlan'!A:D,4,FALSE))</f>
        <v/>
      </c>
      <c r="AH4" s="7" t="str">
        <f>IF(VLOOKUP(A4,'20yPlan'!A:E,5,FALSE)="","",VLOOKUP(A4,'20yPlan'!A:E,5,FALSE))</f>
        <v/>
      </c>
      <c r="AI4" s="7" t="str">
        <f>IF(VLOOKUP(A4,'20yPlan'!A:F,6,FALSE)="","",VLOOKUP(A4,'20yPlan'!A:F,6,FALSE))</f>
        <v/>
      </c>
      <c r="AJ4" s="7" t="str">
        <f t="shared" si="5"/>
        <v/>
      </c>
      <c r="AK4" s="7" t="str">
        <f t="shared" si="6"/>
        <v>2027 RPM Replacement</v>
      </c>
      <c r="AL4" s="39">
        <f t="shared" ca="1" si="7"/>
        <v>2025</v>
      </c>
      <c r="AM4" s="7">
        <f t="shared" si="8"/>
        <v>2027</v>
      </c>
      <c r="AN4" s="7" t="str">
        <f t="shared" si="9"/>
        <v>2027 RPM Replacement</v>
      </c>
    </row>
    <row r="5" spans="1:40">
      <c r="A5" s="6">
        <v>60003</v>
      </c>
      <c r="B5" s="6" t="s">
        <v>51</v>
      </c>
      <c r="C5" s="6" t="s">
        <v>64</v>
      </c>
      <c r="D5" s="6">
        <v>20.964243</v>
      </c>
      <c r="E5" s="6">
        <v>25.540208</v>
      </c>
      <c r="F5" s="6" t="s">
        <v>60</v>
      </c>
      <c r="G5" s="6" t="s">
        <v>65</v>
      </c>
      <c r="H5" s="35">
        <v>213562</v>
      </c>
      <c r="I5" s="6" t="s">
        <v>55</v>
      </c>
      <c r="J5" s="6">
        <v>8</v>
      </c>
      <c r="K5" s="6">
        <v>2034</v>
      </c>
      <c r="L5" s="6">
        <v>4</v>
      </c>
      <c r="M5" s="6" t="s">
        <v>45</v>
      </c>
      <c r="N5" s="6" t="s">
        <v>46</v>
      </c>
      <c r="O5" s="6" t="s">
        <v>61</v>
      </c>
      <c r="P5" s="6" t="s">
        <v>66</v>
      </c>
      <c r="Q5" s="6" t="s">
        <v>67</v>
      </c>
      <c r="R5" s="35">
        <v>15539</v>
      </c>
      <c r="S5" s="35">
        <v>6135</v>
      </c>
      <c r="T5" s="36" t="s">
        <v>50</v>
      </c>
      <c r="U5" s="46">
        <f>IF($L5&lt;=2,
IF($R5&lt;=RpmDesignStandard!$C$2,RpmDesignStandard!$D$2,
IF(AND($R5&gt;RpmDesignStandard!$B$3,$R5&lt;=RpmDesignStandard!$C$3),RpmDesignStandard!$D$3,RpmDesignStandard!$D$4)),
IF($R5&lt;=RpmDesignStandard!$C$5, RpmDesignStandard!$D$5,
IF(AND($R5&gt;RpmDesignStandard!$B$6,$R5&lt;=RpmDesignStandard!$C$6),RpmDesignStandard!$D$6,
IF(AND($R5&gt;RpmDesignStandard!$B$7,$R5&lt;=RpmDesignStandard!$C$7),RpmDesignStandard!$D$7,RpmDesignStandard!$D$8))))</f>
        <v>3</v>
      </c>
      <c r="V5" s="47">
        <f>U5*RpmDesignStandard!$H$1</f>
        <v>6</v>
      </c>
      <c r="W5" s="37" t="str">
        <f>VLOOKUP(A5,RPM_ProjectRecord!A:AB,8,FALSE)</f>
        <v/>
      </c>
      <c r="X5" s="38">
        <f t="shared" si="0"/>
        <v>2034</v>
      </c>
      <c r="Y5" s="38" t="str">
        <f t="shared" si="1"/>
        <v/>
      </c>
      <c r="Z5" s="38" t="str">
        <f t="shared" si="2"/>
        <v/>
      </c>
      <c r="AA5" s="38" t="str">
        <f t="shared" si="3"/>
        <v/>
      </c>
      <c r="AB5" s="38" t="str">
        <f t="shared" si="4"/>
        <v/>
      </c>
      <c r="AC5" s="38" t="str">
        <f>IF(VLOOKUP(A5,'3rdPhaseChipSeal'!A:L,12,FALSE)="","",VLOOKUP(A5,'3rdPhaseChipSeal'!A:L,12,FALSE))</f>
        <v/>
      </c>
      <c r="AD5" s="38">
        <f>IFERROR(IF(VLOOKUP(A5,RpmContracts!A:C,3,FALSE)="","",VLOOKUP(A5,RpmContracts!A:C,3,FALSE)),"")</f>
        <v>2027</v>
      </c>
      <c r="AE5" s="7" t="str">
        <f>IF(VLOOKUP(A5,'20yPlan'!A:B,2,FALSE)="","",VLOOKUP(A5,'20yPlan'!A:B,2,FALSE))</f>
        <v>2034 Preventive Maintenance</v>
      </c>
      <c r="AF5" s="7" t="str">
        <f>IF(VLOOKUP(A5,'20yPlan'!A:C,3,FALSE)="","",VLOOKUP(A5,'20yPlan'!A:C,3,FALSE))</f>
        <v/>
      </c>
      <c r="AG5" s="7" t="str">
        <f>IF(VLOOKUP(A5,'20yPlan'!A:D,4,FALSE)="","",VLOOKUP(A5,'20yPlan'!A:D,4,FALSE))</f>
        <v/>
      </c>
      <c r="AH5" s="7" t="str">
        <f>IF(VLOOKUP(A5,'20yPlan'!A:E,5,FALSE)="","",VLOOKUP(A5,'20yPlan'!A:E,5,FALSE))</f>
        <v/>
      </c>
      <c r="AI5" s="7" t="str">
        <f>IF(VLOOKUP(A5,'20yPlan'!A:F,6,FALSE)="","",VLOOKUP(A5,'20yPlan'!A:F,6,FALSE))</f>
        <v/>
      </c>
      <c r="AJ5" s="7" t="str">
        <f t="shared" si="5"/>
        <v/>
      </c>
      <c r="AK5" s="7" t="str">
        <f t="shared" si="6"/>
        <v>2027 RPM Replacement</v>
      </c>
      <c r="AL5" s="39">
        <f t="shared" ca="1" si="7"/>
        <v>2025</v>
      </c>
      <c r="AM5" s="7">
        <f t="shared" si="8"/>
        <v>2027</v>
      </c>
      <c r="AN5" s="7" t="str">
        <f t="shared" si="9"/>
        <v>2027 RPM Replacement</v>
      </c>
    </row>
    <row r="6" spans="1:40">
      <c r="A6" s="6">
        <v>60004</v>
      </c>
      <c r="B6" s="6" t="s">
        <v>51</v>
      </c>
      <c r="C6" s="6" t="s">
        <v>68</v>
      </c>
      <c r="D6" s="6">
        <v>25.540208</v>
      </c>
      <c r="E6" s="6">
        <v>29.848814999999998</v>
      </c>
      <c r="F6" s="6" t="s">
        <v>65</v>
      </c>
      <c r="G6" s="6" t="s">
        <v>69</v>
      </c>
      <c r="H6" s="35">
        <v>208325</v>
      </c>
      <c r="I6" s="6" t="s">
        <v>55</v>
      </c>
      <c r="J6" s="6">
        <v>11</v>
      </c>
      <c r="K6" s="6">
        <v>2025</v>
      </c>
      <c r="L6" s="6">
        <v>4</v>
      </c>
      <c r="M6" s="6" t="s">
        <v>45</v>
      </c>
      <c r="N6" s="6" t="s">
        <v>46</v>
      </c>
      <c r="O6" s="6" t="s">
        <v>61</v>
      </c>
      <c r="P6" s="6" t="s">
        <v>70</v>
      </c>
      <c r="Q6" s="6" t="s">
        <v>71</v>
      </c>
      <c r="R6" s="35">
        <v>19060</v>
      </c>
      <c r="S6" s="35">
        <v>12948</v>
      </c>
      <c r="T6" s="36" t="s">
        <v>50</v>
      </c>
      <c r="U6" s="46">
        <f>IF($L6&lt;=2,
IF($R6&lt;=RpmDesignStandard!$C$2,RpmDesignStandard!$D$2,
IF(AND($R6&gt;RpmDesignStandard!$B$3,$R6&lt;=RpmDesignStandard!$C$3),RpmDesignStandard!$D$3,RpmDesignStandard!$D$4)),
IF($R6&lt;=RpmDesignStandard!$C$5, RpmDesignStandard!$D$5,
IF(AND($R6&gt;RpmDesignStandard!$B$6,$R6&lt;=RpmDesignStandard!$C$6),RpmDesignStandard!$D$6,
IF(AND($R6&gt;RpmDesignStandard!$B$7,$R6&lt;=RpmDesignStandard!$C$7),RpmDesignStandard!$D$7,RpmDesignStandard!$D$8))))</f>
        <v>3</v>
      </c>
      <c r="V6" s="47">
        <f>U6*RpmDesignStandard!$H$1</f>
        <v>6</v>
      </c>
      <c r="W6" s="37" t="str">
        <f>VLOOKUP(A6,RPM_ProjectRecord!A:AB,8,FALSE)</f>
        <v/>
      </c>
      <c r="X6" s="38">
        <f t="shared" si="0"/>
        <v>2039</v>
      </c>
      <c r="Y6" s="38" t="str">
        <f t="shared" si="1"/>
        <v/>
      </c>
      <c r="Z6" s="38" t="str">
        <f t="shared" si="2"/>
        <v/>
      </c>
      <c r="AA6" s="38" t="str">
        <f t="shared" si="3"/>
        <v/>
      </c>
      <c r="AB6" s="38" t="str">
        <f t="shared" si="4"/>
        <v/>
      </c>
      <c r="AC6" s="38" t="str">
        <f>IF(VLOOKUP(A6,'3rdPhaseChipSeal'!A:L,12,FALSE)="","",VLOOKUP(A6,'3rdPhaseChipSeal'!A:L,12,FALSE))</f>
        <v/>
      </c>
      <c r="AD6" s="38">
        <f>IFERROR(IF(VLOOKUP(A6,RpmContracts!A:C,3,FALSE)="","",VLOOKUP(A6,RpmContracts!A:C,3,FALSE)),"")</f>
        <v>2027</v>
      </c>
      <c r="AE6" s="7" t="str">
        <f>IF(VLOOKUP(A6,'20yPlan'!A:B,2,FALSE)="","",VLOOKUP(A6,'20yPlan'!A:B,2,FALSE))</f>
        <v>2039 Minor Structural</v>
      </c>
      <c r="AF6" s="7" t="str">
        <f>IF(VLOOKUP(A6,'20yPlan'!A:C,3,FALSE)="","",VLOOKUP(A6,'20yPlan'!A:C,3,FALSE))</f>
        <v/>
      </c>
      <c r="AG6" s="7" t="str">
        <f>IF(VLOOKUP(A6,'20yPlan'!A:D,4,FALSE)="","",VLOOKUP(A6,'20yPlan'!A:D,4,FALSE))</f>
        <v/>
      </c>
      <c r="AH6" s="7" t="str">
        <f>IF(VLOOKUP(A6,'20yPlan'!A:E,5,FALSE)="","",VLOOKUP(A6,'20yPlan'!A:E,5,FALSE))</f>
        <v/>
      </c>
      <c r="AI6" s="7" t="str">
        <f>IF(VLOOKUP(A6,'20yPlan'!A:F,6,FALSE)="","",VLOOKUP(A6,'20yPlan'!A:F,6,FALSE))</f>
        <v/>
      </c>
      <c r="AJ6" s="7" t="str">
        <f t="shared" si="5"/>
        <v/>
      </c>
      <c r="AK6" s="7" t="str">
        <f t="shared" si="6"/>
        <v>2027 RPM Replacement</v>
      </c>
      <c r="AL6" s="39">
        <f t="shared" ca="1" si="7"/>
        <v>2025</v>
      </c>
      <c r="AM6" s="7">
        <f t="shared" si="8"/>
        <v>2027</v>
      </c>
      <c r="AN6" s="7" t="str">
        <f t="shared" si="9"/>
        <v>2027 RPM Replacement</v>
      </c>
    </row>
    <row r="7" spans="1:40">
      <c r="A7" s="6">
        <v>60005</v>
      </c>
      <c r="B7" s="6" t="s">
        <v>51</v>
      </c>
      <c r="C7" s="6" t="s">
        <v>72</v>
      </c>
      <c r="D7" s="6">
        <v>29.848814999999998</v>
      </c>
      <c r="E7" s="6">
        <v>39.713037999999997</v>
      </c>
      <c r="F7" s="6" t="s">
        <v>69</v>
      </c>
      <c r="G7" s="6" t="s">
        <v>73</v>
      </c>
      <c r="H7" s="35">
        <v>469394</v>
      </c>
      <c r="I7" s="6" t="s">
        <v>55</v>
      </c>
      <c r="J7" s="6">
        <v>9</v>
      </c>
      <c r="K7" s="6">
        <v>2030</v>
      </c>
      <c r="L7" s="6">
        <v>4</v>
      </c>
      <c r="M7" s="6" t="s">
        <v>45</v>
      </c>
      <c r="N7" s="6" t="s">
        <v>46</v>
      </c>
      <c r="O7" s="6" t="s">
        <v>74</v>
      </c>
      <c r="P7" s="6" t="s">
        <v>75</v>
      </c>
      <c r="Q7" s="6" t="s">
        <v>76</v>
      </c>
      <c r="R7" s="35">
        <v>17394</v>
      </c>
      <c r="S7" s="35">
        <v>6116</v>
      </c>
      <c r="T7" s="36" t="s">
        <v>50</v>
      </c>
      <c r="U7" s="46">
        <f>IF($L7&lt;=2,
IF($R7&lt;=RpmDesignStandard!$C$2,RpmDesignStandard!$D$2,
IF(AND($R7&gt;RpmDesignStandard!$B$3,$R7&lt;=RpmDesignStandard!$C$3),RpmDesignStandard!$D$3,RpmDesignStandard!$D$4)),
IF($R7&lt;=RpmDesignStandard!$C$5, RpmDesignStandard!$D$5,
IF(AND($R7&gt;RpmDesignStandard!$B$6,$R7&lt;=RpmDesignStandard!$C$6),RpmDesignStandard!$D$6,
IF(AND($R7&gt;RpmDesignStandard!$B$7,$R7&lt;=RpmDesignStandard!$C$7),RpmDesignStandard!$D$7,RpmDesignStandard!$D$8))))</f>
        <v>3</v>
      </c>
      <c r="V7" s="47">
        <f>U7*RpmDesignStandard!$H$1</f>
        <v>6</v>
      </c>
      <c r="W7" s="37" t="str">
        <f>VLOOKUP(A7,RPM_ProjectRecord!A:AB,8,FALSE)</f>
        <v/>
      </c>
      <c r="X7" s="38">
        <f t="shared" si="0"/>
        <v>2030</v>
      </c>
      <c r="Y7" s="38" t="str">
        <f t="shared" si="1"/>
        <v/>
      </c>
      <c r="Z7" s="38" t="str">
        <f t="shared" si="2"/>
        <v/>
      </c>
      <c r="AA7" s="38" t="str">
        <f t="shared" si="3"/>
        <v/>
      </c>
      <c r="AB7" s="38" t="str">
        <f t="shared" si="4"/>
        <v/>
      </c>
      <c r="AC7" s="38" t="str">
        <f>IF(VLOOKUP(A7,'3rdPhaseChipSeal'!A:L,12,FALSE)="","",VLOOKUP(A7,'3rdPhaseChipSeal'!A:L,12,FALSE))</f>
        <v/>
      </c>
      <c r="AD7" s="38">
        <f>IFERROR(IF(VLOOKUP(A7,RpmContracts!A:C,3,FALSE)="","",VLOOKUP(A7,RpmContracts!A:C,3,FALSE)),"")</f>
        <v>2027</v>
      </c>
      <c r="AE7" s="7" t="str">
        <f>IF(VLOOKUP(A7,'20yPlan'!A:B,2,FALSE)="","",VLOOKUP(A7,'20yPlan'!A:B,2,FALSE))</f>
        <v>2030 Minor Structural</v>
      </c>
      <c r="AF7" s="7" t="str">
        <f>IF(VLOOKUP(A7,'20yPlan'!A:C,3,FALSE)="","",VLOOKUP(A7,'20yPlan'!A:C,3,FALSE))</f>
        <v/>
      </c>
      <c r="AG7" s="7" t="str">
        <f>IF(VLOOKUP(A7,'20yPlan'!A:D,4,FALSE)="","",VLOOKUP(A7,'20yPlan'!A:D,4,FALSE))</f>
        <v/>
      </c>
      <c r="AH7" s="7" t="str">
        <f>IF(VLOOKUP(A7,'20yPlan'!A:E,5,FALSE)="","",VLOOKUP(A7,'20yPlan'!A:E,5,FALSE))</f>
        <v/>
      </c>
      <c r="AI7" s="7" t="str">
        <f>IF(VLOOKUP(A7,'20yPlan'!A:F,6,FALSE)="","",VLOOKUP(A7,'20yPlan'!A:F,6,FALSE))</f>
        <v/>
      </c>
      <c r="AJ7" s="7" t="str">
        <f t="shared" si="5"/>
        <v/>
      </c>
      <c r="AK7" s="7" t="str">
        <f t="shared" si="6"/>
        <v>2027 RPM Replacement</v>
      </c>
      <c r="AL7" s="39">
        <f t="shared" ca="1" si="7"/>
        <v>2025</v>
      </c>
      <c r="AM7" s="7">
        <f t="shared" si="8"/>
        <v>2027</v>
      </c>
      <c r="AN7" s="7" t="str">
        <f t="shared" si="9"/>
        <v>2027 RPM Replacement</v>
      </c>
    </row>
    <row r="8" spans="1:40">
      <c r="A8" s="6">
        <v>60006</v>
      </c>
      <c r="B8" s="6" t="s">
        <v>51</v>
      </c>
      <c r="C8" s="6" t="s">
        <v>77</v>
      </c>
      <c r="D8" s="6">
        <v>39.713037999999997</v>
      </c>
      <c r="E8" s="6">
        <v>48.674880999999999</v>
      </c>
      <c r="F8" s="6" t="s">
        <v>73</v>
      </c>
      <c r="G8" s="6" t="s">
        <v>78</v>
      </c>
      <c r="H8" s="35">
        <v>437846</v>
      </c>
      <c r="I8" s="6" t="s">
        <v>55</v>
      </c>
      <c r="J8" s="6">
        <v>1</v>
      </c>
      <c r="K8" s="6">
        <v>2038</v>
      </c>
      <c r="L8" s="6">
        <v>4</v>
      </c>
      <c r="M8" s="6" t="s">
        <v>45</v>
      </c>
      <c r="N8" s="6" t="s">
        <v>46</v>
      </c>
      <c r="O8" s="6" t="s">
        <v>79</v>
      </c>
      <c r="P8" s="6" t="s">
        <v>80</v>
      </c>
      <c r="Q8" s="6" t="s">
        <v>81</v>
      </c>
      <c r="R8" s="35">
        <v>17458</v>
      </c>
      <c r="S8" s="35">
        <v>6486</v>
      </c>
      <c r="T8" s="36" t="s">
        <v>50</v>
      </c>
      <c r="U8" s="46">
        <f>IF($L8&lt;=2,
IF($R8&lt;=RpmDesignStandard!$C$2,RpmDesignStandard!$D$2,
IF(AND($R8&gt;RpmDesignStandard!$B$3,$R8&lt;=RpmDesignStandard!$C$3),RpmDesignStandard!$D$3,RpmDesignStandard!$D$4)),
IF($R8&lt;=RpmDesignStandard!$C$5, RpmDesignStandard!$D$5,
IF(AND($R8&gt;RpmDesignStandard!$B$6,$R8&lt;=RpmDesignStandard!$C$6),RpmDesignStandard!$D$6,
IF(AND($R8&gt;RpmDesignStandard!$B$7,$R8&lt;=RpmDesignStandard!$C$7),RpmDesignStandard!$D$7,RpmDesignStandard!$D$8))))</f>
        <v>3</v>
      </c>
      <c r="V8" s="47">
        <f>U8*RpmDesignStandard!$H$1</f>
        <v>6</v>
      </c>
      <c r="W8" s="37">
        <f>VLOOKUP(A8,RPM_ProjectRecord!A:AB,8,FALSE)</f>
        <v>2022</v>
      </c>
      <c r="X8" s="38">
        <f t="shared" si="0"/>
        <v>2038</v>
      </c>
      <c r="Y8" s="38" t="str">
        <f t="shared" si="1"/>
        <v/>
      </c>
      <c r="Z8" s="38" t="str">
        <f t="shared" si="2"/>
        <v/>
      </c>
      <c r="AA8" s="38" t="str">
        <f t="shared" si="3"/>
        <v/>
      </c>
      <c r="AB8" s="38" t="str">
        <f t="shared" si="4"/>
        <v/>
      </c>
      <c r="AC8" s="38" t="str">
        <f>IF(VLOOKUP(A8,'3rdPhaseChipSeal'!A:L,12,FALSE)="","",VLOOKUP(A8,'3rdPhaseChipSeal'!A:L,12,FALSE))</f>
        <v/>
      </c>
      <c r="AD8" s="38">
        <f>IFERROR(IF(VLOOKUP(A8,RpmContracts!A:C,3,FALSE)="","",VLOOKUP(A8,RpmContracts!A:C,3,FALSE)),"")</f>
        <v>2027</v>
      </c>
      <c r="AE8" s="7" t="str">
        <f>IF(VLOOKUP(A8,'20yPlan'!A:B,2,FALSE)="","",VLOOKUP(A8,'20yPlan'!A:B,2,FALSE))</f>
        <v>2038 Preventive Maintenance</v>
      </c>
      <c r="AF8" s="7" t="str">
        <f>IF(VLOOKUP(A8,'20yPlan'!A:C,3,FALSE)="","",VLOOKUP(A8,'20yPlan'!A:C,3,FALSE))</f>
        <v/>
      </c>
      <c r="AG8" s="7" t="str">
        <f>IF(VLOOKUP(A8,'20yPlan'!A:D,4,FALSE)="","",VLOOKUP(A8,'20yPlan'!A:D,4,FALSE))</f>
        <v/>
      </c>
      <c r="AH8" s="7" t="str">
        <f>IF(VLOOKUP(A8,'20yPlan'!A:E,5,FALSE)="","",VLOOKUP(A8,'20yPlan'!A:E,5,FALSE))</f>
        <v/>
      </c>
      <c r="AI8" s="7" t="str">
        <f>IF(VLOOKUP(A8,'20yPlan'!A:F,6,FALSE)="","",VLOOKUP(A8,'20yPlan'!A:F,6,FALSE))</f>
        <v/>
      </c>
      <c r="AJ8" s="7" t="str">
        <f t="shared" si="5"/>
        <v/>
      </c>
      <c r="AK8" s="7" t="str">
        <f t="shared" si="6"/>
        <v>2027 RPM Replacement</v>
      </c>
      <c r="AL8" s="39">
        <f t="shared" ca="1" si="7"/>
        <v>2025</v>
      </c>
      <c r="AM8" s="7">
        <f t="shared" si="8"/>
        <v>2027</v>
      </c>
      <c r="AN8" s="7" t="str">
        <f t="shared" si="9"/>
        <v>2027 RPM Replacement</v>
      </c>
    </row>
    <row r="9" spans="1:40">
      <c r="A9" s="6">
        <v>60007</v>
      </c>
      <c r="B9" s="6" t="s">
        <v>51</v>
      </c>
      <c r="C9" s="6" t="s">
        <v>82</v>
      </c>
      <c r="D9" s="6">
        <v>48.674880999999999</v>
      </c>
      <c r="E9" s="6">
        <v>57.249263999999997</v>
      </c>
      <c r="F9" s="6" t="s">
        <v>78</v>
      </c>
      <c r="G9" s="6" t="s">
        <v>83</v>
      </c>
      <c r="H9" s="35">
        <v>405427</v>
      </c>
      <c r="I9" s="6" t="s">
        <v>55</v>
      </c>
      <c r="J9" s="6">
        <v>6</v>
      </c>
      <c r="K9" s="6">
        <v>2030</v>
      </c>
      <c r="L9" s="6">
        <v>4</v>
      </c>
      <c r="M9" s="6" t="s">
        <v>45</v>
      </c>
      <c r="N9" s="6" t="s">
        <v>46</v>
      </c>
      <c r="O9" s="6" t="s">
        <v>84</v>
      </c>
      <c r="P9" s="6" t="s">
        <v>85</v>
      </c>
      <c r="Q9" s="6" t="s">
        <v>81</v>
      </c>
      <c r="R9" s="35">
        <v>16956</v>
      </c>
      <c r="S9" s="35">
        <v>5780</v>
      </c>
      <c r="T9" s="36" t="s">
        <v>50</v>
      </c>
      <c r="U9" s="46">
        <f>IF($L9&lt;=2,
IF($R9&lt;=RpmDesignStandard!$C$2,RpmDesignStandard!$D$2,
IF(AND($R9&gt;RpmDesignStandard!$B$3,$R9&lt;=RpmDesignStandard!$C$3),RpmDesignStandard!$D$3,RpmDesignStandard!$D$4)),
IF($R9&lt;=RpmDesignStandard!$C$5, RpmDesignStandard!$D$5,
IF(AND($R9&gt;RpmDesignStandard!$B$6,$R9&lt;=RpmDesignStandard!$C$6),RpmDesignStandard!$D$6,
IF(AND($R9&gt;RpmDesignStandard!$B$7,$R9&lt;=RpmDesignStandard!$C$7),RpmDesignStandard!$D$7,RpmDesignStandard!$D$8))))</f>
        <v>3</v>
      </c>
      <c r="V9" s="47">
        <f>U9*RpmDesignStandard!$H$1</f>
        <v>6</v>
      </c>
      <c r="W9" s="37" t="str">
        <f>VLOOKUP(A9,RPM_ProjectRecord!A:AB,8,FALSE)</f>
        <v/>
      </c>
      <c r="X9" s="38">
        <f t="shared" si="0"/>
        <v>2030</v>
      </c>
      <c r="Y9" s="38" t="str">
        <f t="shared" si="1"/>
        <v/>
      </c>
      <c r="Z9" s="38" t="str">
        <f t="shared" si="2"/>
        <v/>
      </c>
      <c r="AA9" s="38" t="str">
        <f t="shared" si="3"/>
        <v/>
      </c>
      <c r="AB9" s="38" t="str">
        <f t="shared" si="4"/>
        <v/>
      </c>
      <c r="AC9" s="38" t="str">
        <f>IF(VLOOKUP(A9,'3rdPhaseChipSeal'!A:L,12,FALSE)="","",VLOOKUP(A9,'3rdPhaseChipSeal'!A:L,12,FALSE))</f>
        <v/>
      </c>
      <c r="AD9" s="38">
        <f>IFERROR(IF(VLOOKUP(A9,RpmContracts!A:C,3,FALSE)="","",VLOOKUP(A9,RpmContracts!A:C,3,FALSE)),"")</f>
        <v>2027</v>
      </c>
      <c r="AE9" s="7" t="str">
        <f>IF(VLOOKUP(A9,'20yPlan'!A:B,2,FALSE)="","",VLOOKUP(A9,'20yPlan'!A:B,2,FALSE))</f>
        <v>2030 Minor Structural</v>
      </c>
      <c r="AF9" s="7" t="str">
        <f>IF(VLOOKUP(A9,'20yPlan'!A:C,3,FALSE)="","",VLOOKUP(A9,'20yPlan'!A:C,3,FALSE))</f>
        <v/>
      </c>
      <c r="AG9" s="7" t="str">
        <f>IF(VLOOKUP(A9,'20yPlan'!A:D,4,FALSE)="","",VLOOKUP(A9,'20yPlan'!A:D,4,FALSE))</f>
        <v/>
      </c>
      <c r="AH9" s="7" t="str">
        <f>IF(VLOOKUP(A9,'20yPlan'!A:E,5,FALSE)="","",VLOOKUP(A9,'20yPlan'!A:E,5,FALSE))</f>
        <v/>
      </c>
      <c r="AI9" s="7" t="str">
        <f>IF(VLOOKUP(A9,'20yPlan'!A:F,6,FALSE)="","",VLOOKUP(A9,'20yPlan'!A:F,6,FALSE))</f>
        <v/>
      </c>
      <c r="AJ9" s="7" t="str">
        <f t="shared" si="5"/>
        <v/>
      </c>
      <c r="AK9" s="7" t="str">
        <f t="shared" si="6"/>
        <v>2027 RPM Replacement</v>
      </c>
      <c r="AL9" s="39">
        <f t="shared" ca="1" si="7"/>
        <v>2025</v>
      </c>
      <c r="AM9" s="7">
        <f t="shared" si="8"/>
        <v>2027</v>
      </c>
      <c r="AN9" s="7" t="str">
        <f t="shared" si="9"/>
        <v>2027 RPM Replacement</v>
      </c>
    </row>
    <row r="10" spans="1:40">
      <c r="A10" s="6">
        <v>60008</v>
      </c>
      <c r="B10" s="6" t="s">
        <v>51</v>
      </c>
      <c r="C10" s="6" t="s">
        <v>86</v>
      </c>
      <c r="D10" s="6">
        <v>57.249263999999997</v>
      </c>
      <c r="E10" s="6">
        <v>65.948629999999994</v>
      </c>
      <c r="F10" s="6" t="s">
        <v>83</v>
      </c>
      <c r="G10" s="6" t="s">
        <v>87</v>
      </c>
      <c r="H10" s="35">
        <v>412860</v>
      </c>
      <c r="I10" s="6" t="s">
        <v>55</v>
      </c>
      <c r="J10" s="6">
        <v>6</v>
      </c>
      <c r="K10" s="6">
        <v>2035</v>
      </c>
      <c r="L10" s="6">
        <v>4</v>
      </c>
      <c r="M10" s="6" t="s">
        <v>45</v>
      </c>
      <c r="N10" s="6" t="s">
        <v>46</v>
      </c>
      <c r="O10" s="6" t="s">
        <v>79</v>
      </c>
      <c r="P10" s="6" t="s">
        <v>88</v>
      </c>
      <c r="Q10" s="6" t="s">
        <v>89</v>
      </c>
      <c r="R10" s="35">
        <v>16523</v>
      </c>
      <c r="S10" s="35">
        <v>6112</v>
      </c>
      <c r="T10" s="36" t="s">
        <v>50</v>
      </c>
      <c r="U10" s="46">
        <f>IF($L10&lt;=2,
IF($R10&lt;=RpmDesignStandard!$C$2,RpmDesignStandard!$D$2,
IF(AND($R10&gt;RpmDesignStandard!$B$3,$R10&lt;=RpmDesignStandard!$C$3),RpmDesignStandard!$D$3,RpmDesignStandard!$D$4)),
IF($R10&lt;=RpmDesignStandard!$C$5, RpmDesignStandard!$D$5,
IF(AND($R10&gt;RpmDesignStandard!$B$6,$R10&lt;=RpmDesignStandard!$C$6),RpmDesignStandard!$D$6,
IF(AND($R10&gt;RpmDesignStandard!$B$7,$R10&lt;=RpmDesignStandard!$C$7),RpmDesignStandard!$D$7,RpmDesignStandard!$D$8))))</f>
        <v>3</v>
      </c>
      <c r="V10" s="47">
        <f>U10*RpmDesignStandard!$H$1</f>
        <v>6</v>
      </c>
      <c r="W10" s="37" t="str">
        <f>VLOOKUP(A10,RPM_ProjectRecord!A:AB,8,FALSE)</f>
        <v/>
      </c>
      <c r="X10" s="38">
        <f t="shared" si="0"/>
        <v>2035</v>
      </c>
      <c r="Y10" s="38" t="str">
        <f t="shared" si="1"/>
        <v/>
      </c>
      <c r="Z10" s="38" t="str">
        <f t="shared" si="2"/>
        <v/>
      </c>
      <c r="AA10" s="38" t="str">
        <f t="shared" si="3"/>
        <v/>
      </c>
      <c r="AB10" s="38" t="str">
        <f t="shared" si="4"/>
        <v/>
      </c>
      <c r="AC10" s="38" t="str">
        <f>IF(VLOOKUP(A10,'3rdPhaseChipSeal'!A:L,12,FALSE)="","",VLOOKUP(A10,'3rdPhaseChipSeal'!A:L,12,FALSE))</f>
        <v/>
      </c>
      <c r="AD10" s="38">
        <f>IFERROR(IF(VLOOKUP(A10,RpmContracts!A:C,3,FALSE)="","",VLOOKUP(A10,RpmContracts!A:C,3,FALSE)),"")</f>
        <v>2027</v>
      </c>
      <c r="AE10" s="7" t="str">
        <f>IF(VLOOKUP(A10,'20yPlan'!A:B,2,FALSE)="","",VLOOKUP(A10,'20yPlan'!A:B,2,FALSE))</f>
        <v>2035 Preventive Maintenance</v>
      </c>
      <c r="AF10" s="7" t="str">
        <f>IF(VLOOKUP(A10,'20yPlan'!A:C,3,FALSE)="","",VLOOKUP(A10,'20yPlan'!A:C,3,FALSE))</f>
        <v/>
      </c>
      <c r="AG10" s="7" t="str">
        <f>IF(VLOOKUP(A10,'20yPlan'!A:D,4,FALSE)="","",VLOOKUP(A10,'20yPlan'!A:D,4,FALSE))</f>
        <v/>
      </c>
      <c r="AH10" s="7" t="str">
        <f>IF(VLOOKUP(A10,'20yPlan'!A:E,5,FALSE)="","",VLOOKUP(A10,'20yPlan'!A:E,5,FALSE))</f>
        <v/>
      </c>
      <c r="AI10" s="7" t="str">
        <f>IF(VLOOKUP(A10,'20yPlan'!A:F,6,FALSE)="","",VLOOKUP(A10,'20yPlan'!A:F,6,FALSE))</f>
        <v/>
      </c>
      <c r="AJ10" s="7" t="str">
        <f t="shared" si="5"/>
        <v/>
      </c>
      <c r="AK10" s="7" t="str">
        <f t="shared" si="6"/>
        <v>2027 RPM Replacement</v>
      </c>
      <c r="AL10" s="39">
        <f t="shared" ca="1" si="7"/>
        <v>2025</v>
      </c>
      <c r="AM10" s="7">
        <f t="shared" si="8"/>
        <v>2027</v>
      </c>
      <c r="AN10" s="7" t="str">
        <f t="shared" si="9"/>
        <v>2027 RPM Replacement</v>
      </c>
    </row>
    <row r="11" spans="1:40">
      <c r="A11" s="6">
        <v>60009</v>
      </c>
      <c r="B11" s="6" t="s">
        <v>51</v>
      </c>
      <c r="C11" s="6" t="s">
        <v>90</v>
      </c>
      <c r="D11" s="6">
        <v>65.948629999999994</v>
      </c>
      <c r="E11" s="6">
        <v>71.729364000000004</v>
      </c>
      <c r="F11" s="6" t="s">
        <v>87</v>
      </c>
      <c r="G11" s="6" t="s">
        <v>91</v>
      </c>
      <c r="H11" s="35">
        <v>278987</v>
      </c>
      <c r="I11" s="6" t="s">
        <v>55</v>
      </c>
      <c r="J11" s="6">
        <v>14</v>
      </c>
      <c r="K11" s="6">
        <v>2025</v>
      </c>
      <c r="L11" s="6">
        <v>4</v>
      </c>
      <c r="M11" s="6" t="s">
        <v>45</v>
      </c>
      <c r="N11" s="6" t="s">
        <v>46</v>
      </c>
      <c r="O11" s="6" t="s">
        <v>79</v>
      </c>
      <c r="P11" s="6" t="s">
        <v>92</v>
      </c>
      <c r="Q11" s="6" t="s">
        <v>93</v>
      </c>
      <c r="R11" s="35">
        <v>17112</v>
      </c>
      <c r="S11" s="35">
        <v>5662</v>
      </c>
      <c r="T11" s="36" t="s">
        <v>50</v>
      </c>
      <c r="U11" s="46">
        <f>IF($L11&lt;=2,
IF($R11&lt;=RpmDesignStandard!$C$2,RpmDesignStandard!$D$2,
IF(AND($R11&gt;RpmDesignStandard!$B$3,$R11&lt;=RpmDesignStandard!$C$3),RpmDesignStandard!$D$3,RpmDesignStandard!$D$4)),
IF($R11&lt;=RpmDesignStandard!$C$5, RpmDesignStandard!$D$5,
IF(AND($R11&gt;RpmDesignStandard!$B$6,$R11&lt;=RpmDesignStandard!$C$6),RpmDesignStandard!$D$6,
IF(AND($R11&gt;RpmDesignStandard!$B$7,$R11&lt;=RpmDesignStandard!$C$7),RpmDesignStandard!$D$7,RpmDesignStandard!$D$8))))</f>
        <v>3</v>
      </c>
      <c r="V11" s="47">
        <f>U11*RpmDesignStandard!$H$1</f>
        <v>6</v>
      </c>
      <c r="W11" s="37" t="str">
        <f>VLOOKUP(A11,RPM_ProjectRecord!A:AB,8,FALSE)</f>
        <v/>
      </c>
      <c r="X11" s="38">
        <f t="shared" si="0"/>
        <v>2040</v>
      </c>
      <c r="Y11" s="38" t="str">
        <f t="shared" si="1"/>
        <v/>
      </c>
      <c r="Z11" s="38" t="str">
        <f t="shared" si="2"/>
        <v/>
      </c>
      <c r="AA11" s="38" t="str">
        <f t="shared" si="3"/>
        <v/>
      </c>
      <c r="AB11" s="38" t="str">
        <f t="shared" si="4"/>
        <v/>
      </c>
      <c r="AC11" s="38" t="str">
        <f>IF(VLOOKUP(A11,'3rdPhaseChipSeal'!A:L,12,FALSE)="","",VLOOKUP(A11,'3rdPhaseChipSeal'!A:L,12,FALSE))</f>
        <v/>
      </c>
      <c r="AD11" s="38">
        <f>IFERROR(IF(VLOOKUP(A11,RpmContracts!A:C,3,FALSE)="","",VLOOKUP(A11,RpmContracts!A:C,3,FALSE)),"")</f>
        <v>2027</v>
      </c>
      <c r="AE11" s="7" t="str">
        <f>IF(VLOOKUP(A11,'20yPlan'!A:B,2,FALSE)="","",VLOOKUP(A11,'20yPlan'!A:B,2,FALSE))</f>
        <v>2040 Preventive Maintenance</v>
      </c>
      <c r="AF11" s="7" t="str">
        <f>IF(VLOOKUP(A11,'20yPlan'!A:C,3,FALSE)="","",VLOOKUP(A11,'20yPlan'!A:C,3,FALSE))</f>
        <v/>
      </c>
      <c r="AG11" s="7" t="str">
        <f>IF(VLOOKUP(A11,'20yPlan'!A:D,4,FALSE)="","",VLOOKUP(A11,'20yPlan'!A:D,4,FALSE))</f>
        <v/>
      </c>
      <c r="AH11" s="7" t="str">
        <f>IF(VLOOKUP(A11,'20yPlan'!A:E,5,FALSE)="","",VLOOKUP(A11,'20yPlan'!A:E,5,FALSE))</f>
        <v/>
      </c>
      <c r="AI11" s="7" t="str">
        <f>IF(VLOOKUP(A11,'20yPlan'!A:F,6,FALSE)="","",VLOOKUP(A11,'20yPlan'!A:F,6,FALSE))</f>
        <v/>
      </c>
      <c r="AJ11" s="7" t="str">
        <f t="shared" si="5"/>
        <v/>
      </c>
      <c r="AK11" s="7" t="str">
        <f t="shared" si="6"/>
        <v>2027 RPM Replacement</v>
      </c>
      <c r="AL11" s="39">
        <f t="shared" ca="1" si="7"/>
        <v>2025</v>
      </c>
      <c r="AM11" s="7">
        <f t="shared" si="8"/>
        <v>2027</v>
      </c>
      <c r="AN11" s="7" t="str">
        <f t="shared" si="9"/>
        <v>2027 RPM Replacement</v>
      </c>
    </row>
    <row r="12" spans="1:40">
      <c r="A12" s="6">
        <v>60010</v>
      </c>
      <c r="B12" s="6" t="s">
        <v>51</v>
      </c>
      <c r="C12" s="6" t="s">
        <v>94</v>
      </c>
      <c r="D12" s="6">
        <v>71.729364000000004</v>
      </c>
      <c r="E12" s="6">
        <v>78.077107999999996</v>
      </c>
      <c r="F12" s="6" t="s">
        <v>91</v>
      </c>
      <c r="G12" s="6" t="s">
        <v>95</v>
      </c>
      <c r="H12" s="35">
        <v>310405</v>
      </c>
      <c r="I12" s="6" t="s">
        <v>55</v>
      </c>
      <c r="J12" s="6">
        <v>6</v>
      </c>
      <c r="K12" s="6">
        <v>2034</v>
      </c>
      <c r="L12" s="6">
        <v>4</v>
      </c>
      <c r="M12" s="6" t="s">
        <v>45</v>
      </c>
      <c r="N12" s="6" t="s">
        <v>46</v>
      </c>
      <c r="O12" s="6" t="s">
        <v>79</v>
      </c>
      <c r="P12" s="6" t="s">
        <v>92</v>
      </c>
      <c r="Q12" s="6" t="s">
        <v>96</v>
      </c>
      <c r="R12" s="35">
        <v>16328</v>
      </c>
      <c r="S12" s="35">
        <v>6350</v>
      </c>
      <c r="T12" s="36" t="s">
        <v>50</v>
      </c>
      <c r="U12" s="46">
        <f>IF($L12&lt;=2,
IF($R12&lt;=RpmDesignStandard!$C$2,RpmDesignStandard!$D$2,
IF(AND($R12&gt;RpmDesignStandard!$B$3,$R12&lt;=RpmDesignStandard!$C$3),RpmDesignStandard!$D$3,RpmDesignStandard!$D$4)),
IF($R12&lt;=RpmDesignStandard!$C$5, RpmDesignStandard!$D$5,
IF(AND($R12&gt;RpmDesignStandard!$B$6,$R12&lt;=RpmDesignStandard!$C$6),RpmDesignStandard!$D$6,
IF(AND($R12&gt;RpmDesignStandard!$B$7,$R12&lt;=RpmDesignStandard!$C$7),RpmDesignStandard!$D$7,RpmDesignStandard!$D$8))))</f>
        <v>3</v>
      </c>
      <c r="V12" s="47">
        <f>U12*RpmDesignStandard!$H$1</f>
        <v>6</v>
      </c>
      <c r="W12" s="37" t="str">
        <f>VLOOKUP(A12,RPM_ProjectRecord!A:AB,8,FALSE)</f>
        <v/>
      </c>
      <c r="X12" s="38">
        <f t="shared" si="0"/>
        <v>2034</v>
      </c>
      <c r="Y12" s="38" t="str">
        <f t="shared" si="1"/>
        <v/>
      </c>
      <c r="Z12" s="38" t="str">
        <f t="shared" si="2"/>
        <v/>
      </c>
      <c r="AA12" s="38" t="str">
        <f t="shared" si="3"/>
        <v/>
      </c>
      <c r="AB12" s="38" t="str">
        <f t="shared" si="4"/>
        <v/>
      </c>
      <c r="AC12" s="38" t="str">
        <f>IF(VLOOKUP(A12,'3rdPhaseChipSeal'!A:L,12,FALSE)="","",VLOOKUP(A12,'3rdPhaseChipSeal'!A:L,12,FALSE))</f>
        <v/>
      </c>
      <c r="AD12" s="38">
        <f>IFERROR(IF(VLOOKUP(A12,RpmContracts!A:C,3,FALSE)="","",VLOOKUP(A12,RpmContracts!A:C,3,FALSE)),"")</f>
        <v>2027</v>
      </c>
      <c r="AE12" s="7" t="str">
        <f>IF(VLOOKUP(A12,'20yPlan'!A:B,2,FALSE)="","",VLOOKUP(A12,'20yPlan'!A:B,2,FALSE))</f>
        <v>2034 Preventive Maintenance</v>
      </c>
      <c r="AF12" s="7" t="str">
        <f>IF(VLOOKUP(A12,'20yPlan'!A:C,3,FALSE)="","",VLOOKUP(A12,'20yPlan'!A:C,3,FALSE))</f>
        <v/>
      </c>
      <c r="AG12" s="7" t="str">
        <f>IF(VLOOKUP(A12,'20yPlan'!A:D,4,FALSE)="","",VLOOKUP(A12,'20yPlan'!A:D,4,FALSE))</f>
        <v/>
      </c>
      <c r="AH12" s="7" t="str">
        <f>IF(VLOOKUP(A12,'20yPlan'!A:E,5,FALSE)="","",VLOOKUP(A12,'20yPlan'!A:E,5,FALSE))</f>
        <v/>
      </c>
      <c r="AI12" s="7" t="str">
        <f>IF(VLOOKUP(A12,'20yPlan'!A:F,6,FALSE)="","",VLOOKUP(A12,'20yPlan'!A:F,6,FALSE))</f>
        <v/>
      </c>
      <c r="AJ12" s="7" t="str">
        <f t="shared" si="5"/>
        <v/>
      </c>
      <c r="AK12" s="7" t="str">
        <f t="shared" si="6"/>
        <v>2027 RPM Replacement</v>
      </c>
      <c r="AL12" s="39">
        <f t="shared" ca="1" si="7"/>
        <v>2025</v>
      </c>
      <c r="AM12" s="7">
        <f t="shared" si="8"/>
        <v>2027</v>
      </c>
      <c r="AN12" s="7" t="str">
        <f t="shared" si="9"/>
        <v>2027 RPM Replacement</v>
      </c>
    </row>
    <row r="13" spans="1:40">
      <c r="A13" s="6">
        <v>60011</v>
      </c>
      <c r="B13" s="6" t="s">
        <v>51</v>
      </c>
      <c r="C13" s="6" t="s">
        <v>97</v>
      </c>
      <c r="D13" s="6">
        <v>78.077107999999996</v>
      </c>
      <c r="E13" s="6">
        <v>84.425189000000003</v>
      </c>
      <c r="F13" s="6" t="s">
        <v>95</v>
      </c>
      <c r="G13" s="6" t="s">
        <v>98</v>
      </c>
      <c r="H13" s="35">
        <v>304464</v>
      </c>
      <c r="I13" s="6" t="s">
        <v>55</v>
      </c>
      <c r="J13" s="6">
        <v>7</v>
      </c>
      <c r="K13" s="6">
        <v>2031</v>
      </c>
      <c r="L13" s="6">
        <v>4</v>
      </c>
      <c r="M13" s="6" t="s">
        <v>45</v>
      </c>
      <c r="N13" s="6" t="s">
        <v>46</v>
      </c>
      <c r="O13" s="6" t="s">
        <v>79</v>
      </c>
      <c r="P13" s="6" t="s">
        <v>99</v>
      </c>
      <c r="Q13" s="6" t="s">
        <v>96</v>
      </c>
      <c r="R13" s="35">
        <v>16917</v>
      </c>
      <c r="S13" s="35">
        <v>6712</v>
      </c>
      <c r="T13" s="36" t="s">
        <v>50</v>
      </c>
      <c r="U13" s="46">
        <f>IF($L13&lt;=2,
IF($R13&lt;=RpmDesignStandard!$C$2,RpmDesignStandard!$D$2,
IF(AND($R13&gt;RpmDesignStandard!$B$3,$R13&lt;=RpmDesignStandard!$C$3),RpmDesignStandard!$D$3,RpmDesignStandard!$D$4)),
IF($R13&lt;=RpmDesignStandard!$C$5, RpmDesignStandard!$D$5,
IF(AND($R13&gt;RpmDesignStandard!$B$6,$R13&lt;=RpmDesignStandard!$C$6),RpmDesignStandard!$D$6,
IF(AND($R13&gt;RpmDesignStandard!$B$7,$R13&lt;=RpmDesignStandard!$C$7),RpmDesignStandard!$D$7,RpmDesignStandard!$D$8))))</f>
        <v>3</v>
      </c>
      <c r="V13" s="47">
        <f>U13*RpmDesignStandard!$H$1</f>
        <v>6</v>
      </c>
      <c r="W13" s="37" t="str">
        <f>VLOOKUP(A13,RPM_ProjectRecord!A:AB,8,FALSE)</f>
        <v/>
      </c>
      <c r="X13" s="38">
        <f t="shared" si="0"/>
        <v>2031</v>
      </c>
      <c r="Y13" s="38" t="str">
        <f t="shared" si="1"/>
        <v/>
      </c>
      <c r="Z13" s="38" t="str">
        <f t="shared" si="2"/>
        <v/>
      </c>
      <c r="AA13" s="38" t="str">
        <f t="shared" si="3"/>
        <v/>
      </c>
      <c r="AB13" s="38" t="str">
        <f t="shared" si="4"/>
        <v/>
      </c>
      <c r="AC13" s="38" t="str">
        <f>IF(VLOOKUP(A13,'3rdPhaseChipSeal'!A:L,12,FALSE)="","",VLOOKUP(A13,'3rdPhaseChipSeal'!A:L,12,FALSE))</f>
        <v/>
      </c>
      <c r="AD13" s="38">
        <f>IFERROR(IF(VLOOKUP(A13,RpmContracts!A:C,3,FALSE)="","",VLOOKUP(A13,RpmContracts!A:C,3,FALSE)),"")</f>
        <v>2027</v>
      </c>
      <c r="AE13" s="7" t="str">
        <f>IF(VLOOKUP(A13,'20yPlan'!A:B,2,FALSE)="","",VLOOKUP(A13,'20yPlan'!A:B,2,FALSE))</f>
        <v>2031 Preventive Maintenance</v>
      </c>
      <c r="AF13" s="7" t="str">
        <f>IF(VLOOKUP(A13,'20yPlan'!A:C,3,FALSE)="","",VLOOKUP(A13,'20yPlan'!A:C,3,FALSE))</f>
        <v/>
      </c>
      <c r="AG13" s="7" t="str">
        <f>IF(VLOOKUP(A13,'20yPlan'!A:D,4,FALSE)="","",VLOOKUP(A13,'20yPlan'!A:D,4,FALSE))</f>
        <v/>
      </c>
      <c r="AH13" s="7" t="str">
        <f>IF(VLOOKUP(A13,'20yPlan'!A:E,5,FALSE)="","",VLOOKUP(A13,'20yPlan'!A:E,5,FALSE))</f>
        <v/>
      </c>
      <c r="AI13" s="7" t="str">
        <f>IF(VLOOKUP(A13,'20yPlan'!A:F,6,FALSE)="","",VLOOKUP(A13,'20yPlan'!A:F,6,FALSE))</f>
        <v/>
      </c>
      <c r="AJ13" s="7" t="str">
        <f t="shared" si="5"/>
        <v/>
      </c>
      <c r="AK13" s="7" t="str">
        <f t="shared" si="6"/>
        <v>2027 RPM Replacement</v>
      </c>
      <c r="AL13" s="39">
        <f t="shared" ca="1" si="7"/>
        <v>2025</v>
      </c>
      <c r="AM13" s="7">
        <f t="shared" si="8"/>
        <v>2027</v>
      </c>
      <c r="AN13" s="7" t="str">
        <f t="shared" si="9"/>
        <v>2027 RPM Replacement</v>
      </c>
    </row>
    <row r="14" spans="1:40">
      <c r="A14" s="6">
        <v>60012</v>
      </c>
      <c r="B14" s="6" t="s">
        <v>51</v>
      </c>
      <c r="C14" s="6" t="s">
        <v>100</v>
      </c>
      <c r="D14" s="6">
        <v>84.425189000000003</v>
      </c>
      <c r="E14" s="6">
        <v>92.692999</v>
      </c>
      <c r="F14" s="6" t="s">
        <v>98</v>
      </c>
      <c r="G14" s="6" t="s">
        <v>101</v>
      </c>
      <c r="H14" s="35">
        <v>412955</v>
      </c>
      <c r="I14" s="6" t="s">
        <v>55</v>
      </c>
      <c r="J14" s="6">
        <v>6</v>
      </c>
      <c r="K14" s="6">
        <v>2033</v>
      </c>
      <c r="L14" s="6">
        <v>4</v>
      </c>
      <c r="M14" s="6" t="s">
        <v>45</v>
      </c>
      <c r="N14" s="6" t="s">
        <v>46</v>
      </c>
      <c r="O14" s="6" t="s">
        <v>79</v>
      </c>
      <c r="P14" s="6" t="s">
        <v>92</v>
      </c>
      <c r="Q14" s="6" t="s">
        <v>96</v>
      </c>
      <c r="R14" s="35">
        <v>18617</v>
      </c>
      <c r="S14" s="35">
        <v>5005</v>
      </c>
      <c r="T14" s="36" t="s">
        <v>50</v>
      </c>
      <c r="U14" s="46">
        <f>IF($L14&lt;=2,
IF($R14&lt;=RpmDesignStandard!$C$2,RpmDesignStandard!$D$2,
IF(AND($R14&gt;RpmDesignStandard!$B$3,$R14&lt;=RpmDesignStandard!$C$3),RpmDesignStandard!$D$3,RpmDesignStandard!$D$4)),
IF($R14&lt;=RpmDesignStandard!$C$5, RpmDesignStandard!$D$5,
IF(AND($R14&gt;RpmDesignStandard!$B$6,$R14&lt;=RpmDesignStandard!$C$6),RpmDesignStandard!$D$6,
IF(AND($R14&gt;RpmDesignStandard!$B$7,$R14&lt;=RpmDesignStandard!$C$7),RpmDesignStandard!$D$7,RpmDesignStandard!$D$8))))</f>
        <v>3</v>
      </c>
      <c r="V14" s="47">
        <f>U14*RpmDesignStandard!$H$1</f>
        <v>6</v>
      </c>
      <c r="W14" s="37" t="str">
        <f>VLOOKUP(A14,RPM_ProjectRecord!A:AB,8,FALSE)</f>
        <v/>
      </c>
      <c r="X14" s="38">
        <f t="shared" si="0"/>
        <v>2033</v>
      </c>
      <c r="Y14" s="38" t="str">
        <f t="shared" si="1"/>
        <v/>
      </c>
      <c r="Z14" s="38" t="str">
        <f t="shared" si="2"/>
        <v/>
      </c>
      <c r="AA14" s="38" t="str">
        <f t="shared" si="3"/>
        <v/>
      </c>
      <c r="AB14" s="38" t="str">
        <f t="shared" si="4"/>
        <v/>
      </c>
      <c r="AC14" s="38" t="str">
        <f>IF(VLOOKUP(A14,'3rdPhaseChipSeal'!A:L,12,FALSE)="","",VLOOKUP(A14,'3rdPhaseChipSeal'!A:L,12,FALSE))</f>
        <v/>
      </c>
      <c r="AD14" s="38">
        <f>IFERROR(IF(VLOOKUP(A14,RpmContracts!A:C,3,FALSE)="","",VLOOKUP(A14,RpmContracts!A:C,3,FALSE)),"")</f>
        <v>2027</v>
      </c>
      <c r="AE14" s="7" t="str">
        <f>IF(VLOOKUP(A14,'20yPlan'!A:B,2,FALSE)="","",VLOOKUP(A14,'20yPlan'!A:B,2,FALSE))</f>
        <v>2033 Preventive Maintenance</v>
      </c>
      <c r="AF14" s="7" t="str">
        <f>IF(VLOOKUP(A14,'20yPlan'!A:C,3,FALSE)="","",VLOOKUP(A14,'20yPlan'!A:C,3,FALSE))</f>
        <v/>
      </c>
      <c r="AG14" s="7" t="str">
        <f>IF(VLOOKUP(A14,'20yPlan'!A:D,4,FALSE)="","",VLOOKUP(A14,'20yPlan'!A:D,4,FALSE))</f>
        <v/>
      </c>
      <c r="AH14" s="7" t="str">
        <f>IF(VLOOKUP(A14,'20yPlan'!A:E,5,FALSE)="","",VLOOKUP(A14,'20yPlan'!A:E,5,FALSE))</f>
        <v/>
      </c>
      <c r="AI14" s="7" t="str">
        <f>IF(VLOOKUP(A14,'20yPlan'!A:F,6,FALSE)="","",VLOOKUP(A14,'20yPlan'!A:F,6,FALSE))</f>
        <v/>
      </c>
      <c r="AJ14" s="7" t="str">
        <f t="shared" si="5"/>
        <v/>
      </c>
      <c r="AK14" s="7" t="str">
        <f t="shared" si="6"/>
        <v>2027 RPM Replacement</v>
      </c>
      <c r="AL14" s="39">
        <f t="shared" ca="1" si="7"/>
        <v>2025</v>
      </c>
      <c r="AM14" s="7">
        <f t="shared" si="8"/>
        <v>2027</v>
      </c>
      <c r="AN14" s="7" t="str">
        <f t="shared" si="9"/>
        <v>2027 RPM Replacement</v>
      </c>
    </row>
    <row r="15" spans="1:40">
      <c r="A15" s="6">
        <v>60013</v>
      </c>
      <c r="B15" s="6" t="s">
        <v>102</v>
      </c>
      <c r="C15" s="6" t="s">
        <v>103</v>
      </c>
      <c r="D15" s="6">
        <v>0.68250999999999995</v>
      </c>
      <c r="E15" s="6">
        <v>2.9596789999999999</v>
      </c>
      <c r="F15" s="6" t="s">
        <v>104</v>
      </c>
      <c r="G15" s="6" t="s">
        <v>105</v>
      </c>
      <c r="H15" s="35">
        <v>113294</v>
      </c>
      <c r="I15" s="6" t="s">
        <v>55</v>
      </c>
      <c r="J15" s="6">
        <v>5</v>
      </c>
      <c r="K15" s="6">
        <v>2042</v>
      </c>
      <c r="L15" s="6">
        <v>4</v>
      </c>
      <c r="M15" s="6" t="s">
        <v>45</v>
      </c>
      <c r="N15" s="6" t="s">
        <v>46</v>
      </c>
      <c r="O15" s="6" t="s">
        <v>61</v>
      </c>
      <c r="P15" s="6" t="s">
        <v>106</v>
      </c>
      <c r="Q15" s="6" t="s">
        <v>107</v>
      </c>
      <c r="R15" s="35">
        <v>29956</v>
      </c>
      <c r="S15" s="35">
        <v>3336</v>
      </c>
      <c r="T15" s="36" t="s">
        <v>50</v>
      </c>
      <c r="U15" s="46">
        <f>IF($L15&lt;=2,
IF($R15&lt;=RpmDesignStandard!$C$2,RpmDesignStandard!$D$2,
IF(AND($R15&gt;RpmDesignStandard!$B$3,$R15&lt;=RpmDesignStandard!$C$3),RpmDesignStandard!$D$3,RpmDesignStandard!$D$4)),
IF($R15&lt;=RpmDesignStandard!$C$5, RpmDesignStandard!$D$5,
IF(AND($R15&gt;RpmDesignStandard!$B$6,$R15&lt;=RpmDesignStandard!$C$6),RpmDesignStandard!$D$6,
IF(AND($R15&gt;RpmDesignStandard!$B$7,$R15&lt;=RpmDesignStandard!$C$7),RpmDesignStandard!$D$7,RpmDesignStandard!$D$8))))</f>
        <v>3</v>
      </c>
      <c r="V15" s="47">
        <f>U15*RpmDesignStandard!$H$1</f>
        <v>6</v>
      </c>
      <c r="W15" s="37" t="str">
        <f>VLOOKUP(A15,RPM_ProjectRecord!A:AB,8,FALSE)</f>
        <v/>
      </c>
      <c r="X15" s="38">
        <f t="shared" si="0"/>
        <v>2042</v>
      </c>
      <c r="Y15" s="38" t="str">
        <f t="shared" si="1"/>
        <v/>
      </c>
      <c r="Z15" s="38" t="str">
        <f t="shared" si="2"/>
        <v/>
      </c>
      <c r="AA15" s="38" t="str">
        <f t="shared" si="3"/>
        <v/>
      </c>
      <c r="AB15" s="38" t="str">
        <f t="shared" si="4"/>
        <v/>
      </c>
      <c r="AC15" s="38" t="str">
        <f>IF(VLOOKUP(A15,'3rdPhaseChipSeal'!A:L,12,FALSE)="","",VLOOKUP(A15,'3rdPhaseChipSeal'!A:L,12,FALSE))</f>
        <v/>
      </c>
      <c r="AD15" s="38">
        <f>IFERROR(IF(VLOOKUP(A15,RpmContracts!A:C,3,FALSE)="","",VLOOKUP(A15,RpmContracts!A:C,3,FALSE)),"")</f>
        <v>2027</v>
      </c>
      <c r="AE15" s="7" t="str">
        <f>IF(VLOOKUP(A15,'20yPlan'!A:B,2,FALSE)="","",VLOOKUP(A15,'20yPlan'!A:B,2,FALSE))</f>
        <v>2042 Preventive Maintenance</v>
      </c>
      <c r="AF15" s="7" t="str">
        <f>IF(VLOOKUP(A15,'20yPlan'!A:C,3,FALSE)="","",VLOOKUP(A15,'20yPlan'!A:C,3,FALSE))</f>
        <v/>
      </c>
      <c r="AG15" s="7" t="str">
        <f>IF(VLOOKUP(A15,'20yPlan'!A:D,4,FALSE)="","",VLOOKUP(A15,'20yPlan'!A:D,4,FALSE))</f>
        <v/>
      </c>
      <c r="AH15" s="7" t="str">
        <f>IF(VLOOKUP(A15,'20yPlan'!A:E,5,FALSE)="","",VLOOKUP(A15,'20yPlan'!A:E,5,FALSE))</f>
        <v/>
      </c>
      <c r="AI15" s="7" t="str">
        <f>IF(VLOOKUP(A15,'20yPlan'!A:F,6,FALSE)="","",VLOOKUP(A15,'20yPlan'!A:F,6,FALSE))</f>
        <v/>
      </c>
      <c r="AJ15" s="7" t="str">
        <f t="shared" si="5"/>
        <v/>
      </c>
      <c r="AK15" s="7" t="str">
        <f t="shared" si="6"/>
        <v>2027 RPM Replacement</v>
      </c>
      <c r="AL15" s="39">
        <f t="shared" ca="1" si="7"/>
        <v>2025</v>
      </c>
      <c r="AM15" s="7">
        <f t="shared" si="8"/>
        <v>2027</v>
      </c>
      <c r="AN15" s="7" t="str">
        <f t="shared" si="9"/>
        <v>2027 RPM Replacement</v>
      </c>
    </row>
    <row r="16" spans="1:40">
      <c r="A16" s="6">
        <v>60014</v>
      </c>
      <c r="B16" s="6" t="s">
        <v>102</v>
      </c>
      <c r="C16" s="6" t="s">
        <v>108</v>
      </c>
      <c r="D16" s="6">
        <v>7.8557069999999998</v>
      </c>
      <c r="E16" s="6">
        <v>21.503219000000001</v>
      </c>
      <c r="F16" s="6" t="s">
        <v>109</v>
      </c>
      <c r="G16" s="6" t="s">
        <v>110</v>
      </c>
      <c r="H16" s="35">
        <v>657681</v>
      </c>
      <c r="I16" s="6" t="s">
        <v>55</v>
      </c>
      <c r="J16" s="6">
        <v>5</v>
      </c>
      <c r="K16" s="6">
        <v>2029</v>
      </c>
      <c r="L16" s="6">
        <v>4</v>
      </c>
      <c r="M16" s="6" t="s">
        <v>111</v>
      </c>
      <c r="N16" s="6" t="s">
        <v>46</v>
      </c>
      <c r="O16" s="6" t="s">
        <v>61</v>
      </c>
      <c r="P16" s="6" t="s">
        <v>112</v>
      </c>
      <c r="Q16" s="6" t="s">
        <v>71</v>
      </c>
      <c r="R16" s="35">
        <v>29775</v>
      </c>
      <c r="S16" s="35">
        <v>3802</v>
      </c>
      <c r="T16" s="36" t="s">
        <v>50</v>
      </c>
      <c r="U16" s="46">
        <f>IF($L16&lt;=2,
IF($R16&lt;=RpmDesignStandard!$C$2,RpmDesignStandard!$D$2,
IF(AND($R16&gt;RpmDesignStandard!$B$3,$R16&lt;=RpmDesignStandard!$C$3),RpmDesignStandard!$D$3,RpmDesignStandard!$D$4)),
IF($R16&lt;=RpmDesignStandard!$C$5, RpmDesignStandard!$D$5,
IF(AND($R16&gt;RpmDesignStandard!$B$6,$R16&lt;=RpmDesignStandard!$C$6),RpmDesignStandard!$D$6,
IF(AND($R16&gt;RpmDesignStandard!$B$7,$R16&lt;=RpmDesignStandard!$C$7),RpmDesignStandard!$D$7,RpmDesignStandard!$D$8))))</f>
        <v>3</v>
      </c>
      <c r="V16" s="47">
        <f>U16*RpmDesignStandard!$H$1</f>
        <v>6</v>
      </c>
      <c r="W16" s="37" t="str">
        <f>VLOOKUP(A16,RPM_ProjectRecord!A:AB,8,FALSE)</f>
        <v/>
      </c>
      <c r="X16" s="38">
        <f t="shared" si="0"/>
        <v>2038</v>
      </c>
      <c r="Y16" s="38">
        <f t="shared" si="1"/>
        <v>2039</v>
      </c>
      <c r="Z16" s="38" t="str">
        <f t="shared" si="2"/>
        <v/>
      </c>
      <c r="AA16" s="38" t="str">
        <f t="shared" si="3"/>
        <v/>
      </c>
      <c r="AB16" s="38" t="str">
        <f t="shared" si="4"/>
        <v/>
      </c>
      <c r="AC16" s="38" t="str">
        <f>IF(VLOOKUP(A16,'3rdPhaseChipSeal'!A:L,12,FALSE)="","",VLOOKUP(A16,'3rdPhaseChipSeal'!A:L,12,FALSE))</f>
        <v/>
      </c>
      <c r="AD16" s="38">
        <f>IFERROR(IF(VLOOKUP(A16,RpmContracts!A:C,3,FALSE)="","",VLOOKUP(A16,RpmContracts!A:C,3,FALSE)),"")</f>
        <v>2027</v>
      </c>
      <c r="AE16" s="7" t="str">
        <f>IF(VLOOKUP(A16,'20yPlan'!A:B,2,FALSE)="","",VLOOKUP(A16,'20yPlan'!A:B,2,FALSE))</f>
        <v>2038 Rehab</v>
      </c>
      <c r="AF16" s="7" t="str">
        <f>IF(VLOOKUP(A16,'20yPlan'!A:C,3,FALSE)="","",VLOOKUP(A16,'20yPlan'!A:C,3,FALSE))</f>
        <v>2039 Rehab</v>
      </c>
      <c r="AG16" s="7" t="str">
        <f>IF(VLOOKUP(A16,'20yPlan'!A:D,4,FALSE)="","",VLOOKUP(A16,'20yPlan'!A:D,4,FALSE))</f>
        <v/>
      </c>
      <c r="AH16" s="7" t="str">
        <f>IF(VLOOKUP(A16,'20yPlan'!A:E,5,FALSE)="","",VLOOKUP(A16,'20yPlan'!A:E,5,FALSE))</f>
        <v/>
      </c>
      <c r="AI16" s="7" t="str">
        <f>IF(VLOOKUP(A16,'20yPlan'!A:F,6,FALSE)="","",VLOOKUP(A16,'20yPlan'!A:F,6,FALSE))</f>
        <v/>
      </c>
      <c r="AJ16" s="7" t="str">
        <f t="shared" si="5"/>
        <v/>
      </c>
      <c r="AK16" s="7" t="str">
        <f t="shared" si="6"/>
        <v>2027 RPM Replacement</v>
      </c>
      <c r="AL16" s="39">
        <f t="shared" ca="1" si="7"/>
        <v>2025</v>
      </c>
      <c r="AM16" s="7">
        <f t="shared" si="8"/>
        <v>2027</v>
      </c>
      <c r="AN16" s="7" t="str">
        <f t="shared" si="9"/>
        <v>2027 RPM Replacement</v>
      </c>
    </row>
    <row r="17" spans="1:40">
      <c r="A17" s="6">
        <v>60015</v>
      </c>
      <c r="B17" s="6" t="s">
        <v>102</v>
      </c>
      <c r="C17" s="6" t="s">
        <v>113</v>
      </c>
      <c r="D17" s="6">
        <v>21.503219000000001</v>
      </c>
      <c r="E17" s="6">
        <v>28.556176000000001</v>
      </c>
      <c r="F17" s="6" t="s">
        <v>110</v>
      </c>
      <c r="G17" s="6" t="s">
        <v>114</v>
      </c>
      <c r="H17" s="35">
        <v>342817</v>
      </c>
      <c r="I17" s="6" t="s">
        <v>55</v>
      </c>
      <c r="J17" s="6">
        <v>11</v>
      </c>
      <c r="K17" s="6">
        <v>2034</v>
      </c>
      <c r="L17" s="6">
        <v>4</v>
      </c>
      <c r="M17" s="6" t="s">
        <v>111</v>
      </c>
      <c r="N17" s="6" t="s">
        <v>46</v>
      </c>
      <c r="O17" s="6" t="s">
        <v>56</v>
      </c>
      <c r="P17" s="6" t="s">
        <v>115</v>
      </c>
      <c r="Q17" s="6" t="s">
        <v>116</v>
      </c>
      <c r="R17" s="35">
        <v>16435</v>
      </c>
      <c r="S17" s="35">
        <v>2679</v>
      </c>
      <c r="T17" s="36" t="s">
        <v>50</v>
      </c>
      <c r="U17" s="46">
        <f>IF($L17&lt;=2,
IF($R17&lt;=RpmDesignStandard!$C$2,RpmDesignStandard!$D$2,
IF(AND($R17&gt;RpmDesignStandard!$B$3,$R17&lt;=RpmDesignStandard!$C$3),RpmDesignStandard!$D$3,RpmDesignStandard!$D$4)),
IF($R17&lt;=RpmDesignStandard!$C$5, RpmDesignStandard!$D$5,
IF(AND($R17&gt;RpmDesignStandard!$B$6,$R17&lt;=RpmDesignStandard!$C$6),RpmDesignStandard!$D$6,
IF(AND($R17&gt;RpmDesignStandard!$B$7,$R17&lt;=RpmDesignStandard!$C$7),RpmDesignStandard!$D$7,RpmDesignStandard!$D$8))))</f>
        <v>3</v>
      </c>
      <c r="V17" s="47">
        <f>U17*RpmDesignStandard!$H$1</f>
        <v>6</v>
      </c>
      <c r="W17" s="37" t="str">
        <f>VLOOKUP(A17,RPM_ProjectRecord!A:AB,8,FALSE)</f>
        <v/>
      </c>
      <c r="X17" s="38">
        <f t="shared" si="0"/>
        <v>2034</v>
      </c>
      <c r="Y17" s="38">
        <f t="shared" si="1"/>
        <v>2044</v>
      </c>
      <c r="Z17" s="38" t="str">
        <f t="shared" si="2"/>
        <v/>
      </c>
      <c r="AA17" s="38" t="str">
        <f t="shared" si="3"/>
        <v/>
      </c>
      <c r="AB17" s="38" t="str">
        <f t="shared" si="4"/>
        <v/>
      </c>
      <c r="AC17" s="38" t="str">
        <f>IF(VLOOKUP(A17,'3rdPhaseChipSeal'!A:L,12,FALSE)="","",VLOOKUP(A17,'3rdPhaseChipSeal'!A:L,12,FALSE))</f>
        <v/>
      </c>
      <c r="AD17" s="38">
        <f>IFERROR(IF(VLOOKUP(A17,RpmContracts!A:C,3,FALSE)="","",VLOOKUP(A17,RpmContracts!A:C,3,FALSE)),"")</f>
        <v>2027</v>
      </c>
      <c r="AE17" s="7" t="str">
        <f>IF(VLOOKUP(A17,'20yPlan'!A:B,2,FALSE)="","",VLOOKUP(A17,'20yPlan'!A:B,2,FALSE))</f>
        <v>2034 Preventive Maintenance</v>
      </c>
      <c r="AF17" s="7" t="str">
        <f>IF(VLOOKUP(A17,'20yPlan'!A:C,3,FALSE)="","",VLOOKUP(A17,'20yPlan'!A:C,3,FALSE))</f>
        <v>2044 Preventive Maintenance</v>
      </c>
      <c r="AG17" s="7" t="str">
        <f>IF(VLOOKUP(A17,'20yPlan'!A:D,4,FALSE)="","",VLOOKUP(A17,'20yPlan'!A:D,4,FALSE))</f>
        <v/>
      </c>
      <c r="AH17" s="7" t="str">
        <f>IF(VLOOKUP(A17,'20yPlan'!A:E,5,FALSE)="","",VLOOKUP(A17,'20yPlan'!A:E,5,FALSE))</f>
        <v/>
      </c>
      <c r="AI17" s="7" t="str">
        <f>IF(VLOOKUP(A17,'20yPlan'!A:F,6,FALSE)="","",VLOOKUP(A17,'20yPlan'!A:F,6,FALSE))</f>
        <v/>
      </c>
      <c r="AJ17" s="7" t="str">
        <f t="shared" si="5"/>
        <v/>
      </c>
      <c r="AK17" s="7" t="str">
        <f t="shared" si="6"/>
        <v>2027 RPM Replacement</v>
      </c>
      <c r="AL17" s="39">
        <f t="shared" ca="1" si="7"/>
        <v>2025</v>
      </c>
      <c r="AM17" s="7">
        <f t="shared" si="8"/>
        <v>2027</v>
      </c>
      <c r="AN17" s="7" t="str">
        <f t="shared" si="9"/>
        <v>2027 RPM Replacement</v>
      </c>
    </row>
    <row r="18" spans="1:40">
      <c r="A18" s="6">
        <v>60016</v>
      </c>
      <c r="B18" s="6" t="s">
        <v>102</v>
      </c>
      <c r="C18" s="6" t="s">
        <v>117</v>
      </c>
      <c r="D18" s="6">
        <v>28.556176000000001</v>
      </c>
      <c r="E18" s="6">
        <v>40.403592000000003</v>
      </c>
      <c r="F18" s="6" t="s">
        <v>114</v>
      </c>
      <c r="G18" s="6" t="s">
        <v>118</v>
      </c>
      <c r="H18" s="35">
        <v>532167</v>
      </c>
      <c r="I18" s="6" t="s">
        <v>55</v>
      </c>
      <c r="J18" s="6">
        <v>10</v>
      </c>
      <c r="K18" s="6">
        <v>2025</v>
      </c>
      <c r="L18" s="6">
        <v>4</v>
      </c>
      <c r="M18" s="6" t="s">
        <v>45</v>
      </c>
      <c r="N18" s="6" t="s">
        <v>46</v>
      </c>
      <c r="O18" s="6" t="s">
        <v>84</v>
      </c>
      <c r="P18" s="6" t="s">
        <v>85</v>
      </c>
      <c r="Q18" s="6" t="s">
        <v>116</v>
      </c>
      <c r="R18" s="35">
        <v>11096</v>
      </c>
      <c r="S18" s="35">
        <v>2596</v>
      </c>
      <c r="T18" s="36" t="s">
        <v>50</v>
      </c>
      <c r="U18" s="46">
        <f>IF($L18&lt;=2,
IF($R18&lt;=RpmDesignStandard!$C$2,RpmDesignStandard!$D$2,
IF(AND($R18&gt;RpmDesignStandard!$B$3,$R18&lt;=RpmDesignStandard!$C$3),RpmDesignStandard!$D$3,RpmDesignStandard!$D$4)),
IF($R18&lt;=RpmDesignStandard!$C$5, RpmDesignStandard!$D$5,
IF(AND($R18&gt;RpmDesignStandard!$B$6,$R18&lt;=RpmDesignStandard!$C$6),RpmDesignStandard!$D$6,
IF(AND($R18&gt;RpmDesignStandard!$B$7,$R18&lt;=RpmDesignStandard!$C$7),RpmDesignStandard!$D$7,RpmDesignStandard!$D$8))))</f>
        <v>3</v>
      </c>
      <c r="V18" s="47">
        <f>U18*RpmDesignStandard!$H$1</f>
        <v>6</v>
      </c>
      <c r="W18" s="37" t="str">
        <f>VLOOKUP(A18,RPM_ProjectRecord!A:AB,8,FALSE)</f>
        <v/>
      </c>
      <c r="X18" s="38">
        <f t="shared" si="0"/>
        <v>2039</v>
      </c>
      <c r="Y18" s="38" t="str">
        <f t="shared" si="1"/>
        <v/>
      </c>
      <c r="Z18" s="38" t="str">
        <f t="shared" si="2"/>
        <v/>
      </c>
      <c r="AA18" s="38" t="str">
        <f t="shared" si="3"/>
        <v/>
      </c>
      <c r="AB18" s="38" t="str">
        <f t="shared" si="4"/>
        <v/>
      </c>
      <c r="AC18" s="38" t="str">
        <f>IF(VLOOKUP(A18,'3rdPhaseChipSeal'!A:L,12,FALSE)="","",VLOOKUP(A18,'3rdPhaseChipSeal'!A:L,12,FALSE))</f>
        <v/>
      </c>
      <c r="AD18" s="38">
        <f>IFERROR(IF(VLOOKUP(A18,RpmContracts!A:C,3,FALSE)="","",VLOOKUP(A18,RpmContracts!A:C,3,FALSE)),"")</f>
        <v>2027</v>
      </c>
      <c r="AE18" s="7" t="str">
        <f>IF(VLOOKUP(A18,'20yPlan'!A:B,2,FALSE)="","",VLOOKUP(A18,'20yPlan'!A:B,2,FALSE))</f>
        <v>2039 Preventive Maintenance</v>
      </c>
      <c r="AF18" s="7" t="str">
        <f>IF(VLOOKUP(A18,'20yPlan'!A:C,3,FALSE)="","",VLOOKUP(A18,'20yPlan'!A:C,3,FALSE))</f>
        <v/>
      </c>
      <c r="AG18" s="7" t="str">
        <f>IF(VLOOKUP(A18,'20yPlan'!A:D,4,FALSE)="","",VLOOKUP(A18,'20yPlan'!A:D,4,FALSE))</f>
        <v/>
      </c>
      <c r="AH18" s="7" t="str">
        <f>IF(VLOOKUP(A18,'20yPlan'!A:E,5,FALSE)="","",VLOOKUP(A18,'20yPlan'!A:E,5,FALSE))</f>
        <v/>
      </c>
      <c r="AI18" s="7" t="str">
        <f>IF(VLOOKUP(A18,'20yPlan'!A:F,6,FALSE)="","",VLOOKUP(A18,'20yPlan'!A:F,6,FALSE))</f>
        <v/>
      </c>
      <c r="AJ18" s="7" t="str">
        <f t="shared" si="5"/>
        <v/>
      </c>
      <c r="AK18" s="7" t="str">
        <f t="shared" si="6"/>
        <v>2027 RPM Replacement</v>
      </c>
      <c r="AL18" s="39">
        <f t="shared" ca="1" si="7"/>
        <v>2025</v>
      </c>
      <c r="AM18" s="7">
        <f t="shared" si="8"/>
        <v>2027</v>
      </c>
      <c r="AN18" s="7" t="str">
        <f t="shared" si="9"/>
        <v>2027 RPM Replacement</v>
      </c>
    </row>
    <row r="19" spans="1:40">
      <c r="A19" s="6">
        <v>60017</v>
      </c>
      <c r="B19" s="6" t="s">
        <v>102</v>
      </c>
      <c r="C19" s="6" t="s">
        <v>119</v>
      </c>
      <c r="D19" s="6">
        <v>40.403592000000003</v>
      </c>
      <c r="E19" s="6">
        <v>50.247107</v>
      </c>
      <c r="F19" s="6" t="s">
        <v>118</v>
      </c>
      <c r="G19" s="6" t="s">
        <v>120</v>
      </c>
      <c r="H19" s="35">
        <v>460524</v>
      </c>
      <c r="I19" s="6" t="s">
        <v>55</v>
      </c>
      <c r="J19" s="6">
        <v>11</v>
      </c>
      <c r="K19" s="6">
        <v>2033</v>
      </c>
      <c r="L19" s="6">
        <v>4</v>
      </c>
      <c r="M19" s="6" t="s">
        <v>111</v>
      </c>
      <c r="N19" s="6" t="s">
        <v>46</v>
      </c>
      <c r="O19" s="6" t="s">
        <v>121</v>
      </c>
      <c r="P19" s="6" t="s">
        <v>122</v>
      </c>
      <c r="Q19" s="6" t="s">
        <v>123</v>
      </c>
      <c r="R19" s="35">
        <v>9900</v>
      </c>
      <c r="S19" s="35">
        <v>2252</v>
      </c>
      <c r="T19" s="36" t="s">
        <v>50</v>
      </c>
      <c r="U19" s="46">
        <f>IF($L19&lt;=2,
IF($R19&lt;=RpmDesignStandard!$C$2,RpmDesignStandard!$D$2,
IF(AND($R19&gt;RpmDesignStandard!$B$3,$R19&lt;=RpmDesignStandard!$C$3),RpmDesignStandard!$D$3,RpmDesignStandard!$D$4)),
IF($R19&lt;=RpmDesignStandard!$C$5, RpmDesignStandard!$D$5,
IF(AND($R19&gt;RpmDesignStandard!$B$6,$R19&lt;=RpmDesignStandard!$C$6),RpmDesignStandard!$D$6,
IF(AND($R19&gt;RpmDesignStandard!$B$7,$R19&lt;=RpmDesignStandard!$C$7),RpmDesignStandard!$D$7,RpmDesignStandard!$D$8))))</f>
        <v>4</v>
      </c>
      <c r="V19" s="47">
        <f>U19*RpmDesignStandard!$H$1</f>
        <v>8</v>
      </c>
      <c r="W19" s="37" t="str">
        <f>VLOOKUP(A19,RPM_ProjectRecord!A:AB,8,FALSE)</f>
        <v/>
      </c>
      <c r="X19" s="38">
        <f t="shared" si="0"/>
        <v>2033</v>
      </c>
      <c r="Y19" s="38">
        <f t="shared" si="1"/>
        <v>2043</v>
      </c>
      <c r="Z19" s="38" t="str">
        <f t="shared" si="2"/>
        <v/>
      </c>
      <c r="AA19" s="38" t="str">
        <f t="shared" si="3"/>
        <v/>
      </c>
      <c r="AB19" s="38" t="str">
        <f t="shared" si="4"/>
        <v/>
      </c>
      <c r="AC19" s="38" t="str">
        <f>IF(VLOOKUP(A19,'3rdPhaseChipSeal'!A:L,12,FALSE)="","",VLOOKUP(A19,'3rdPhaseChipSeal'!A:L,12,FALSE))</f>
        <v/>
      </c>
      <c r="AD19" s="38">
        <f>IFERROR(IF(VLOOKUP(A19,RpmContracts!A:C,3,FALSE)="","",VLOOKUP(A19,RpmContracts!A:C,3,FALSE)),"")</f>
        <v>2027</v>
      </c>
      <c r="AE19" s="7" t="str">
        <f>IF(VLOOKUP(A19,'20yPlan'!A:B,2,FALSE)="","",VLOOKUP(A19,'20yPlan'!A:B,2,FALSE))</f>
        <v>2033 Preventive Maintenance</v>
      </c>
      <c r="AF19" s="7" t="str">
        <f>IF(VLOOKUP(A19,'20yPlan'!A:C,3,FALSE)="","",VLOOKUP(A19,'20yPlan'!A:C,3,FALSE))</f>
        <v>2043 Preventive Maintenance</v>
      </c>
      <c r="AG19" s="7" t="str">
        <f>IF(VLOOKUP(A19,'20yPlan'!A:D,4,FALSE)="","",VLOOKUP(A19,'20yPlan'!A:D,4,FALSE))</f>
        <v/>
      </c>
      <c r="AH19" s="7" t="str">
        <f>IF(VLOOKUP(A19,'20yPlan'!A:E,5,FALSE)="","",VLOOKUP(A19,'20yPlan'!A:E,5,FALSE))</f>
        <v/>
      </c>
      <c r="AI19" s="7" t="str">
        <f>IF(VLOOKUP(A19,'20yPlan'!A:F,6,FALSE)="","",VLOOKUP(A19,'20yPlan'!A:F,6,FALSE))</f>
        <v/>
      </c>
      <c r="AJ19" s="7" t="str">
        <f t="shared" si="5"/>
        <v/>
      </c>
      <c r="AK19" s="7" t="str">
        <f t="shared" si="6"/>
        <v>2027 RPM Replacement</v>
      </c>
      <c r="AL19" s="39">
        <f t="shared" ca="1" si="7"/>
        <v>2025</v>
      </c>
      <c r="AM19" s="7">
        <f t="shared" si="8"/>
        <v>2027</v>
      </c>
      <c r="AN19" s="7" t="str">
        <f t="shared" si="9"/>
        <v>2027 RPM Replacement</v>
      </c>
    </row>
    <row r="20" spans="1:40">
      <c r="A20" s="6">
        <v>60018</v>
      </c>
      <c r="B20" s="6" t="s">
        <v>102</v>
      </c>
      <c r="C20" s="6" t="s">
        <v>124</v>
      </c>
      <c r="D20" s="6">
        <v>50.247107</v>
      </c>
      <c r="E20" s="6">
        <v>63.351094000000003</v>
      </c>
      <c r="F20" s="6" t="s">
        <v>120</v>
      </c>
      <c r="G20" s="6" t="s">
        <v>125</v>
      </c>
      <c r="H20" s="35">
        <v>511778</v>
      </c>
      <c r="I20" s="6" t="s">
        <v>55</v>
      </c>
      <c r="J20" s="6">
        <v>11</v>
      </c>
      <c r="K20" s="6">
        <v>2033</v>
      </c>
      <c r="L20" s="6">
        <v>4</v>
      </c>
      <c r="M20" s="6" t="s">
        <v>111</v>
      </c>
      <c r="N20" s="6" t="s">
        <v>46</v>
      </c>
      <c r="O20" s="6" t="s">
        <v>121</v>
      </c>
      <c r="P20" s="6" t="s">
        <v>126</v>
      </c>
      <c r="Q20" s="6" t="s">
        <v>127</v>
      </c>
      <c r="R20" s="35">
        <v>9034</v>
      </c>
      <c r="S20" s="35">
        <v>1637</v>
      </c>
      <c r="T20" s="36" t="s">
        <v>50</v>
      </c>
      <c r="U20" s="46">
        <f>IF($L20&lt;=2,
IF($R20&lt;=RpmDesignStandard!$C$2,RpmDesignStandard!$D$2,
IF(AND($R20&gt;RpmDesignStandard!$B$3,$R20&lt;=RpmDesignStandard!$C$3),RpmDesignStandard!$D$3,RpmDesignStandard!$D$4)),
IF($R20&lt;=RpmDesignStandard!$C$5, RpmDesignStandard!$D$5,
IF(AND($R20&gt;RpmDesignStandard!$B$6,$R20&lt;=RpmDesignStandard!$C$6),RpmDesignStandard!$D$6,
IF(AND($R20&gt;RpmDesignStandard!$B$7,$R20&lt;=RpmDesignStandard!$C$7),RpmDesignStandard!$D$7,RpmDesignStandard!$D$8))))</f>
        <v>4</v>
      </c>
      <c r="V20" s="47">
        <f>U20*RpmDesignStandard!$H$1</f>
        <v>8</v>
      </c>
      <c r="W20" s="37" t="str">
        <f>VLOOKUP(A20,RPM_ProjectRecord!A:AB,8,FALSE)</f>
        <v/>
      </c>
      <c r="X20" s="38">
        <f t="shared" si="0"/>
        <v>2033</v>
      </c>
      <c r="Y20" s="38">
        <f t="shared" si="1"/>
        <v>2043</v>
      </c>
      <c r="Z20" s="38" t="str">
        <f t="shared" si="2"/>
        <v/>
      </c>
      <c r="AA20" s="38" t="str">
        <f t="shared" si="3"/>
        <v/>
      </c>
      <c r="AB20" s="38" t="str">
        <f t="shared" si="4"/>
        <v/>
      </c>
      <c r="AC20" s="38" t="str">
        <f>IF(VLOOKUP(A20,'3rdPhaseChipSeal'!A:L,12,FALSE)="","",VLOOKUP(A20,'3rdPhaseChipSeal'!A:L,12,FALSE))</f>
        <v/>
      </c>
      <c r="AD20" s="38">
        <f>IFERROR(IF(VLOOKUP(A20,RpmContracts!A:C,3,FALSE)="","",VLOOKUP(A20,RpmContracts!A:C,3,FALSE)),"")</f>
        <v>2027</v>
      </c>
      <c r="AE20" s="7" t="str">
        <f>IF(VLOOKUP(A20,'20yPlan'!A:B,2,FALSE)="","",VLOOKUP(A20,'20yPlan'!A:B,2,FALSE))</f>
        <v>2033 Preventive Maintenance</v>
      </c>
      <c r="AF20" s="7" t="str">
        <f>IF(VLOOKUP(A20,'20yPlan'!A:C,3,FALSE)="","",VLOOKUP(A20,'20yPlan'!A:C,3,FALSE))</f>
        <v>2043 Preventive Maintenance</v>
      </c>
      <c r="AG20" s="7" t="str">
        <f>IF(VLOOKUP(A20,'20yPlan'!A:D,4,FALSE)="","",VLOOKUP(A20,'20yPlan'!A:D,4,FALSE))</f>
        <v/>
      </c>
      <c r="AH20" s="7" t="str">
        <f>IF(VLOOKUP(A20,'20yPlan'!A:E,5,FALSE)="","",VLOOKUP(A20,'20yPlan'!A:E,5,FALSE))</f>
        <v/>
      </c>
      <c r="AI20" s="7" t="str">
        <f>IF(VLOOKUP(A20,'20yPlan'!A:F,6,FALSE)="","",VLOOKUP(A20,'20yPlan'!A:F,6,FALSE))</f>
        <v/>
      </c>
      <c r="AJ20" s="7" t="str">
        <f t="shared" si="5"/>
        <v/>
      </c>
      <c r="AK20" s="7" t="str">
        <f t="shared" si="6"/>
        <v>2027 RPM Replacement</v>
      </c>
      <c r="AL20" s="39">
        <f t="shared" ca="1" si="7"/>
        <v>2025</v>
      </c>
      <c r="AM20" s="7">
        <f t="shared" si="8"/>
        <v>2027</v>
      </c>
      <c r="AN20" s="7" t="str">
        <f t="shared" si="9"/>
        <v>2027 RPM Replacement</v>
      </c>
    </row>
    <row r="21" spans="1:40">
      <c r="A21" s="6">
        <v>60019</v>
      </c>
      <c r="B21" s="6" t="s">
        <v>102</v>
      </c>
      <c r="C21" s="6" t="s">
        <v>128</v>
      </c>
      <c r="D21" s="6">
        <v>63.351094000000003</v>
      </c>
      <c r="E21" s="6">
        <v>69.238748999999999</v>
      </c>
      <c r="F21" s="6" t="s">
        <v>125</v>
      </c>
      <c r="G21" s="6" t="s">
        <v>129</v>
      </c>
      <c r="H21" s="35">
        <v>215743</v>
      </c>
      <c r="I21" s="6" t="s">
        <v>55</v>
      </c>
      <c r="J21" s="6">
        <v>11</v>
      </c>
      <c r="K21" s="6">
        <v>2036</v>
      </c>
      <c r="L21" s="6">
        <v>4</v>
      </c>
      <c r="M21" s="6" t="s">
        <v>111</v>
      </c>
      <c r="N21" s="6" t="s">
        <v>46</v>
      </c>
      <c r="O21" s="6" t="s">
        <v>130</v>
      </c>
      <c r="P21" s="6" t="s">
        <v>131</v>
      </c>
      <c r="Q21" s="6" t="s">
        <v>132</v>
      </c>
      <c r="R21" s="35">
        <v>8895</v>
      </c>
      <c r="S21" s="35">
        <v>2383</v>
      </c>
      <c r="T21" s="36" t="s">
        <v>50</v>
      </c>
      <c r="U21" s="46">
        <f>IF($L21&lt;=2,
IF($R21&lt;=RpmDesignStandard!$C$2,RpmDesignStandard!$D$2,
IF(AND($R21&gt;RpmDesignStandard!$B$3,$R21&lt;=RpmDesignStandard!$C$3),RpmDesignStandard!$D$3,RpmDesignStandard!$D$4)),
IF($R21&lt;=RpmDesignStandard!$C$5, RpmDesignStandard!$D$5,
IF(AND($R21&gt;RpmDesignStandard!$B$6,$R21&lt;=RpmDesignStandard!$C$6),RpmDesignStandard!$D$6,
IF(AND($R21&gt;RpmDesignStandard!$B$7,$R21&lt;=RpmDesignStandard!$C$7),RpmDesignStandard!$D$7,RpmDesignStandard!$D$8))))</f>
        <v>4</v>
      </c>
      <c r="V21" s="47">
        <f>U21*RpmDesignStandard!$H$1</f>
        <v>8</v>
      </c>
      <c r="W21" s="37" t="str">
        <f>VLOOKUP(A21,RPM_ProjectRecord!A:AB,8,FALSE)</f>
        <v/>
      </c>
      <c r="X21" s="38">
        <f t="shared" si="0"/>
        <v>2036</v>
      </c>
      <c r="Y21" s="38" t="str">
        <f t="shared" si="1"/>
        <v/>
      </c>
      <c r="Z21" s="38" t="str">
        <f t="shared" si="2"/>
        <v/>
      </c>
      <c r="AA21" s="38" t="str">
        <f t="shared" si="3"/>
        <v/>
      </c>
      <c r="AB21" s="38" t="str">
        <f t="shared" si="4"/>
        <v/>
      </c>
      <c r="AC21" s="38" t="str">
        <f>IF(VLOOKUP(A21,'3rdPhaseChipSeal'!A:L,12,FALSE)="","",VLOOKUP(A21,'3rdPhaseChipSeal'!A:L,12,FALSE))</f>
        <v/>
      </c>
      <c r="AD21" s="38">
        <f>IFERROR(IF(VLOOKUP(A21,RpmContracts!A:C,3,FALSE)="","",VLOOKUP(A21,RpmContracts!A:C,3,FALSE)),"")</f>
        <v>2027</v>
      </c>
      <c r="AE21" s="7" t="str">
        <f>IF(VLOOKUP(A21,'20yPlan'!A:B,2,FALSE)="","",VLOOKUP(A21,'20yPlan'!A:B,2,FALSE))</f>
        <v>2036 Preventive Maintenance</v>
      </c>
      <c r="AF21" s="7" t="str">
        <f>IF(VLOOKUP(A21,'20yPlan'!A:C,3,FALSE)="","",VLOOKUP(A21,'20yPlan'!A:C,3,FALSE))</f>
        <v/>
      </c>
      <c r="AG21" s="7" t="str">
        <f>IF(VLOOKUP(A21,'20yPlan'!A:D,4,FALSE)="","",VLOOKUP(A21,'20yPlan'!A:D,4,FALSE))</f>
        <v/>
      </c>
      <c r="AH21" s="7" t="str">
        <f>IF(VLOOKUP(A21,'20yPlan'!A:E,5,FALSE)="","",VLOOKUP(A21,'20yPlan'!A:E,5,FALSE))</f>
        <v/>
      </c>
      <c r="AI21" s="7" t="str">
        <f>IF(VLOOKUP(A21,'20yPlan'!A:F,6,FALSE)="","",VLOOKUP(A21,'20yPlan'!A:F,6,FALSE))</f>
        <v/>
      </c>
      <c r="AJ21" s="7" t="str">
        <f t="shared" si="5"/>
        <v/>
      </c>
      <c r="AK21" s="7" t="str">
        <f t="shared" si="6"/>
        <v>2027 RPM Replacement</v>
      </c>
      <c r="AL21" s="39">
        <f t="shared" ca="1" si="7"/>
        <v>2025</v>
      </c>
      <c r="AM21" s="7">
        <f t="shared" si="8"/>
        <v>2027</v>
      </c>
      <c r="AN21" s="7" t="str">
        <f t="shared" si="9"/>
        <v>2027 RPM Replacement</v>
      </c>
    </row>
    <row r="22" spans="1:40">
      <c r="A22" s="6">
        <v>60020</v>
      </c>
      <c r="B22" s="6" t="s">
        <v>102</v>
      </c>
      <c r="C22" s="6" t="s">
        <v>133</v>
      </c>
      <c r="D22" s="6">
        <v>69.238748999999999</v>
      </c>
      <c r="E22" s="6">
        <v>73.499572999999998</v>
      </c>
      <c r="F22" s="6" t="s">
        <v>129</v>
      </c>
      <c r="G22" s="6" t="s">
        <v>134</v>
      </c>
      <c r="H22" s="35">
        <v>111443</v>
      </c>
      <c r="I22" s="6" t="s">
        <v>55</v>
      </c>
      <c r="J22" s="6">
        <v>11</v>
      </c>
      <c r="K22" s="6">
        <v>2027</v>
      </c>
      <c r="L22" s="6">
        <v>4</v>
      </c>
      <c r="M22" s="6" t="s">
        <v>45</v>
      </c>
      <c r="N22" s="6" t="s">
        <v>46</v>
      </c>
      <c r="O22" s="6" t="s">
        <v>130</v>
      </c>
      <c r="P22" s="6" t="s">
        <v>135</v>
      </c>
      <c r="Q22" s="6" t="s">
        <v>136</v>
      </c>
      <c r="R22" s="35">
        <v>8895</v>
      </c>
      <c r="S22" s="35">
        <v>2383</v>
      </c>
      <c r="T22" s="36" t="s">
        <v>50</v>
      </c>
      <c r="U22" s="46">
        <f>IF($L22&lt;=2,
IF($R22&lt;=RpmDesignStandard!$C$2,RpmDesignStandard!$D$2,
IF(AND($R22&gt;RpmDesignStandard!$B$3,$R22&lt;=RpmDesignStandard!$C$3),RpmDesignStandard!$D$3,RpmDesignStandard!$D$4)),
IF($R22&lt;=RpmDesignStandard!$C$5, RpmDesignStandard!$D$5,
IF(AND($R22&gt;RpmDesignStandard!$B$6,$R22&lt;=RpmDesignStandard!$C$6),RpmDesignStandard!$D$6,
IF(AND($R22&gt;RpmDesignStandard!$B$7,$R22&lt;=RpmDesignStandard!$C$7),RpmDesignStandard!$D$7,RpmDesignStandard!$D$8))))</f>
        <v>4</v>
      </c>
      <c r="V22" s="47">
        <f>U22*RpmDesignStandard!$H$1</f>
        <v>8</v>
      </c>
      <c r="W22" s="37" t="str">
        <f>VLOOKUP(A22,RPM_ProjectRecord!A:AB,8,FALSE)</f>
        <v/>
      </c>
      <c r="X22" s="38">
        <f t="shared" si="0"/>
        <v>2042</v>
      </c>
      <c r="Y22" s="38" t="str">
        <f t="shared" si="1"/>
        <v/>
      </c>
      <c r="Z22" s="38" t="str">
        <f t="shared" si="2"/>
        <v/>
      </c>
      <c r="AA22" s="38" t="str">
        <f t="shared" si="3"/>
        <v/>
      </c>
      <c r="AB22" s="38" t="str">
        <f t="shared" si="4"/>
        <v/>
      </c>
      <c r="AC22" s="38" t="str">
        <f>IF(VLOOKUP(A22,'3rdPhaseChipSeal'!A:L,12,FALSE)="","",VLOOKUP(A22,'3rdPhaseChipSeal'!A:L,12,FALSE))</f>
        <v/>
      </c>
      <c r="AD22" s="38">
        <f>IFERROR(IF(VLOOKUP(A22,RpmContracts!A:C,3,FALSE)="","",VLOOKUP(A22,RpmContracts!A:C,3,FALSE)),"")</f>
        <v>2027</v>
      </c>
      <c r="AE22" s="7" t="str">
        <f>IF(VLOOKUP(A22,'20yPlan'!A:B,2,FALSE)="","",VLOOKUP(A22,'20yPlan'!A:B,2,FALSE))</f>
        <v>2042 Preventive Maintenance</v>
      </c>
      <c r="AF22" s="7" t="str">
        <f>IF(VLOOKUP(A22,'20yPlan'!A:C,3,FALSE)="","",VLOOKUP(A22,'20yPlan'!A:C,3,FALSE))</f>
        <v/>
      </c>
      <c r="AG22" s="7" t="str">
        <f>IF(VLOOKUP(A22,'20yPlan'!A:D,4,FALSE)="","",VLOOKUP(A22,'20yPlan'!A:D,4,FALSE))</f>
        <v/>
      </c>
      <c r="AH22" s="7" t="str">
        <f>IF(VLOOKUP(A22,'20yPlan'!A:E,5,FALSE)="","",VLOOKUP(A22,'20yPlan'!A:E,5,FALSE))</f>
        <v/>
      </c>
      <c r="AI22" s="7" t="str">
        <f>IF(VLOOKUP(A22,'20yPlan'!A:F,6,FALSE)="","",VLOOKUP(A22,'20yPlan'!A:F,6,FALSE))</f>
        <v/>
      </c>
      <c r="AJ22" s="7" t="str">
        <f t="shared" si="5"/>
        <v/>
      </c>
      <c r="AK22" s="7" t="str">
        <f t="shared" si="6"/>
        <v>2027 RPM Replacement</v>
      </c>
      <c r="AL22" s="39">
        <f t="shared" ca="1" si="7"/>
        <v>2025</v>
      </c>
      <c r="AM22" s="7">
        <f t="shared" si="8"/>
        <v>2027</v>
      </c>
      <c r="AN22" s="7" t="str">
        <f t="shared" si="9"/>
        <v>2027 RPM Replacement</v>
      </c>
    </row>
    <row r="23" spans="1:40">
      <c r="A23" s="6">
        <v>60021</v>
      </c>
      <c r="B23" s="6" t="s">
        <v>137</v>
      </c>
      <c r="C23" s="6" t="s">
        <v>138</v>
      </c>
      <c r="D23" s="6">
        <v>0</v>
      </c>
      <c r="E23" s="6">
        <v>1.057752</v>
      </c>
      <c r="F23" s="6" t="s">
        <v>139</v>
      </c>
      <c r="G23" s="6" t="s">
        <v>140</v>
      </c>
      <c r="H23" s="35">
        <v>53754</v>
      </c>
      <c r="I23" s="6" t="s">
        <v>141</v>
      </c>
      <c r="J23" s="6">
        <v>4</v>
      </c>
      <c r="K23" s="6"/>
      <c r="L23" s="6">
        <v>4</v>
      </c>
      <c r="M23" s="6" t="s">
        <v>45</v>
      </c>
      <c r="N23" s="6" t="s">
        <v>46</v>
      </c>
      <c r="O23" s="6" t="s">
        <v>61</v>
      </c>
      <c r="P23" s="6" t="s">
        <v>106</v>
      </c>
      <c r="Q23" s="6" t="s">
        <v>107</v>
      </c>
      <c r="R23" s="35">
        <v>38467</v>
      </c>
      <c r="S23" s="35">
        <v>5122</v>
      </c>
      <c r="T23" s="36" t="s">
        <v>50</v>
      </c>
      <c r="U23" s="46">
        <f>IF($L23&lt;=2,
IF($R23&lt;=RpmDesignStandard!$C$2,RpmDesignStandard!$D$2,
IF(AND($R23&gt;RpmDesignStandard!$B$3,$R23&lt;=RpmDesignStandard!$C$3),RpmDesignStandard!$D$3,RpmDesignStandard!$D$4)),
IF($R23&lt;=RpmDesignStandard!$C$5, RpmDesignStandard!$D$5,
IF(AND($R23&gt;RpmDesignStandard!$B$6,$R23&lt;=RpmDesignStandard!$C$6),RpmDesignStandard!$D$6,
IF(AND($R23&gt;RpmDesignStandard!$B$7,$R23&lt;=RpmDesignStandard!$C$7),RpmDesignStandard!$D$7,RpmDesignStandard!$D$8))))</f>
        <v>2</v>
      </c>
      <c r="V23" s="47">
        <f>U23*RpmDesignStandard!$H$1</f>
        <v>4</v>
      </c>
      <c r="W23" s="37" t="str">
        <f>VLOOKUP(A23,RPM_ProjectRecord!A:AB,8,FALSE)</f>
        <v/>
      </c>
      <c r="X23" s="38" t="str">
        <f t="shared" si="0"/>
        <v/>
      </c>
      <c r="Y23" s="38" t="str">
        <f t="shared" si="1"/>
        <v/>
      </c>
      <c r="Z23" s="38" t="str">
        <f t="shared" si="2"/>
        <v/>
      </c>
      <c r="AA23" s="38" t="str">
        <f t="shared" si="3"/>
        <v/>
      </c>
      <c r="AB23" s="38" t="str">
        <f t="shared" si="4"/>
        <v/>
      </c>
      <c r="AC23" s="38" t="str">
        <f>IF(VLOOKUP(A23,'3rdPhaseChipSeal'!A:L,12,FALSE)="","",VLOOKUP(A23,'3rdPhaseChipSeal'!A:L,12,FALSE))</f>
        <v/>
      </c>
      <c r="AD23" s="38" t="str">
        <f>IFERROR(IF(VLOOKUP(A23,RpmContracts!A:C,3,FALSE)="","",VLOOKUP(A23,RpmContracts!A:C,3,FALSE)),"")</f>
        <v/>
      </c>
      <c r="AE23" s="7" t="str">
        <f>IF(VLOOKUP(A23,'20yPlan'!A:B,2,FALSE)="","",VLOOKUP(A23,'20yPlan'!A:B,2,FALSE))</f>
        <v/>
      </c>
      <c r="AF23" s="7" t="str">
        <f>IF(VLOOKUP(A23,'20yPlan'!A:C,3,FALSE)="","",VLOOKUP(A23,'20yPlan'!A:C,3,FALSE))</f>
        <v/>
      </c>
      <c r="AG23" s="7" t="str">
        <f>IF(VLOOKUP(A23,'20yPlan'!A:D,4,FALSE)="","",VLOOKUP(A23,'20yPlan'!A:D,4,FALSE))</f>
        <v/>
      </c>
      <c r="AH23" s="7" t="str">
        <f>IF(VLOOKUP(A23,'20yPlan'!A:E,5,FALSE)="","",VLOOKUP(A23,'20yPlan'!A:E,5,FALSE))</f>
        <v/>
      </c>
      <c r="AI23" s="7" t="str">
        <f>IF(VLOOKUP(A23,'20yPlan'!A:F,6,FALSE)="","",VLOOKUP(A23,'20yPlan'!A:F,6,FALSE))</f>
        <v/>
      </c>
      <c r="AJ23" s="7" t="str">
        <f t="shared" si="5"/>
        <v/>
      </c>
      <c r="AK23" s="7" t="str">
        <f t="shared" si="6"/>
        <v/>
      </c>
      <c r="AL23" s="39">
        <f t="shared" ca="1" si="7"/>
        <v>2025</v>
      </c>
      <c r="AM23" s="7" t="str">
        <f t="shared" si="8"/>
        <v/>
      </c>
      <c r="AN23" s="7" t="str">
        <f t="shared" si="9"/>
        <v/>
      </c>
    </row>
    <row r="24" spans="1:40">
      <c r="A24" s="6">
        <v>60022</v>
      </c>
      <c r="B24" s="6" t="s">
        <v>137</v>
      </c>
      <c r="C24" s="6" t="s">
        <v>142</v>
      </c>
      <c r="D24" s="6">
        <v>8.9040900000000001</v>
      </c>
      <c r="E24" s="6">
        <v>12.194725999999999</v>
      </c>
      <c r="F24" s="6" t="s">
        <v>143</v>
      </c>
      <c r="G24" s="6" t="s">
        <v>144</v>
      </c>
      <c r="H24" s="35">
        <v>142320</v>
      </c>
      <c r="I24" s="6" t="s">
        <v>141</v>
      </c>
      <c r="J24" s="6">
        <v>6</v>
      </c>
      <c r="K24" s="6"/>
      <c r="L24" s="6">
        <v>4</v>
      </c>
      <c r="M24" s="6" t="s">
        <v>45</v>
      </c>
      <c r="N24" s="6" t="s">
        <v>46</v>
      </c>
      <c r="O24" s="6" t="s">
        <v>61</v>
      </c>
      <c r="P24" s="6" t="s">
        <v>66</v>
      </c>
      <c r="Q24" s="6" t="s">
        <v>107</v>
      </c>
      <c r="R24" s="35">
        <v>25274</v>
      </c>
      <c r="S24" s="35">
        <v>3433</v>
      </c>
      <c r="T24" s="36" t="s">
        <v>50</v>
      </c>
      <c r="U24" s="46">
        <f>IF($L24&lt;=2,
IF($R24&lt;=RpmDesignStandard!$C$2,RpmDesignStandard!$D$2,
IF(AND($R24&gt;RpmDesignStandard!$B$3,$R24&lt;=RpmDesignStandard!$C$3),RpmDesignStandard!$D$3,RpmDesignStandard!$D$4)),
IF($R24&lt;=RpmDesignStandard!$C$5, RpmDesignStandard!$D$5,
IF(AND($R24&gt;RpmDesignStandard!$B$6,$R24&lt;=RpmDesignStandard!$C$6),RpmDesignStandard!$D$6,
IF(AND($R24&gt;RpmDesignStandard!$B$7,$R24&lt;=RpmDesignStandard!$C$7),RpmDesignStandard!$D$7,RpmDesignStandard!$D$8))))</f>
        <v>3</v>
      </c>
      <c r="V24" s="47">
        <f>U24*RpmDesignStandard!$H$1</f>
        <v>6</v>
      </c>
      <c r="W24" s="37">
        <f>VLOOKUP(A24,RPM_ProjectRecord!A:AB,8,FALSE)</f>
        <v>2025</v>
      </c>
      <c r="X24" s="38" t="str">
        <f t="shared" si="0"/>
        <v/>
      </c>
      <c r="Y24" s="38" t="str">
        <f t="shared" si="1"/>
        <v/>
      </c>
      <c r="Z24" s="38" t="str">
        <f t="shared" si="2"/>
        <v/>
      </c>
      <c r="AA24" s="38" t="str">
        <f t="shared" si="3"/>
        <v/>
      </c>
      <c r="AB24" s="38" t="str">
        <f t="shared" si="4"/>
        <v/>
      </c>
      <c r="AC24" s="38" t="str">
        <f>IF(VLOOKUP(A24,'3rdPhaseChipSeal'!A:L,12,FALSE)="","",VLOOKUP(A24,'3rdPhaseChipSeal'!A:L,12,FALSE))</f>
        <v/>
      </c>
      <c r="AD24" s="38">
        <f>IFERROR(IF(VLOOKUP(A24,RpmContracts!A:C,3,FALSE)="","",VLOOKUP(A24,RpmContracts!A:C,3,FALSE)),"")</f>
        <v>2027</v>
      </c>
      <c r="AE24" s="7" t="str">
        <f>IF(VLOOKUP(A24,'20yPlan'!A:B,2,FALSE)="","",VLOOKUP(A24,'20yPlan'!A:B,2,FALSE))</f>
        <v/>
      </c>
      <c r="AF24" s="7" t="str">
        <f>IF(VLOOKUP(A24,'20yPlan'!A:C,3,FALSE)="","",VLOOKUP(A24,'20yPlan'!A:C,3,FALSE))</f>
        <v/>
      </c>
      <c r="AG24" s="7" t="str">
        <f>IF(VLOOKUP(A24,'20yPlan'!A:D,4,FALSE)="","",VLOOKUP(A24,'20yPlan'!A:D,4,FALSE))</f>
        <v/>
      </c>
      <c r="AH24" s="7" t="str">
        <f>IF(VLOOKUP(A24,'20yPlan'!A:E,5,FALSE)="","",VLOOKUP(A24,'20yPlan'!A:E,5,FALSE))</f>
        <v/>
      </c>
      <c r="AI24" s="7" t="str">
        <f>IF(VLOOKUP(A24,'20yPlan'!A:F,6,FALSE)="","",VLOOKUP(A24,'20yPlan'!A:F,6,FALSE))</f>
        <v/>
      </c>
      <c r="AJ24" s="7" t="str">
        <f t="shared" si="5"/>
        <v/>
      </c>
      <c r="AK24" s="7" t="str">
        <f t="shared" si="6"/>
        <v>2027 RPM Replacement</v>
      </c>
      <c r="AL24" s="39">
        <f t="shared" ca="1" si="7"/>
        <v>2028</v>
      </c>
      <c r="AM24" s="7">
        <f t="shared" si="8"/>
        <v>2027</v>
      </c>
      <c r="AN24" s="7" t="str">
        <f t="shared" si="9"/>
        <v>2027 RPM Replacement</v>
      </c>
    </row>
    <row r="25" spans="1:40">
      <c r="A25" s="6">
        <v>60023</v>
      </c>
      <c r="B25" s="6" t="s">
        <v>137</v>
      </c>
      <c r="C25" s="6" t="s">
        <v>145</v>
      </c>
      <c r="D25" s="6">
        <v>12.194725999999999</v>
      </c>
      <c r="E25" s="6">
        <v>22.403544</v>
      </c>
      <c r="F25" s="6" t="s">
        <v>144</v>
      </c>
      <c r="G25" s="6" t="s">
        <v>146</v>
      </c>
      <c r="H25" s="35">
        <v>527969</v>
      </c>
      <c r="I25" s="6" t="s">
        <v>141</v>
      </c>
      <c r="J25" s="6">
        <v>8</v>
      </c>
      <c r="K25" s="6">
        <v>2027</v>
      </c>
      <c r="L25" s="6">
        <v>4</v>
      </c>
      <c r="M25" s="6" t="s">
        <v>45</v>
      </c>
      <c r="N25" s="6" t="s">
        <v>46</v>
      </c>
      <c r="O25" s="6" t="s">
        <v>56</v>
      </c>
      <c r="P25" s="6" t="s">
        <v>147</v>
      </c>
      <c r="Q25" s="6" t="s">
        <v>67</v>
      </c>
      <c r="R25" s="35">
        <v>23678</v>
      </c>
      <c r="S25" s="35">
        <v>3386</v>
      </c>
      <c r="T25" s="36" t="s">
        <v>50</v>
      </c>
      <c r="U25" s="46">
        <f>IF($L25&lt;=2,
IF($R25&lt;=RpmDesignStandard!$C$2,RpmDesignStandard!$D$2,
IF(AND($R25&gt;RpmDesignStandard!$B$3,$R25&lt;=RpmDesignStandard!$C$3),RpmDesignStandard!$D$3,RpmDesignStandard!$D$4)),
IF($R25&lt;=RpmDesignStandard!$C$5, RpmDesignStandard!$D$5,
IF(AND($R25&gt;RpmDesignStandard!$B$6,$R25&lt;=RpmDesignStandard!$C$6),RpmDesignStandard!$D$6,
IF(AND($R25&gt;RpmDesignStandard!$B$7,$R25&lt;=RpmDesignStandard!$C$7),RpmDesignStandard!$D$7,RpmDesignStandard!$D$8))))</f>
        <v>3</v>
      </c>
      <c r="V25" s="47">
        <f>U25*RpmDesignStandard!$H$1</f>
        <v>6</v>
      </c>
      <c r="W25" s="37" t="str">
        <f>VLOOKUP(A25,RPM_ProjectRecord!A:AB,8,FALSE)</f>
        <v/>
      </c>
      <c r="X25" s="38">
        <f t="shared" si="0"/>
        <v>2030</v>
      </c>
      <c r="Y25" s="38" t="str">
        <f t="shared" si="1"/>
        <v/>
      </c>
      <c r="Z25" s="38" t="str">
        <f t="shared" si="2"/>
        <v/>
      </c>
      <c r="AA25" s="38" t="str">
        <f t="shared" si="3"/>
        <v/>
      </c>
      <c r="AB25" s="38" t="str">
        <f t="shared" si="4"/>
        <v/>
      </c>
      <c r="AC25" s="38" t="str">
        <f>IF(VLOOKUP(A25,'3rdPhaseChipSeal'!A:L,12,FALSE)="","",VLOOKUP(A25,'3rdPhaseChipSeal'!A:L,12,FALSE))</f>
        <v/>
      </c>
      <c r="AD25" s="38" t="str">
        <f>IFERROR(IF(VLOOKUP(A25,RpmContracts!A:C,3,FALSE)="","",VLOOKUP(A25,RpmContracts!A:C,3,FALSE)),"")</f>
        <v/>
      </c>
      <c r="AE25" s="7" t="str">
        <f>IF(VLOOKUP(A25,'20yPlan'!A:B,2,FALSE)="","",VLOOKUP(A25,'20yPlan'!A:B,2,FALSE))</f>
        <v>2030 Major Structural</v>
      </c>
      <c r="AF25" s="7" t="str">
        <f>IF(VLOOKUP(A25,'20yPlan'!A:C,3,FALSE)="","",VLOOKUP(A25,'20yPlan'!A:C,3,FALSE))</f>
        <v/>
      </c>
      <c r="AG25" s="7" t="str">
        <f>IF(VLOOKUP(A25,'20yPlan'!A:D,4,FALSE)="","",VLOOKUP(A25,'20yPlan'!A:D,4,FALSE))</f>
        <v/>
      </c>
      <c r="AH25" s="7" t="str">
        <f>IF(VLOOKUP(A25,'20yPlan'!A:E,5,FALSE)="","",VLOOKUP(A25,'20yPlan'!A:E,5,FALSE))</f>
        <v/>
      </c>
      <c r="AI25" s="7" t="str">
        <f>IF(VLOOKUP(A25,'20yPlan'!A:F,6,FALSE)="","",VLOOKUP(A25,'20yPlan'!A:F,6,FALSE))</f>
        <v/>
      </c>
      <c r="AJ25" s="7" t="str">
        <f t="shared" si="5"/>
        <v/>
      </c>
      <c r="AK25" s="7" t="str">
        <f t="shared" si="6"/>
        <v/>
      </c>
      <c r="AL25" s="39">
        <f t="shared" ca="1" si="7"/>
        <v>2025</v>
      </c>
      <c r="AM25" s="7" t="str">
        <f t="shared" si="8"/>
        <v/>
      </c>
      <c r="AN25" s="7" t="str">
        <f t="shared" si="9"/>
        <v/>
      </c>
    </row>
    <row r="26" spans="1:40">
      <c r="A26" s="6">
        <v>60024</v>
      </c>
      <c r="B26" s="6" t="s">
        <v>137</v>
      </c>
      <c r="C26" s="6" t="s">
        <v>148</v>
      </c>
      <c r="D26" s="6">
        <v>22.403544</v>
      </c>
      <c r="E26" s="6">
        <v>31.516691999999999</v>
      </c>
      <c r="F26" s="6" t="s">
        <v>146</v>
      </c>
      <c r="G26" s="6" t="s">
        <v>149</v>
      </c>
      <c r="H26" s="35">
        <v>406131</v>
      </c>
      <c r="I26" s="6" t="s">
        <v>141</v>
      </c>
      <c r="J26" s="6">
        <v>11</v>
      </c>
      <c r="K26" s="6">
        <v>2027</v>
      </c>
      <c r="L26" s="6">
        <v>4</v>
      </c>
      <c r="M26" s="6" t="s">
        <v>45</v>
      </c>
      <c r="N26" s="6" t="s">
        <v>46</v>
      </c>
      <c r="O26" s="6" t="s">
        <v>56</v>
      </c>
      <c r="P26" s="6" t="s">
        <v>150</v>
      </c>
      <c r="Q26" s="6" t="s">
        <v>151</v>
      </c>
      <c r="R26" s="35">
        <v>19159</v>
      </c>
      <c r="S26" s="35">
        <v>2941</v>
      </c>
      <c r="T26" s="36" t="s">
        <v>50</v>
      </c>
      <c r="U26" s="46">
        <f>IF($L26&lt;=2,
IF($R26&lt;=RpmDesignStandard!$C$2,RpmDesignStandard!$D$2,
IF(AND($R26&gt;RpmDesignStandard!$B$3,$R26&lt;=RpmDesignStandard!$C$3),RpmDesignStandard!$D$3,RpmDesignStandard!$D$4)),
IF($R26&lt;=RpmDesignStandard!$C$5, RpmDesignStandard!$D$5,
IF(AND($R26&gt;RpmDesignStandard!$B$6,$R26&lt;=RpmDesignStandard!$C$6),RpmDesignStandard!$D$6,
IF(AND($R26&gt;RpmDesignStandard!$B$7,$R26&lt;=RpmDesignStandard!$C$7),RpmDesignStandard!$D$7,RpmDesignStandard!$D$8))))</f>
        <v>3</v>
      </c>
      <c r="V26" s="47">
        <f>U26*RpmDesignStandard!$H$1</f>
        <v>6</v>
      </c>
      <c r="W26" s="37">
        <f>VLOOKUP(A26,RPM_ProjectRecord!A:AB,8,FALSE)</f>
        <v>2021</v>
      </c>
      <c r="X26" s="38" t="str">
        <f t="shared" si="0"/>
        <v/>
      </c>
      <c r="Y26" s="38" t="str">
        <f t="shared" si="1"/>
        <v/>
      </c>
      <c r="Z26" s="38" t="str">
        <f t="shared" si="2"/>
        <v/>
      </c>
      <c r="AA26" s="38" t="str">
        <f t="shared" si="3"/>
        <v/>
      </c>
      <c r="AB26" s="38" t="str">
        <f t="shared" si="4"/>
        <v/>
      </c>
      <c r="AC26" s="38" t="str">
        <f>IF(VLOOKUP(A26,'3rdPhaseChipSeal'!A:L,12,FALSE)="","",VLOOKUP(A26,'3rdPhaseChipSeal'!A:L,12,FALSE))</f>
        <v/>
      </c>
      <c r="AD26" s="38">
        <f>IFERROR(IF(VLOOKUP(A26,RpmContracts!A:C,3,FALSE)="","",VLOOKUP(A26,RpmContracts!A:C,3,FALSE)),"")</f>
        <v>2027</v>
      </c>
      <c r="AE26" s="7" t="str">
        <f>IF(VLOOKUP(A26,'20yPlan'!A:B,2,FALSE)="","",VLOOKUP(A26,'20yPlan'!A:B,2,FALSE))</f>
        <v/>
      </c>
      <c r="AF26" s="7" t="str">
        <f>IF(VLOOKUP(A26,'20yPlan'!A:C,3,FALSE)="","",VLOOKUP(A26,'20yPlan'!A:C,3,FALSE))</f>
        <v/>
      </c>
      <c r="AG26" s="7" t="str">
        <f>IF(VLOOKUP(A26,'20yPlan'!A:D,4,FALSE)="","",VLOOKUP(A26,'20yPlan'!A:D,4,FALSE))</f>
        <v/>
      </c>
      <c r="AH26" s="7" t="str">
        <f>IF(VLOOKUP(A26,'20yPlan'!A:E,5,FALSE)="","",VLOOKUP(A26,'20yPlan'!A:E,5,FALSE))</f>
        <v/>
      </c>
      <c r="AI26" s="7" t="str">
        <f>IF(VLOOKUP(A26,'20yPlan'!A:F,6,FALSE)="","",VLOOKUP(A26,'20yPlan'!A:F,6,FALSE))</f>
        <v/>
      </c>
      <c r="AJ26" s="7" t="str">
        <f t="shared" si="5"/>
        <v/>
      </c>
      <c r="AK26" s="7" t="str">
        <f t="shared" si="6"/>
        <v>2027 RPM Replacement</v>
      </c>
      <c r="AL26" s="39">
        <f t="shared" ca="1" si="7"/>
        <v>2024</v>
      </c>
      <c r="AM26" s="7">
        <f t="shared" si="8"/>
        <v>2027</v>
      </c>
      <c r="AN26" s="7" t="str">
        <f t="shared" si="9"/>
        <v>2027 RPM Replacement</v>
      </c>
    </row>
    <row r="27" spans="1:40">
      <c r="A27" s="6">
        <v>60025</v>
      </c>
      <c r="B27" s="6" t="s">
        <v>137</v>
      </c>
      <c r="C27" s="6" t="s">
        <v>152</v>
      </c>
      <c r="D27" s="6">
        <v>31.516691999999999</v>
      </c>
      <c r="E27" s="6">
        <v>43.178108999999999</v>
      </c>
      <c r="F27" s="6" t="s">
        <v>149</v>
      </c>
      <c r="G27" s="6" t="s">
        <v>153</v>
      </c>
      <c r="H27" s="35">
        <v>513715</v>
      </c>
      <c r="I27" s="6" t="s">
        <v>154</v>
      </c>
      <c r="J27" s="6">
        <v>5</v>
      </c>
      <c r="K27" s="6"/>
      <c r="L27" s="6">
        <v>4</v>
      </c>
      <c r="M27" s="6" t="s">
        <v>45</v>
      </c>
      <c r="N27" s="6" t="s">
        <v>46</v>
      </c>
      <c r="O27" s="6" t="s">
        <v>121</v>
      </c>
      <c r="P27" s="6" t="s">
        <v>122</v>
      </c>
      <c r="Q27" s="6" t="s">
        <v>155</v>
      </c>
      <c r="R27" s="35">
        <v>11679</v>
      </c>
      <c r="S27" s="35">
        <v>1791</v>
      </c>
      <c r="T27" s="36" t="s">
        <v>50</v>
      </c>
      <c r="U27" s="46">
        <f>IF($L27&lt;=2,
IF($R27&lt;=RpmDesignStandard!$C$2,RpmDesignStandard!$D$2,
IF(AND($R27&gt;RpmDesignStandard!$B$3,$R27&lt;=RpmDesignStandard!$C$3),RpmDesignStandard!$D$3,RpmDesignStandard!$D$4)),
IF($R27&lt;=RpmDesignStandard!$C$5, RpmDesignStandard!$D$5,
IF(AND($R27&gt;RpmDesignStandard!$B$6,$R27&lt;=RpmDesignStandard!$C$6),RpmDesignStandard!$D$6,
IF(AND($R27&gt;RpmDesignStandard!$B$7,$R27&lt;=RpmDesignStandard!$C$7),RpmDesignStandard!$D$7,RpmDesignStandard!$D$8))))</f>
        <v>3</v>
      </c>
      <c r="V27" s="47">
        <f>U27*RpmDesignStandard!$H$1</f>
        <v>6</v>
      </c>
      <c r="W27" s="37">
        <f>VLOOKUP(A27,RPM_ProjectRecord!A:AB,8,FALSE)</f>
        <v>2025</v>
      </c>
      <c r="X27" s="38" t="str">
        <f t="shared" si="0"/>
        <v/>
      </c>
      <c r="Y27" s="38" t="str">
        <f t="shared" si="1"/>
        <v/>
      </c>
      <c r="Z27" s="38" t="str">
        <f t="shared" si="2"/>
        <v/>
      </c>
      <c r="AA27" s="38" t="str">
        <f t="shared" si="3"/>
        <v/>
      </c>
      <c r="AB27" s="38" t="str">
        <f t="shared" si="4"/>
        <v/>
      </c>
      <c r="AC27" s="38" t="str">
        <f>IF(VLOOKUP(A27,'3rdPhaseChipSeal'!A:L,12,FALSE)="","",VLOOKUP(A27,'3rdPhaseChipSeal'!A:L,12,FALSE))</f>
        <v/>
      </c>
      <c r="AD27" s="38">
        <f>IFERROR(IF(VLOOKUP(A27,RpmContracts!A:C,3,FALSE)="","",VLOOKUP(A27,RpmContracts!A:C,3,FALSE)),"")</f>
        <v>2027</v>
      </c>
      <c r="AE27" s="7" t="str">
        <f>IF(VLOOKUP(A27,'20yPlan'!A:B,2,FALSE)="","",VLOOKUP(A27,'20yPlan'!A:B,2,FALSE))</f>
        <v/>
      </c>
      <c r="AF27" s="7" t="str">
        <f>IF(VLOOKUP(A27,'20yPlan'!A:C,3,FALSE)="","",VLOOKUP(A27,'20yPlan'!A:C,3,FALSE))</f>
        <v/>
      </c>
      <c r="AG27" s="7" t="str">
        <f>IF(VLOOKUP(A27,'20yPlan'!A:D,4,FALSE)="","",VLOOKUP(A27,'20yPlan'!A:D,4,FALSE))</f>
        <v/>
      </c>
      <c r="AH27" s="7" t="str">
        <f>IF(VLOOKUP(A27,'20yPlan'!A:E,5,FALSE)="","",VLOOKUP(A27,'20yPlan'!A:E,5,FALSE))</f>
        <v/>
      </c>
      <c r="AI27" s="7" t="str">
        <f>IF(VLOOKUP(A27,'20yPlan'!A:F,6,FALSE)="","",VLOOKUP(A27,'20yPlan'!A:F,6,FALSE))</f>
        <v/>
      </c>
      <c r="AJ27" s="7" t="str">
        <f t="shared" si="5"/>
        <v/>
      </c>
      <c r="AK27" s="7" t="str">
        <f t="shared" si="6"/>
        <v>2027 RPM Replacement</v>
      </c>
      <c r="AL27" s="39">
        <f t="shared" ca="1" si="7"/>
        <v>2028</v>
      </c>
      <c r="AM27" s="7">
        <f t="shared" si="8"/>
        <v>2027</v>
      </c>
      <c r="AN27" s="7" t="str">
        <f t="shared" si="9"/>
        <v>2027 RPM Replacement</v>
      </c>
    </row>
    <row r="28" spans="1:40">
      <c r="A28" s="6">
        <v>60026</v>
      </c>
      <c r="B28" s="6" t="s">
        <v>137</v>
      </c>
      <c r="C28" s="6" t="s">
        <v>156</v>
      </c>
      <c r="D28" s="6">
        <v>43.178108999999999</v>
      </c>
      <c r="E28" s="6">
        <v>54.736685999999999</v>
      </c>
      <c r="F28" s="6" t="s">
        <v>153</v>
      </c>
      <c r="G28" s="6" t="s">
        <v>157</v>
      </c>
      <c r="H28" s="35">
        <v>543253</v>
      </c>
      <c r="I28" s="6" t="s">
        <v>154</v>
      </c>
      <c r="J28" s="6">
        <v>17</v>
      </c>
      <c r="K28" s="6">
        <v>2026</v>
      </c>
      <c r="L28" s="6">
        <v>4</v>
      </c>
      <c r="M28" s="6" t="s">
        <v>45</v>
      </c>
      <c r="N28" s="6" t="s">
        <v>46</v>
      </c>
      <c r="O28" s="6" t="s">
        <v>121</v>
      </c>
      <c r="P28" s="6" t="s">
        <v>122</v>
      </c>
      <c r="Q28" s="6" t="s">
        <v>155</v>
      </c>
      <c r="R28" s="35">
        <v>13676</v>
      </c>
      <c r="S28" s="35">
        <v>2097</v>
      </c>
      <c r="T28" s="36" t="s">
        <v>50</v>
      </c>
      <c r="U28" s="46">
        <f>IF($L28&lt;=2,
IF($R28&lt;=RpmDesignStandard!$C$2,RpmDesignStandard!$D$2,
IF(AND($R28&gt;RpmDesignStandard!$B$3,$R28&lt;=RpmDesignStandard!$C$3),RpmDesignStandard!$D$3,RpmDesignStandard!$D$4)),
IF($R28&lt;=RpmDesignStandard!$C$5, RpmDesignStandard!$D$5,
IF(AND($R28&gt;RpmDesignStandard!$B$6,$R28&lt;=RpmDesignStandard!$C$6),RpmDesignStandard!$D$6,
IF(AND($R28&gt;RpmDesignStandard!$B$7,$R28&lt;=RpmDesignStandard!$C$7),RpmDesignStandard!$D$7,RpmDesignStandard!$D$8))))</f>
        <v>3</v>
      </c>
      <c r="V28" s="47">
        <f>U28*RpmDesignStandard!$H$1</f>
        <v>6</v>
      </c>
      <c r="W28" s="37" t="str">
        <f>VLOOKUP(A28,RPM_ProjectRecord!A:AB,8,FALSE)</f>
        <v/>
      </c>
      <c r="X28" s="38" t="str">
        <f t="shared" si="0"/>
        <v/>
      </c>
      <c r="Y28" s="38" t="str">
        <f t="shared" si="1"/>
        <v/>
      </c>
      <c r="Z28" s="38" t="str">
        <f t="shared" si="2"/>
        <v/>
      </c>
      <c r="AA28" s="38" t="str">
        <f t="shared" si="3"/>
        <v/>
      </c>
      <c r="AB28" s="38" t="str">
        <f t="shared" si="4"/>
        <v/>
      </c>
      <c r="AC28" s="38" t="str">
        <f>IF(VLOOKUP(A28,'3rdPhaseChipSeal'!A:L,12,FALSE)="","",VLOOKUP(A28,'3rdPhaseChipSeal'!A:L,12,FALSE))</f>
        <v/>
      </c>
      <c r="AD28" s="38">
        <f>IFERROR(IF(VLOOKUP(A28,RpmContracts!A:C,3,FALSE)="","",VLOOKUP(A28,RpmContracts!A:C,3,FALSE)),"")</f>
        <v>2027</v>
      </c>
      <c r="AE28" s="7" t="str">
        <f>IF(VLOOKUP(A28,'20yPlan'!A:B,2,FALSE)="","",VLOOKUP(A28,'20yPlan'!A:B,2,FALSE))</f>
        <v/>
      </c>
      <c r="AF28" s="7" t="str">
        <f>IF(VLOOKUP(A28,'20yPlan'!A:C,3,FALSE)="","",VLOOKUP(A28,'20yPlan'!A:C,3,FALSE))</f>
        <v/>
      </c>
      <c r="AG28" s="7" t="str">
        <f>IF(VLOOKUP(A28,'20yPlan'!A:D,4,FALSE)="","",VLOOKUP(A28,'20yPlan'!A:D,4,FALSE))</f>
        <v/>
      </c>
      <c r="AH28" s="7" t="str">
        <f>IF(VLOOKUP(A28,'20yPlan'!A:E,5,FALSE)="","",VLOOKUP(A28,'20yPlan'!A:E,5,FALSE))</f>
        <v/>
      </c>
      <c r="AI28" s="7" t="str">
        <f>IF(VLOOKUP(A28,'20yPlan'!A:F,6,FALSE)="","",VLOOKUP(A28,'20yPlan'!A:F,6,FALSE))</f>
        <v/>
      </c>
      <c r="AJ28" s="7" t="str">
        <f t="shared" si="5"/>
        <v/>
      </c>
      <c r="AK28" s="7" t="str">
        <f t="shared" si="6"/>
        <v>2027 RPM Replacement</v>
      </c>
      <c r="AL28" s="39">
        <f t="shared" ca="1" si="7"/>
        <v>2025</v>
      </c>
      <c r="AM28" s="7">
        <f t="shared" si="8"/>
        <v>2027</v>
      </c>
      <c r="AN28" s="7" t="str">
        <f t="shared" si="9"/>
        <v>2027 RPM Replacement</v>
      </c>
    </row>
    <row r="29" spans="1:40">
      <c r="A29" s="6">
        <v>60027</v>
      </c>
      <c r="B29" s="6" t="s">
        <v>137</v>
      </c>
      <c r="C29" s="6" t="s">
        <v>158</v>
      </c>
      <c r="D29" s="6">
        <v>56.490667999999999</v>
      </c>
      <c r="E29" s="6">
        <v>64.497228000000007</v>
      </c>
      <c r="F29" s="6" t="s">
        <v>159</v>
      </c>
      <c r="G29" s="6" t="s">
        <v>160</v>
      </c>
      <c r="H29" s="35">
        <v>416914</v>
      </c>
      <c r="I29" s="6" t="s">
        <v>154</v>
      </c>
      <c r="J29" s="6">
        <v>15</v>
      </c>
      <c r="K29" s="6">
        <v>2028</v>
      </c>
      <c r="L29" s="6">
        <v>4</v>
      </c>
      <c r="M29" s="6" t="s">
        <v>45</v>
      </c>
      <c r="N29" s="6" t="s">
        <v>46</v>
      </c>
      <c r="O29" s="6" t="s">
        <v>130</v>
      </c>
      <c r="P29" s="6" t="s">
        <v>161</v>
      </c>
      <c r="Q29" s="6" t="s">
        <v>162</v>
      </c>
      <c r="R29" s="35">
        <v>10183</v>
      </c>
      <c r="S29" s="35">
        <v>1562</v>
      </c>
      <c r="T29" s="36" t="s">
        <v>50</v>
      </c>
      <c r="U29" s="46">
        <f>IF($L29&lt;=2,
IF($R29&lt;=RpmDesignStandard!$C$2,RpmDesignStandard!$D$2,
IF(AND($R29&gt;RpmDesignStandard!$B$3,$R29&lt;=RpmDesignStandard!$C$3),RpmDesignStandard!$D$3,RpmDesignStandard!$D$4)),
IF($R29&lt;=RpmDesignStandard!$C$5, RpmDesignStandard!$D$5,
IF(AND($R29&gt;RpmDesignStandard!$B$6,$R29&lt;=RpmDesignStandard!$C$6),RpmDesignStandard!$D$6,
IF(AND($R29&gt;RpmDesignStandard!$B$7,$R29&lt;=RpmDesignStandard!$C$7),RpmDesignStandard!$D$7,RpmDesignStandard!$D$8))))</f>
        <v>3</v>
      </c>
      <c r="V29" s="47">
        <f>U29*RpmDesignStandard!$H$1</f>
        <v>6</v>
      </c>
      <c r="W29" s="37">
        <f>VLOOKUP(A29,RPM_ProjectRecord!A:AB,8,FALSE)</f>
        <v>2025</v>
      </c>
      <c r="X29" s="38" t="str">
        <f t="shared" si="0"/>
        <v/>
      </c>
      <c r="Y29" s="38" t="str">
        <f t="shared" si="1"/>
        <v/>
      </c>
      <c r="Z29" s="38" t="str">
        <f t="shared" si="2"/>
        <v/>
      </c>
      <c r="AA29" s="38" t="str">
        <f t="shared" si="3"/>
        <v/>
      </c>
      <c r="AB29" s="38" t="str">
        <f t="shared" si="4"/>
        <v/>
      </c>
      <c r="AC29" s="38" t="str">
        <f>IF(VLOOKUP(A29,'3rdPhaseChipSeal'!A:L,12,FALSE)="","",VLOOKUP(A29,'3rdPhaseChipSeal'!A:L,12,FALSE))</f>
        <v/>
      </c>
      <c r="AD29" s="38">
        <f>IFERROR(IF(VLOOKUP(A29,RpmContracts!A:C,3,FALSE)="","",VLOOKUP(A29,RpmContracts!A:C,3,FALSE)),"")</f>
        <v>2027</v>
      </c>
      <c r="AE29" s="7" t="str">
        <f>IF(VLOOKUP(A29,'20yPlan'!A:B,2,FALSE)="","",VLOOKUP(A29,'20yPlan'!A:B,2,FALSE))</f>
        <v/>
      </c>
      <c r="AF29" s="7" t="str">
        <f>IF(VLOOKUP(A29,'20yPlan'!A:C,3,FALSE)="","",VLOOKUP(A29,'20yPlan'!A:C,3,FALSE))</f>
        <v/>
      </c>
      <c r="AG29" s="7" t="str">
        <f>IF(VLOOKUP(A29,'20yPlan'!A:D,4,FALSE)="","",VLOOKUP(A29,'20yPlan'!A:D,4,FALSE))</f>
        <v/>
      </c>
      <c r="AH29" s="7" t="str">
        <f>IF(VLOOKUP(A29,'20yPlan'!A:E,5,FALSE)="","",VLOOKUP(A29,'20yPlan'!A:E,5,FALSE))</f>
        <v/>
      </c>
      <c r="AI29" s="7" t="str">
        <f>IF(VLOOKUP(A29,'20yPlan'!A:F,6,FALSE)="","",VLOOKUP(A29,'20yPlan'!A:F,6,FALSE))</f>
        <v/>
      </c>
      <c r="AJ29" s="7" t="str">
        <f t="shared" si="5"/>
        <v/>
      </c>
      <c r="AK29" s="7" t="str">
        <f t="shared" si="6"/>
        <v>2027 RPM Replacement</v>
      </c>
      <c r="AL29" s="39">
        <f t="shared" ca="1" si="7"/>
        <v>2028</v>
      </c>
      <c r="AM29" s="7">
        <f t="shared" si="8"/>
        <v>2027</v>
      </c>
      <c r="AN29" s="7" t="str">
        <f t="shared" si="9"/>
        <v>2027 RPM Replacement</v>
      </c>
    </row>
    <row r="30" spans="1:40">
      <c r="A30" s="6">
        <v>60028</v>
      </c>
      <c r="B30" s="6" t="s">
        <v>137</v>
      </c>
      <c r="C30" s="6" t="s">
        <v>163</v>
      </c>
      <c r="D30" s="6">
        <v>64.497228000000007</v>
      </c>
      <c r="E30" s="6">
        <v>70.449892000000006</v>
      </c>
      <c r="F30" s="6" t="s">
        <v>160</v>
      </c>
      <c r="G30" s="6" t="s">
        <v>164</v>
      </c>
      <c r="H30" s="35">
        <v>279906</v>
      </c>
      <c r="I30" s="6" t="s">
        <v>154</v>
      </c>
      <c r="J30" s="6">
        <v>15</v>
      </c>
      <c r="K30" s="6">
        <v>2030</v>
      </c>
      <c r="L30" s="6">
        <v>4</v>
      </c>
      <c r="M30" s="6" t="s">
        <v>45</v>
      </c>
      <c r="N30" s="6" t="s">
        <v>46</v>
      </c>
      <c r="O30" s="6" t="s">
        <v>165</v>
      </c>
      <c r="P30" s="6" t="s">
        <v>166</v>
      </c>
      <c r="Q30" s="6" t="s">
        <v>162</v>
      </c>
      <c r="R30" s="35">
        <v>9109</v>
      </c>
      <c r="S30" s="35">
        <v>1397</v>
      </c>
      <c r="T30" s="36" t="s">
        <v>50</v>
      </c>
      <c r="U30" s="46">
        <f>IF($L30&lt;=2,
IF($R30&lt;=RpmDesignStandard!$C$2,RpmDesignStandard!$D$2,
IF(AND($R30&gt;RpmDesignStandard!$B$3,$R30&lt;=RpmDesignStandard!$C$3),RpmDesignStandard!$D$3,RpmDesignStandard!$D$4)),
IF($R30&lt;=RpmDesignStandard!$C$5, RpmDesignStandard!$D$5,
IF(AND($R30&gt;RpmDesignStandard!$B$6,$R30&lt;=RpmDesignStandard!$C$6),RpmDesignStandard!$D$6,
IF(AND($R30&gt;RpmDesignStandard!$B$7,$R30&lt;=RpmDesignStandard!$C$7),RpmDesignStandard!$D$7,RpmDesignStandard!$D$8))))</f>
        <v>4</v>
      </c>
      <c r="V30" s="47">
        <f>U30*RpmDesignStandard!$H$1</f>
        <v>8</v>
      </c>
      <c r="W30" s="37">
        <f>VLOOKUP(A30,RPM_ProjectRecord!A:AB,8,FALSE)</f>
        <v>2025</v>
      </c>
      <c r="X30" s="38">
        <f t="shared" si="0"/>
        <v>2030</v>
      </c>
      <c r="Y30" s="38" t="str">
        <f t="shared" si="1"/>
        <v/>
      </c>
      <c r="Z30" s="38" t="str">
        <f t="shared" si="2"/>
        <v/>
      </c>
      <c r="AA30" s="38" t="str">
        <f t="shared" si="3"/>
        <v/>
      </c>
      <c r="AB30" s="38" t="str">
        <f t="shared" si="4"/>
        <v/>
      </c>
      <c r="AC30" s="38" t="str">
        <f>IF(VLOOKUP(A30,'3rdPhaseChipSeal'!A:L,12,FALSE)="","",VLOOKUP(A30,'3rdPhaseChipSeal'!A:L,12,FALSE))</f>
        <v/>
      </c>
      <c r="AD30" s="38">
        <f>IFERROR(IF(VLOOKUP(A30,RpmContracts!A:C,3,FALSE)="","",VLOOKUP(A30,RpmContracts!A:C,3,FALSE)),"")</f>
        <v>2027</v>
      </c>
      <c r="AE30" s="7" t="str">
        <f>IF(VLOOKUP(A30,'20yPlan'!A:B,2,FALSE)="","",VLOOKUP(A30,'20yPlan'!A:B,2,FALSE))</f>
        <v>2030 Preventive Maintenance</v>
      </c>
      <c r="AF30" s="7" t="str">
        <f>IF(VLOOKUP(A30,'20yPlan'!A:C,3,FALSE)="","",VLOOKUP(A30,'20yPlan'!A:C,3,FALSE))</f>
        <v/>
      </c>
      <c r="AG30" s="7" t="str">
        <f>IF(VLOOKUP(A30,'20yPlan'!A:D,4,FALSE)="","",VLOOKUP(A30,'20yPlan'!A:D,4,FALSE))</f>
        <v/>
      </c>
      <c r="AH30" s="7" t="str">
        <f>IF(VLOOKUP(A30,'20yPlan'!A:E,5,FALSE)="","",VLOOKUP(A30,'20yPlan'!A:E,5,FALSE))</f>
        <v/>
      </c>
      <c r="AI30" s="7" t="str">
        <f>IF(VLOOKUP(A30,'20yPlan'!A:F,6,FALSE)="","",VLOOKUP(A30,'20yPlan'!A:F,6,FALSE))</f>
        <v/>
      </c>
      <c r="AJ30" s="7" t="str">
        <f t="shared" si="5"/>
        <v/>
      </c>
      <c r="AK30" s="7" t="str">
        <f t="shared" si="6"/>
        <v>2027 RPM Replacement</v>
      </c>
      <c r="AL30" s="39">
        <f t="shared" ca="1" si="7"/>
        <v>2029</v>
      </c>
      <c r="AM30" s="7">
        <f t="shared" si="8"/>
        <v>2027</v>
      </c>
      <c r="AN30" s="7" t="str">
        <f t="shared" si="9"/>
        <v>2027 RPM Replacement</v>
      </c>
    </row>
    <row r="31" spans="1:40">
      <c r="A31" s="6">
        <v>60029</v>
      </c>
      <c r="B31" s="6" t="s">
        <v>137</v>
      </c>
      <c r="C31" s="6" t="s">
        <v>167</v>
      </c>
      <c r="D31" s="6">
        <v>70.449892000000006</v>
      </c>
      <c r="E31" s="6">
        <v>75.819745999999995</v>
      </c>
      <c r="F31" s="6" t="s">
        <v>164</v>
      </c>
      <c r="G31" s="6" t="s">
        <v>168</v>
      </c>
      <c r="H31" s="35">
        <v>247349</v>
      </c>
      <c r="I31" s="6" t="s">
        <v>154</v>
      </c>
      <c r="J31" s="6">
        <v>1</v>
      </c>
      <c r="K31" s="6"/>
      <c r="L31" s="6">
        <v>4</v>
      </c>
      <c r="M31" s="6" t="s">
        <v>45</v>
      </c>
      <c r="N31" s="6" t="s">
        <v>46</v>
      </c>
      <c r="O31" s="6" t="s">
        <v>165</v>
      </c>
      <c r="P31" s="6" t="s">
        <v>166</v>
      </c>
      <c r="Q31" s="6" t="s">
        <v>169</v>
      </c>
      <c r="R31" s="35">
        <v>8302</v>
      </c>
      <c r="S31" s="35">
        <v>1274</v>
      </c>
      <c r="T31" s="36" t="s">
        <v>50</v>
      </c>
      <c r="U31" s="46">
        <f>IF($L31&lt;=2,
IF($R31&lt;=RpmDesignStandard!$C$2,RpmDesignStandard!$D$2,
IF(AND($R31&gt;RpmDesignStandard!$B$3,$R31&lt;=RpmDesignStandard!$C$3),RpmDesignStandard!$D$3,RpmDesignStandard!$D$4)),
IF($R31&lt;=RpmDesignStandard!$C$5, RpmDesignStandard!$D$5,
IF(AND($R31&gt;RpmDesignStandard!$B$6,$R31&lt;=RpmDesignStandard!$C$6),RpmDesignStandard!$D$6,
IF(AND($R31&gt;RpmDesignStandard!$B$7,$R31&lt;=RpmDesignStandard!$C$7),RpmDesignStandard!$D$7,RpmDesignStandard!$D$8))))</f>
        <v>4</v>
      </c>
      <c r="V31" s="47">
        <f>U31*RpmDesignStandard!$H$1</f>
        <v>8</v>
      </c>
      <c r="W31" s="37">
        <f>VLOOKUP(A31,RPM_ProjectRecord!A:AB,8,FALSE)</f>
        <v>2022</v>
      </c>
      <c r="X31" s="38" t="str">
        <f t="shared" si="0"/>
        <v/>
      </c>
      <c r="Y31" s="38" t="str">
        <f t="shared" si="1"/>
        <v/>
      </c>
      <c r="Z31" s="38" t="str">
        <f t="shared" si="2"/>
        <v/>
      </c>
      <c r="AA31" s="38" t="str">
        <f t="shared" si="3"/>
        <v/>
      </c>
      <c r="AB31" s="38" t="str">
        <f t="shared" si="4"/>
        <v/>
      </c>
      <c r="AC31" s="38" t="str">
        <f>IF(VLOOKUP(A31,'3rdPhaseChipSeal'!A:L,12,FALSE)="","",VLOOKUP(A31,'3rdPhaseChipSeal'!A:L,12,FALSE))</f>
        <v/>
      </c>
      <c r="AD31" s="38">
        <f>IFERROR(IF(VLOOKUP(A31,RpmContracts!A:C,3,FALSE)="","",VLOOKUP(A31,RpmContracts!A:C,3,FALSE)),"")</f>
        <v>2027</v>
      </c>
      <c r="AE31" s="7" t="str">
        <f>IF(VLOOKUP(A31,'20yPlan'!A:B,2,FALSE)="","",VLOOKUP(A31,'20yPlan'!A:B,2,FALSE))</f>
        <v/>
      </c>
      <c r="AF31" s="7" t="str">
        <f>IF(VLOOKUP(A31,'20yPlan'!A:C,3,FALSE)="","",VLOOKUP(A31,'20yPlan'!A:C,3,FALSE))</f>
        <v/>
      </c>
      <c r="AG31" s="7" t="str">
        <f>IF(VLOOKUP(A31,'20yPlan'!A:D,4,FALSE)="","",VLOOKUP(A31,'20yPlan'!A:D,4,FALSE))</f>
        <v/>
      </c>
      <c r="AH31" s="7" t="str">
        <f>IF(VLOOKUP(A31,'20yPlan'!A:E,5,FALSE)="","",VLOOKUP(A31,'20yPlan'!A:E,5,FALSE))</f>
        <v/>
      </c>
      <c r="AI31" s="7" t="str">
        <f>IF(VLOOKUP(A31,'20yPlan'!A:F,6,FALSE)="","",VLOOKUP(A31,'20yPlan'!A:F,6,FALSE))</f>
        <v/>
      </c>
      <c r="AJ31" s="7" t="str">
        <f t="shared" si="5"/>
        <v/>
      </c>
      <c r="AK31" s="7" t="str">
        <f t="shared" si="6"/>
        <v>2027 RPM Replacement</v>
      </c>
      <c r="AL31" s="39">
        <f t="shared" ca="1" si="7"/>
        <v>2026</v>
      </c>
      <c r="AM31" s="7">
        <f t="shared" si="8"/>
        <v>2027</v>
      </c>
      <c r="AN31" s="7" t="str">
        <f t="shared" si="9"/>
        <v>2027 RPM Replacement</v>
      </c>
    </row>
    <row r="32" spans="1:40">
      <c r="A32" s="6">
        <v>60030</v>
      </c>
      <c r="B32" s="6" t="s">
        <v>137</v>
      </c>
      <c r="C32" s="6" t="s">
        <v>170</v>
      </c>
      <c r="D32" s="6">
        <v>75.819745999999995</v>
      </c>
      <c r="E32" s="6">
        <v>84.495275000000007</v>
      </c>
      <c r="F32" s="6" t="s">
        <v>168</v>
      </c>
      <c r="G32" s="6" t="s">
        <v>171</v>
      </c>
      <c r="H32" s="35">
        <v>397884</v>
      </c>
      <c r="I32" s="6" t="s">
        <v>154</v>
      </c>
      <c r="J32" s="6">
        <v>17</v>
      </c>
      <c r="K32" s="6"/>
      <c r="L32" s="6">
        <v>4</v>
      </c>
      <c r="M32" s="6" t="s">
        <v>45</v>
      </c>
      <c r="N32" s="6" t="s">
        <v>46</v>
      </c>
      <c r="O32" s="6" t="s">
        <v>165</v>
      </c>
      <c r="P32" s="6" t="s">
        <v>166</v>
      </c>
      <c r="Q32" s="6" t="s">
        <v>172</v>
      </c>
      <c r="R32" s="35">
        <v>9801</v>
      </c>
      <c r="S32" s="35">
        <v>1503</v>
      </c>
      <c r="T32" s="36" t="s">
        <v>50</v>
      </c>
      <c r="U32" s="46">
        <f>IF($L32&lt;=2,
IF($R32&lt;=RpmDesignStandard!$C$2,RpmDesignStandard!$D$2,
IF(AND($R32&gt;RpmDesignStandard!$B$3,$R32&lt;=RpmDesignStandard!$C$3),RpmDesignStandard!$D$3,RpmDesignStandard!$D$4)),
IF($R32&lt;=RpmDesignStandard!$C$5, RpmDesignStandard!$D$5,
IF(AND($R32&gt;RpmDesignStandard!$B$6,$R32&lt;=RpmDesignStandard!$C$6),RpmDesignStandard!$D$6,
IF(AND($R32&gt;RpmDesignStandard!$B$7,$R32&lt;=RpmDesignStandard!$C$7),RpmDesignStandard!$D$7,RpmDesignStandard!$D$8))))</f>
        <v>4</v>
      </c>
      <c r="V32" s="47">
        <f>U32*RpmDesignStandard!$H$1</f>
        <v>8</v>
      </c>
      <c r="W32" s="37" t="str">
        <f>VLOOKUP(A32,RPM_ProjectRecord!A:AB,8,FALSE)</f>
        <v/>
      </c>
      <c r="X32" s="38" t="str">
        <f t="shared" si="0"/>
        <v/>
      </c>
      <c r="Y32" s="38" t="str">
        <f t="shared" si="1"/>
        <v/>
      </c>
      <c r="Z32" s="38" t="str">
        <f t="shared" si="2"/>
        <v/>
      </c>
      <c r="AA32" s="38" t="str">
        <f t="shared" si="3"/>
        <v/>
      </c>
      <c r="AB32" s="38" t="str">
        <f t="shared" si="4"/>
        <v/>
      </c>
      <c r="AC32" s="38" t="str">
        <f>IF(VLOOKUP(A32,'3rdPhaseChipSeal'!A:L,12,FALSE)="","",VLOOKUP(A32,'3rdPhaseChipSeal'!A:L,12,FALSE))</f>
        <v/>
      </c>
      <c r="AD32" s="38">
        <f>IFERROR(IF(VLOOKUP(A32,RpmContracts!A:C,3,FALSE)="","",VLOOKUP(A32,RpmContracts!A:C,3,FALSE)),"")</f>
        <v>2027</v>
      </c>
      <c r="AE32" s="7" t="str">
        <f>IF(VLOOKUP(A32,'20yPlan'!A:B,2,FALSE)="","",VLOOKUP(A32,'20yPlan'!A:B,2,FALSE))</f>
        <v/>
      </c>
      <c r="AF32" s="7" t="str">
        <f>IF(VLOOKUP(A32,'20yPlan'!A:C,3,FALSE)="","",VLOOKUP(A32,'20yPlan'!A:C,3,FALSE))</f>
        <v/>
      </c>
      <c r="AG32" s="7" t="str">
        <f>IF(VLOOKUP(A32,'20yPlan'!A:D,4,FALSE)="","",VLOOKUP(A32,'20yPlan'!A:D,4,FALSE))</f>
        <v/>
      </c>
      <c r="AH32" s="7" t="str">
        <f>IF(VLOOKUP(A32,'20yPlan'!A:E,5,FALSE)="","",VLOOKUP(A32,'20yPlan'!A:E,5,FALSE))</f>
        <v/>
      </c>
      <c r="AI32" s="7" t="str">
        <f>IF(VLOOKUP(A32,'20yPlan'!A:F,6,FALSE)="","",VLOOKUP(A32,'20yPlan'!A:F,6,FALSE))</f>
        <v/>
      </c>
      <c r="AJ32" s="7" t="str">
        <f t="shared" si="5"/>
        <v/>
      </c>
      <c r="AK32" s="7" t="str">
        <f t="shared" si="6"/>
        <v>2027 RPM Replacement</v>
      </c>
      <c r="AL32" s="39">
        <f t="shared" ca="1" si="7"/>
        <v>2025</v>
      </c>
      <c r="AM32" s="7">
        <f t="shared" si="8"/>
        <v>2027</v>
      </c>
      <c r="AN32" s="7" t="str">
        <f t="shared" si="9"/>
        <v>2027 RPM Replacement</v>
      </c>
    </row>
    <row r="33" spans="1:40">
      <c r="A33" s="6">
        <v>60031</v>
      </c>
      <c r="B33" s="6" t="s">
        <v>137</v>
      </c>
      <c r="C33" s="6" t="s">
        <v>173</v>
      </c>
      <c r="D33" s="6">
        <v>84.495275000000007</v>
      </c>
      <c r="E33" s="6">
        <v>90.742090000000005</v>
      </c>
      <c r="F33" s="6" t="s">
        <v>171</v>
      </c>
      <c r="G33" s="6" t="s">
        <v>174</v>
      </c>
      <c r="H33" s="35">
        <v>292217</v>
      </c>
      <c r="I33" s="6" t="s">
        <v>154</v>
      </c>
      <c r="J33" s="6">
        <v>9</v>
      </c>
      <c r="K33" s="6"/>
      <c r="L33" s="6">
        <v>4</v>
      </c>
      <c r="M33" s="6" t="s">
        <v>45</v>
      </c>
      <c r="N33" s="6" t="s">
        <v>46</v>
      </c>
      <c r="O33" s="6" t="s">
        <v>165</v>
      </c>
      <c r="P33" s="6" t="s">
        <v>166</v>
      </c>
      <c r="Q33" s="6" t="s">
        <v>172</v>
      </c>
      <c r="R33" s="35">
        <v>12706</v>
      </c>
      <c r="S33" s="35">
        <v>1948</v>
      </c>
      <c r="T33" s="36" t="s">
        <v>50</v>
      </c>
      <c r="U33" s="46">
        <f>IF($L33&lt;=2,
IF($R33&lt;=RpmDesignStandard!$C$2,RpmDesignStandard!$D$2,
IF(AND($R33&gt;RpmDesignStandard!$B$3,$R33&lt;=RpmDesignStandard!$C$3),RpmDesignStandard!$D$3,RpmDesignStandard!$D$4)),
IF($R33&lt;=RpmDesignStandard!$C$5, RpmDesignStandard!$D$5,
IF(AND($R33&gt;RpmDesignStandard!$B$6,$R33&lt;=RpmDesignStandard!$C$6),RpmDesignStandard!$D$6,
IF(AND($R33&gt;RpmDesignStandard!$B$7,$R33&lt;=RpmDesignStandard!$C$7),RpmDesignStandard!$D$7,RpmDesignStandard!$D$8))))</f>
        <v>3</v>
      </c>
      <c r="V33" s="47">
        <f>U33*RpmDesignStandard!$H$1</f>
        <v>6</v>
      </c>
      <c r="W33" s="37" t="str">
        <f>VLOOKUP(A33,RPM_ProjectRecord!A:AB,8,FALSE)</f>
        <v/>
      </c>
      <c r="X33" s="38" t="str">
        <f t="shared" si="0"/>
        <v/>
      </c>
      <c r="Y33" s="38" t="str">
        <f t="shared" si="1"/>
        <v/>
      </c>
      <c r="Z33" s="38" t="str">
        <f t="shared" si="2"/>
        <v/>
      </c>
      <c r="AA33" s="38" t="str">
        <f t="shared" si="3"/>
        <v/>
      </c>
      <c r="AB33" s="38" t="str">
        <f t="shared" si="4"/>
        <v/>
      </c>
      <c r="AC33" s="38" t="str">
        <f>IF(VLOOKUP(A33,'3rdPhaseChipSeal'!A:L,12,FALSE)="","",VLOOKUP(A33,'3rdPhaseChipSeal'!A:L,12,FALSE))</f>
        <v/>
      </c>
      <c r="AD33" s="38">
        <f>IFERROR(IF(VLOOKUP(A33,RpmContracts!A:C,3,FALSE)="","",VLOOKUP(A33,RpmContracts!A:C,3,FALSE)),"")</f>
        <v>2027</v>
      </c>
      <c r="AE33" s="7" t="str">
        <f>IF(VLOOKUP(A33,'20yPlan'!A:B,2,FALSE)="","",VLOOKUP(A33,'20yPlan'!A:B,2,FALSE))</f>
        <v/>
      </c>
      <c r="AF33" s="7" t="str">
        <f>IF(VLOOKUP(A33,'20yPlan'!A:C,3,FALSE)="","",VLOOKUP(A33,'20yPlan'!A:C,3,FALSE))</f>
        <v/>
      </c>
      <c r="AG33" s="7" t="str">
        <f>IF(VLOOKUP(A33,'20yPlan'!A:D,4,FALSE)="","",VLOOKUP(A33,'20yPlan'!A:D,4,FALSE))</f>
        <v/>
      </c>
      <c r="AH33" s="7" t="str">
        <f>IF(VLOOKUP(A33,'20yPlan'!A:E,5,FALSE)="","",VLOOKUP(A33,'20yPlan'!A:E,5,FALSE))</f>
        <v/>
      </c>
      <c r="AI33" s="7" t="str">
        <f>IF(VLOOKUP(A33,'20yPlan'!A:F,6,FALSE)="","",VLOOKUP(A33,'20yPlan'!A:F,6,FALSE))</f>
        <v/>
      </c>
      <c r="AJ33" s="7" t="str">
        <f t="shared" si="5"/>
        <v/>
      </c>
      <c r="AK33" s="7" t="str">
        <f t="shared" si="6"/>
        <v>2027 RPM Replacement</v>
      </c>
      <c r="AL33" s="39">
        <f t="shared" ca="1" si="7"/>
        <v>2025</v>
      </c>
      <c r="AM33" s="7">
        <f t="shared" si="8"/>
        <v>2027</v>
      </c>
      <c r="AN33" s="7" t="str">
        <f t="shared" si="9"/>
        <v>2027 RPM Replacement</v>
      </c>
    </row>
    <row r="34" spans="1:40">
      <c r="A34" s="6">
        <v>60032</v>
      </c>
      <c r="B34" s="6" t="s">
        <v>137</v>
      </c>
      <c r="C34" s="6" t="s">
        <v>175</v>
      </c>
      <c r="D34" s="6">
        <v>90.742090000000005</v>
      </c>
      <c r="E34" s="6">
        <v>98.536649999999995</v>
      </c>
      <c r="F34" s="6" t="s">
        <v>174</v>
      </c>
      <c r="G34" s="6" t="s">
        <v>176</v>
      </c>
      <c r="H34" s="35">
        <v>364439</v>
      </c>
      <c r="I34" s="6" t="s">
        <v>154</v>
      </c>
      <c r="J34" s="6">
        <v>5</v>
      </c>
      <c r="K34" s="6"/>
      <c r="L34" s="6">
        <v>4</v>
      </c>
      <c r="M34" s="6" t="s">
        <v>45</v>
      </c>
      <c r="N34" s="6" t="s">
        <v>46</v>
      </c>
      <c r="O34" s="6" t="s">
        <v>165</v>
      </c>
      <c r="P34" s="6" t="s">
        <v>166</v>
      </c>
      <c r="Q34" s="6" t="s">
        <v>177</v>
      </c>
      <c r="R34" s="35">
        <v>15749</v>
      </c>
      <c r="S34" s="35">
        <v>2415</v>
      </c>
      <c r="T34" s="36" t="s">
        <v>50</v>
      </c>
      <c r="U34" s="46">
        <f>IF($L34&lt;=2,
IF($R34&lt;=RpmDesignStandard!$C$2,RpmDesignStandard!$D$2,
IF(AND($R34&gt;RpmDesignStandard!$B$3,$R34&lt;=RpmDesignStandard!$C$3),RpmDesignStandard!$D$3,RpmDesignStandard!$D$4)),
IF($R34&lt;=RpmDesignStandard!$C$5, RpmDesignStandard!$D$5,
IF(AND($R34&gt;RpmDesignStandard!$B$6,$R34&lt;=RpmDesignStandard!$C$6),RpmDesignStandard!$D$6,
IF(AND($R34&gt;RpmDesignStandard!$B$7,$R34&lt;=RpmDesignStandard!$C$7),RpmDesignStandard!$D$7,RpmDesignStandard!$D$8))))</f>
        <v>3</v>
      </c>
      <c r="V34" s="47">
        <f>U34*RpmDesignStandard!$H$1</f>
        <v>6</v>
      </c>
      <c r="W34" s="37" t="str">
        <f>VLOOKUP(A34,RPM_ProjectRecord!A:AB,8,FALSE)</f>
        <v/>
      </c>
      <c r="X34" s="38" t="str">
        <f t="shared" si="0"/>
        <v/>
      </c>
      <c r="Y34" s="38" t="str">
        <f t="shared" si="1"/>
        <v/>
      </c>
      <c r="Z34" s="38" t="str">
        <f t="shared" si="2"/>
        <v/>
      </c>
      <c r="AA34" s="38" t="str">
        <f t="shared" si="3"/>
        <v/>
      </c>
      <c r="AB34" s="38" t="str">
        <f t="shared" si="4"/>
        <v/>
      </c>
      <c r="AC34" s="38" t="str">
        <f>IF(VLOOKUP(A34,'3rdPhaseChipSeal'!A:L,12,FALSE)="","",VLOOKUP(A34,'3rdPhaseChipSeal'!A:L,12,FALSE))</f>
        <v/>
      </c>
      <c r="AD34" s="38">
        <f>IFERROR(IF(VLOOKUP(A34,RpmContracts!A:C,3,FALSE)="","",VLOOKUP(A34,RpmContracts!A:C,3,FALSE)),"")</f>
        <v>2027</v>
      </c>
      <c r="AE34" s="7" t="str">
        <f>IF(VLOOKUP(A34,'20yPlan'!A:B,2,FALSE)="","",VLOOKUP(A34,'20yPlan'!A:B,2,FALSE))</f>
        <v/>
      </c>
      <c r="AF34" s="7" t="str">
        <f>IF(VLOOKUP(A34,'20yPlan'!A:C,3,FALSE)="","",VLOOKUP(A34,'20yPlan'!A:C,3,FALSE))</f>
        <v/>
      </c>
      <c r="AG34" s="7" t="str">
        <f>IF(VLOOKUP(A34,'20yPlan'!A:D,4,FALSE)="","",VLOOKUP(A34,'20yPlan'!A:D,4,FALSE))</f>
        <v/>
      </c>
      <c r="AH34" s="7" t="str">
        <f>IF(VLOOKUP(A34,'20yPlan'!A:E,5,FALSE)="","",VLOOKUP(A34,'20yPlan'!A:E,5,FALSE))</f>
        <v/>
      </c>
      <c r="AI34" s="7" t="str">
        <f>IF(VLOOKUP(A34,'20yPlan'!A:F,6,FALSE)="","",VLOOKUP(A34,'20yPlan'!A:F,6,FALSE))</f>
        <v/>
      </c>
      <c r="AJ34" s="7" t="str">
        <f t="shared" si="5"/>
        <v/>
      </c>
      <c r="AK34" s="7" t="str">
        <f t="shared" si="6"/>
        <v>2027 RPM Replacement</v>
      </c>
      <c r="AL34" s="39">
        <f t="shared" ca="1" si="7"/>
        <v>2025</v>
      </c>
      <c r="AM34" s="7">
        <f t="shared" si="8"/>
        <v>2027</v>
      </c>
      <c r="AN34" s="7" t="str">
        <f t="shared" si="9"/>
        <v>2027 RPM Replacement</v>
      </c>
    </row>
    <row r="35" spans="1:40">
      <c r="A35" s="6">
        <v>60033</v>
      </c>
      <c r="B35" s="6" t="s">
        <v>40</v>
      </c>
      <c r="C35" s="6" t="s">
        <v>178</v>
      </c>
      <c r="D35" s="6">
        <v>0</v>
      </c>
      <c r="E35" s="6">
        <v>1.8622430000000001</v>
      </c>
      <c r="F35" s="6" t="s">
        <v>53</v>
      </c>
      <c r="G35" s="6" t="s">
        <v>179</v>
      </c>
      <c r="H35" s="35">
        <v>87060</v>
      </c>
      <c r="I35" s="6" t="s">
        <v>154</v>
      </c>
      <c r="J35" s="6">
        <v>1</v>
      </c>
      <c r="K35" s="6"/>
      <c r="L35" s="6">
        <v>4</v>
      </c>
      <c r="M35" s="6" t="s">
        <v>45</v>
      </c>
      <c r="N35" s="6" t="s">
        <v>46</v>
      </c>
      <c r="O35" s="6" t="s">
        <v>121</v>
      </c>
      <c r="P35" s="6" t="s">
        <v>180</v>
      </c>
      <c r="Q35" s="6" t="s">
        <v>162</v>
      </c>
      <c r="R35" s="35">
        <v>6107</v>
      </c>
      <c r="S35" s="35">
        <v>1020</v>
      </c>
      <c r="T35" s="36" t="s">
        <v>50</v>
      </c>
      <c r="U35" s="46">
        <f>IF($L35&lt;=2,
IF($R35&lt;=RpmDesignStandard!$C$2,RpmDesignStandard!$D$2,
IF(AND($R35&gt;RpmDesignStandard!$B$3,$R35&lt;=RpmDesignStandard!$C$3),RpmDesignStandard!$D$3,RpmDesignStandard!$D$4)),
IF($R35&lt;=RpmDesignStandard!$C$5, RpmDesignStandard!$D$5,
IF(AND($R35&gt;RpmDesignStandard!$B$6,$R35&lt;=RpmDesignStandard!$C$6),RpmDesignStandard!$D$6,
IF(AND($R35&gt;RpmDesignStandard!$B$7,$R35&lt;=RpmDesignStandard!$C$7),RpmDesignStandard!$D$7,RpmDesignStandard!$D$8))))</f>
        <v>4</v>
      </c>
      <c r="V35" s="47">
        <f>U35*RpmDesignStandard!$H$1</f>
        <v>8</v>
      </c>
      <c r="W35" s="37">
        <f>VLOOKUP(A35,RPM_ProjectRecord!A:AB,8,FALSE)</f>
        <v>2022</v>
      </c>
      <c r="X35" s="38" t="str">
        <f t="shared" si="0"/>
        <v/>
      </c>
      <c r="Y35" s="38" t="str">
        <f t="shared" si="1"/>
        <v/>
      </c>
      <c r="Z35" s="38" t="str">
        <f t="shared" si="2"/>
        <v/>
      </c>
      <c r="AA35" s="38" t="str">
        <f t="shared" si="3"/>
        <v/>
      </c>
      <c r="AB35" s="38" t="str">
        <f t="shared" si="4"/>
        <v/>
      </c>
      <c r="AC35" s="38" t="str">
        <f>IF(VLOOKUP(A35,'3rdPhaseChipSeal'!A:L,12,FALSE)="","",VLOOKUP(A35,'3rdPhaseChipSeal'!A:L,12,FALSE))</f>
        <v/>
      </c>
      <c r="AD35" s="38" t="str">
        <f>IFERROR(IF(VLOOKUP(A35,RpmContracts!A:C,3,FALSE)="","",VLOOKUP(A35,RpmContracts!A:C,3,FALSE)),"")</f>
        <v/>
      </c>
      <c r="AE35" s="7" t="str">
        <f>IF(VLOOKUP(A35,'20yPlan'!A:B,2,FALSE)="","",VLOOKUP(A35,'20yPlan'!A:B,2,FALSE))</f>
        <v/>
      </c>
      <c r="AF35" s="7" t="str">
        <f>IF(VLOOKUP(A35,'20yPlan'!A:C,3,FALSE)="","",VLOOKUP(A35,'20yPlan'!A:C,3,FALSE))</f>
        <v/>
      </c>
      <c r="AG35" s="7" t="str">
        <f>IF(VLOOKUP(A35,'20yPlan'!A:D,4,FALSE)="","",VLOOKUP(A35,'20yPlan'!A:D,4,FALSE))</f>
        <v/>
      </c>
      <c r="AH35" s="7" t="str">
        <f>IF(VLOOKUP(A35,'20yPlan'!A:E,5,FALSE)="","",VLOOKUP(A35,'20yPlan'!A:E,5,FALSE))</f>
        <v/>
      </c>
      <c r="AI35" s="7" t="str">
        <f>IF(VLOOKUP(A35,'20yPlan'!A:F,6,FALSE)="","",VLOOKUP(A35,'20yPlan'!A:F,6,FALSE))</f>
        <v/>
      </c>
      <c r="AJ35" s="7" t="str">
        <f t="shared" si="5"/>
        <v/>
      </c>
      <c r="AK35" s="7" t="str">
        <f t="shared" si="6"/>
        <v/>
      </c>
      <c r="AL35" s="39">
        <f t="shared" ca="1" si="7"/>
        <v>2026</v>
      </c>
      <c r="AM35" s="7" t="str">
        <f t="shared" si="8"/>
        <v/>
      </c>
      <c r="AN35" s="7" t="str">
        <f t="shared" si="9"/>
        <v/>
      </c>
    </row>
    <row r="36" spans="1:40">
      <c r="A36" s="6">
        <v>60034</v>
      </c>
      <c r="B36" s="6" t="s">
        <v>40</v>
      </c>
      <c r="C36" s="6" t="s">
        <v>181</v>
      </c>
      <c r="D36" s="6">
        <v>6.6100159999999999</v>
      </c>
      <c r="E36" s="6">
        <v>16.186454000000001</v>
      </c>
      <c r="F36" s="6" t="s">
        <v>182</v>
      </c>
      <c r="G36" s="6" t="s">
        <v>183</v>
      </c>
      <c r="H36" s="35">
        <v>433802</v>
      </c>
      <c r="I36" s="6" t="s">
        <v>154</v>
      </c>
      <c r="J36" s="6">
        <v>13</v>
      </c>
      <c r="K36" s="6"/>
      <c r="L36" s="6">
        <v>4</v>
      </c>
      <c r="M36" s="6" t="s">
        <v>111</v>
      </c>
      <c r="N36" s="6" t="s">
        <v>46</v>
      </c>
      <c r="O36" s="6" t="s">
        <v>121</v>
      </c>
      <c r="P36" s="6" t="s">
        <v>122</v>
      </c>
      <c r="Q36" s="6" t="s">
        <v>132</v>
      </c>
      <c r="R36" s="35">
        <v>8395</v>
      </c>
      <c r="S36" s="35">
        <v>1413</v>
      </c>
      <c r="T36" s="36" t="s">
        <v>50</v>
      </c>
      <c r="U36" s="46">
        <f>IF($L36&lt;=2,
IF($R36&lt;=RpmDesignStandard!$C$2,RpmDesignStandard!$D$2,
IF(AND($R36&gt;RpmDesignStandard!$B$3,$R36&lt;=RpmDesignStandard!$C$3),RpmDesignStandard!$D$3,RpmDesignStandard!$D$4)),
IF($R36&lt;=RpmDesignStandard!$C$5, RpmDesignStandard!$D$5,
IF(AND($R36&gt;RpmDesignStandard!$B$6,$R36&lt;=RpmDesignStandard!$C$6),RpmDesignStandard!$D$6,
IF(AND($R36&gt;RpmDesignStandard!$B$7,$R36&lt;=RpmDesignStandard!$C$7),RpmDesignStandard!$D$7,RpmDesignStandard!$D$8))))</f>
        <v>4</v>
      </c>
      <c r="V36" s="47">
        <f>U36*RpmDesignStandard!$H$1</f>
        <v>8</v>
      </c>
      <c r="W36" s="37" t="str">
        <f>VLOOKUP(A36,RPM_ProjectRecord!A:AB,8,FALSE)</f>
        <v/>
      </c>
      <c r="X36" s="38" t="str">
        <f t="shared" si="0"/>
        <v/>
      </c>
      <c r="Y36" s="38" t="str">
        <f t="shared" si="1"/>
        <v/>
      </c>
      <c r="Z36" s="38" t="str">
        <f t="shared" si="2"/>
        <v/>
      </c>
      <c r="AA36" s="38" t="str">
        <f t="shared" si="3"/>
        <v/>
      </c>
      <c r="AB36" s="38" t="str">
        <f t="shared" si="4"/>
        <v/>
      </c>
      <c r="AC36" s="38" t="str">
        <f>IF(VLOOKUP(A36,'3rdPhaseChipSeal'!A:L,12,FALSE)="","",VLOOKUP(A36,'3rdPhaseChipSeal'!A:L,12,FALSE))</f>
        <v/>
      </c>
      <c r="AD36" s="38">
        <f>IFERROR(IF(VLOOKUP(A36,RpmContracts!A:C,3,FALSE)="","",VLOOKUP(A36,RpmContracts!A:C,3,FALSE)),"")</f>
        <v>2027</v>
      </c>
      <c r="AE36" s="7" t="str">
        <f>IF(VLOOKUP(A36,'20yPlan'!A:B,2,FALSE)="","",VLOOKUP(A36,'20yPlan'!A:B,2,FALSE))</f>
        <v/>
      </c>
      <c r="AF36" s="7" t="str">
        <f>IF(VLOOKUP(A36,'20yPlan'!A:C,3,FALSE)="","",VLOOKUP(A36,'20yPlan'!A:C,3,FALSE))</f>
        <v/>
      </c>
      <c r="AG36" s="7" t="str">
        <f>IF(VLOOKUP(A36,'20yPlan'!A:D,4,FALSE)="","",VLOOKUP(A36,'20yPlan'!A:D,4,FALSE))</f>
        <v/>
      </c>
      <c r="AH36" s="7" t="str">
        <f>IF(VLOOKUP(A36,'20yPlan'!A:E,5,FALSE)="","",VLOOKUP(A36,'20yPlan'!A:E,5,FALSE))</f>
        <v/>
      </c>
      <c r="AI36" s="7" t="str">
        <f>IF(VLOOKUP(A36,'20yPlan'!A:F,6,FALSE)="","",VLOOKUP(A36,'20yPlan'!A:F,6,FALSE))</f>
        <v/>
      </c>
      <c r="AJ36" s="7" t="str">
        <f t="shared" si="5"/>
        <v/>
      </c>
      <c r="AK36" s="7" t="str">
        <f t="shared" si="6"/>
        <v>2027 RPM Replacement</v>
      </c>
      <c r="AL36" s="39">
        <f t="shared" ca="1" si="7"/>
        <v>2025</v>
      </c>
      <c r="AM36" s="7">
        <f t="shared" si="8"/>
        <v>2027</v>
      </c>
      <c r="AN36" s="7" t="str">
        <f t="shared" si="9"/>
        <v>2027 RPM Replacement</v>
      </c>
    </row>
    <row r="37" spans="1:40">
      <c r="A37" s="6">
        <v>60035</v>
      </c>
      <c r="B37" s="6" t="s">
        <v>40</v>
      </c>
      <c r="C37" s="6" t="s">
        <v>184</v>
      </c>
      <c r="D37" s="6">
        <v>24.117156000000001</v>
      </c>
      <c r="E37" s="6">
        <v>34.053117</v>
      </c>
      <c r="F37" s="6" t="s">
        <v>185</v>
      </c>
      <c r="G37" s="6" t="s">
        <v>186</v>
      </c>
      <c r="H37" s="35">
        <v>187050</v>
      </c>
      <c r="I37" s="6" t="s">
        <v>44</v>
      </c>
      <c r="J37" s="6">
        <v>15</v>
      </c>
      <c r="K37" s="6"/>
      <c r="L37" s="6">
        <v>2</v>
      </c>
      <c r="M37" s="6" t="s">
        <v>45</v>
      </c>
      <c r="N37" s="6" t="s">
        <v>46</v>
      </c>
      <c r="O37" s="6" t="s">
        <v>121</v>
      </c>
      <c r="P37" s="6" t="s">
        <v>187</v>
      </c>
      <c r="Q37" s="6" t="s">
        <v>132</v>
      </c>
      <c r="R37" s="35">
        <v>7306</v>
      </c>
      <c r="S37" s="35">
        <v>2412</v>
      </c>
      <c r="T37" s="36" t="s">
        <v>50</v>
      </c>
      <c r="U37" s="46">
        <f>IF($L37&lt;=2,
IF($R37&lt;=RpmDesignStandard!$C$2,RpmDesignStandard!$D$2,
IF(AND($R37&gt;RpmDesignStandard!$B$3,$R37&lt;=RpmDesignStandard!$C$3),RpmDesignStandard!$D$3,RpmDesignStandard!$D$4)),
IF($R37&lt;=RpmDesignStandard!$C$5, RpmDesignStandard!$D$5,
IF(AND($R37&gt;RpmDesignStandard!$B$6,$R37&lt;=RpmDesignStandard!$C$6),RpmDesignStandard!$D$6,
IF(AND($R37&gt;RpmDesignStandard!$B$7,$R37&lt;=RpmDesignStandard!$C$7),RpmDesignStandard!$D$7,RpmDesignStandard!$D$8))))</f>
        <v>3</v>
      </c>
      <c r="V37" s="47">
        <f>U37*RpmDesignStandard!$H$1</f>
        <v>6</v>
      </c>
      <c r="W37" s="37">
        <f>VLOOKUP(A37,RPM_ProjectRecord!A:AB,8,FALSE)</f>
        <v>2024</v>
      </c>
      <c r="X37" s="38" t="str">
        <f t="shared" si="0"/>
        <v/>
      </c>
      <c r="Y37" s="38" t="str">
        <f t="shared" si="1"/>
        <v/>
      </c>
      <c r="Z37" s="38" t="str">
        <f t="shared" si="2"/>
        <v/>
      </c>
      <c r="AA37" s="38" t="str">
        <f t="shared" si="3"/>
        <v/>
      </c>
      <c r="AB37" s="38" t="str">
        <f t="shared" si="4"/>
        <v/>
      </c>
      <c r="AC37" s="38" t="str">
        <f>IF(VLOOKUP(A37,'3rdPhaseChipSeal'!A:L,12,FALSE)="","",VLOOKUP(A37,'3rdPhaseChipSeal'!A:L,12,FALSE))</f>
        <v/>
      </c>
      <c r="AD37" s="38" t="str">
        <f>IFERROR(IF(VLOOKUP(A37,RpmContracts!A:C,3,FALSE)="","",VLOOKUP(A37,RpmContracts!A:C,3,FALSE)),"")</f>
        <v/>
      </c>
      <c r="AE37" s="7" t="str">
        <f>IF(VLOOKUP(A37,'20yPlan'!A:B,2,FALSE)="","",VLOOKUP(A37,'20yPlan'!A:B,2,FALSE))</f>
        <v/>
      </c>
      <c r="AF37" s="7" t="str">
        <f>IF(VLOOKUP(A37,'20yPlan'!A:C,3,FALSE)="","",VLOOKUP(A37,'20yPlan'!A:C,3,FALSE))</f>
        <v/>
      </c>
      <c r="AG37" s="7" t="str">
        <f>IF(VLOOKUP(A37,'20yPlan'!A:D,4,FALSE)="","",VLOOKUP(A37,'20yPlan'!A:D,4,FALSE))</f>
        <v/>
      </c>
      <c r="AH37" s="7" t="str">
        <f>IF(VLOOKUP(A37,'20yPlan'!A:E,5,FALSE)="","",VLOOKUP(A37,'20yPlan'!A:E,5,FALSE))</f>
        <v/>
      </c>
      <c r="AI37" s="7" t="str">
        <f>IF(VLOOKUP(A37,'20yPlan'!A:F,6,FALSE)="","",VLOOKUP(A37,'20yPlan'!A:F,6,FALSE))</f>
        <v/>
      </c>
      <c r="AJ37" s="7" t="str">
        <f t="shared" si="5"/>
        <v/>
      </c>
      <c r="AK37" s="7" t="str">
        <f t="shared" si="6"/>
        <v/>
      </c>
      <c r="AL37" s="39">
        <f t="shared" ca="1" si="7"/>
        <v>2027</v>
      </c>
      <c r="AM37" s="7" t="str">
        <f t="shared" si="8"/>
        <v/>
      </c>
      <c r="AN37" s="7" t="str">
        <f t="shared" si="9"/>
        <v/>
      </c>
    </row>
    <row r="38" spans="1:40">
      <c r="A38" s="6">
        <v>60036</v>
      </c>
      <c r="B38" s="6" t="s">
        <v>40</v>
      </c>
      <c r="C38" s="6" t="s">
        <v>188</v>
      </c>
      <c r="D38" s="6">
        <v>36.131990000000002</v>
      </c>
      <c r="E38" s="6">
        <v>41.759034</v>
      </c>
      <c r="F38" s="6" t="s">
        <v>189</v>
      </c>
      <c r="G38" s="6" t="s">
        <v>190</v>
      </c>
      <c r="H38" s="35">
        <v>119450</v>
      </c>
      <c r="I38" s="6" t="s">
        <v>44</v>
      </c>
      <c r="J38" s="6">
        <v>4</v>
      </c>
      <c r="K38" s="6"/>
      <c r="L38" s="6">
        <v>2</v>
      </c>
      <c r="M38" s="6" t="s">
        <v>45</v>
      </c>
      <c r="N38" s="6" t="s">
        <v>46</v>
      </c>
      <c r="O38" s="6" t="s">
        <v>47</v>
      </c>
      <c r="P38" s="6" t="s">
        <v>191</v>
      </c>
      <c r="Q38" s="6" t="s">
        <v>192</v>
      </c>
      <c r="R38" s="35">
        <v>5511</v>
      </c>
      <c r="S38" s="6">
        <v>961</v>
      </c>
      <c r="T38" s="36" t="s">
        <v>50</v>
      </c>
      <c r="U38" s="46">
        <f>IF($L38&lt;=2,
IF($R38&lt;=RpmDesignStandard!$C$2,RpmDesignStandard!$D$2,
IF(AND($R38&gt;RpmDesignStandard!$B$3,$R38&lt;=RpmDesignStandard!$C$3),RpmDesignStandard!$D$3,RpmDesignStandard!$D$4)),
IF($R38&lt;=RpmDesignStandard!$C$5, RpmDesignStandard!$D$5,
IF(AND($R38&gt;RpmDesignStandard!$B$6,$R38&lt;=RpmDesignStandard!$C$6),RpmDesignStandard!$D$6,
IF(AND($R38&gt;RpmDesignStandard!$B$7,$R38&lt;=RpmDesignStandard!$C$7),RpmDesignStandard!$D$7,RpmDesignStandard!$D$8))))</f>
        <v>4</v>
      </c>
      <c r="V38" s="47">
        <f>U38*RpmDesignStandard!$H$1</f>
        <v>8</v>
      </c>
      <c r="W38" s="37" t="str">
        <f>VLOOKUP(A38,RPM_ProjectRecord!A:AB,8,FALSE)</f>
        <v/>
      </c>
      <c r="X38" s="38" t="str">
        <f t="shared" si="0"/>
        <v/>
      </c>
      <c r="Y38" s="38" t="str">
        <f t="shared" si="1"/>
        <v/>
      </c>
      <c r="Z38" s="38" t="str">
        <f t="shared" si="2"/>
        <v/>
      </c>
      <c r="AA38" s="38" t="str">
        <f t="shared" si="3"/>
        <v/>
      </c>
      <c r="AB38" s="38" t="str">
        <f t="shared" si="4"/>
        <v/>
      </c>
      <c r="AC38" s="38" t="str">
        <f>IF(VLOOKUP(A38,'3rdPhaseChipSeal'!A:L,12,FALSE)="","",VLOOKUP(A38,'3rdPhaseChipSeal'!A:L,12,FALSE))</f>
        <v/>
      </c>
      <c r="AD38" s="38" t="str">
        <f>IFERROR(IF(VLOOKUP(A38,RpmContracts!A:C,3,FALSE)="","",VLOOKUP(A38,RpmContracts!A:C,3,FALSE)),"")</f>
        <v/>
      </c>
      <c r="AE38" s="7" t="str">
        <f>IF(VLOOKUP(A38,'20yPlan'!A:B,2,FALSE)="","",VLOOKUP(A38,'20yPlan'!A:B,2,FALSE))</f>
        <v/>
      </c>
      <c r="AF38" s="7" t="str">
        <f>IF(VLOOKUP(A38,'20yPlan'!A:C,3,FALSE)="","",VLOOKUP(A38,'20yPlan'!A:C,3,FALSE))</f>
        <v/>
      </c>
      <c r="AG38" s="7" t="str">
        <f>IF(VLOOKUP(A38,'20yPlan'!A:D,4,FALSE)="","",VLOOKUP(A38,'20yPlan'!A:D,4,FALSE))</f>
        <v/>
      </c>
      <c r="AH38" s="7" t="str">
        <f>IF(VLOOKUP(A38,'20yPlan'!A:E,5,FALSE)="","",VLOOKUP(A38,'20yPlan'!A:E,5,FALSE))</f>
        <v/>
      </c>
      <c r="AI38" s="7" t="str">
        <f>IF(VLOOKUP(A38,'20yPlan'!A:F,6,FALSE)="","",VLOOKUP(A38,'20yPlan'!A:F,6,FALSE))</f>
        <v/>
      </c>
      <c r="AJ38" s="7" t="str">
        <f t="shared" si="5"/>
        <v/>
      </c>
      <c r="AK38" s="7" t="str">
        <f t="shared" si="6"/>
        <v/>
      </c>
      <c r="AL38" s="39">
        <f t="shared" ca="1" si="7"/>
        <v>2025</v>
      </c>
      <c r="AM38" s="7" t="str">
        <f t="shared" si="8"/>
        <v/>
      </c>
      <c r="AN38" s="7" t="str">
        <f t="shared" si="9"/>
        <v/>
      </c>
    </row>
    <row r="39" spans="1:40">
      <c r="A39" s="6">
        <v>60038</v>
      </c>
      <c r="B39" s="6" t="s">
        <v>40</v>
      </c>
      <c r="C39" s="6" t="s">
        <v>193</v>
      </c>
      <c r="D39" s="6">
        <v>53.424867999999996</v>
      </c>
      <c r="E39" s="6">
        <v>63.194685</v>
      </c>
      <c r="F39" s="6" t="s">
        <v>43</v>
      </c>
      <c r="G39" s="6" t="s">
        <v>194</v>
      </c>
      <c r="H39" s="35">
        <v>183460</v>
      </c>
      <c r="I39" s="6" t="s">
        <v>195</v>
      </c>
      <c r="J39" s="6">
        <v>3</v>
      </c>
      <c r="K39" s="6">
        <v>2029</v>
      </c>
      <c r="L39" s="6">
        <v>2</v>
      </c>
      <c r="M39" s="6" t="s">
        <v>45</v>
      </c>
      <c r="N39" s="6" t="s">
        <v>46</v>
      </c>
      <c r="O39" s="6" t="s">
        <v>196</v>
      </c>
      <c r="P39" s="6" t="s">
        <v>197</v>
      </c>
      <c r="Q39" s="6" t="s">
        <v>198</v>
      </c>
      <c r="R39" s="35">
        <v>3199</v>
      </c>
      <c r="S39" s="6">
        <v>959</v>
      </c>
      <c r="T39" s="36" t="s">
        <v>50</v>
      </c>
      <c r="U39" s="46">
        <f>IF($L39&lt;=2,
IF($R39&lt;=RpmDesignStandard!$C$2,RpmDesignStandard!$D$2,
IF(AND($R39&gt;RpmDesignStandard!$B$3,$R39&lt;=RpmDesignStandard!$C$3),RpmDesignStandard!$D$3,RpmDesignStandard!$D$4)),
IF($R39&lt;=RpmDesignStandard!$C$5, RpmDesignStandard!$D$5,
IF(AND($R39&gt;RpmDesignStandard!$B$6,$R39&lt;=RpmDesignStandard!$C$6),RpmDesignStandard!$D$6,
IF(AND($R39&gt;RpmDesignStandard!$B$7,$R39&lt;=RpmDesignStandard!$C$7),RpmDesignStandard!$D$7,RpmDesignStandard!$D$8))))</f>
        <v>4</v>
      </c>
      <c r="V39" s="47">
        <f>U39*RpmDesignStandard!$H$1</f>
        <v>8</v>
      </c>
      <c r="W39" s="37" t="str">
        <f>VLOOKUP(A39,RPM_ProjectRecord!A:AB,8,FALSE)</f>
        <v/>
      </c>
      <c r="X39" s="38" t="str">
        <f t="shared" si="0"/>
        <v/>
      </c>
      <c r="Y39" s="38" t="str">
        <f t="shared" si="1"/>
        <v/>
      </c>
      <c r="Z39" s="38" t="str">
        <f t="shared" si="2"/>
        <v/>
      </c>
      <c r="AA39" s="38" t="str">
        <f t="shared" si="3"/>
        <v/>
      </c>
      <c r="AB39" s="38" t="str">
        <f t="shared" si="4"/>
        <v/>
      </c>
      <c r="AC39" s="38">
        <f>IF(VLOOKUP(A39,'3rdPhaseChipSeal'!A:L,12,FALSE)="","",VLOOKUP(A39,'3rdPhaseChipSeal'!A:L,12,FALSE))</f>
        <v>2043</v>
      </c>
      <c r="AD39" s="38">
        <f>IFERROR(IF(VLOOKUP(A39,RpmContracts!A:C,3,FALSE)="","",VLOOKUP(A39,RpmContracts!A:C,3,FALSE)),"")</f>
        <v>2026</v>
      </c>
      <c r="AE39" s="7" t="str">
        <f>IF(VLOOKUP(A39,'20yPlan'!A:B,2,FALSE)="","",VLOOKUP(A39,'20yPlan'!A:B,2,FALSE))</f>
        <v/>
      </c>
      <c r="AF39" s="7" t="str">
        <f>IF(VLOOKUP(A39,'20yPlan'!A:C,3,FALSE)="","",VLOOKUP(A39,'20yPlan'!A:C,3,FALSE))</f>
        <v/>
      </c>
      <c r="AG39" s="7" t="str">
        <f>IF(VLOOKUP(A39,'20yPlan'!A:D,4,FALSE)="","",VLOOKUP(A39,'20yPlan'!A:D,4,FALSE))</f>
        <v/>
      </c>
      <c r="AH39" s="7" t="str">
        <f>IF(VLOOKUP(A39,'20yPlan'!A:E,5,FALSE)="","",VLOOKUP(A39,'20yPlan'!A:E,5,FALSE))</f>
        <v/>
      </c>
      <c r="AI39" s="7" t="str">
        <f>IF(VLOOKUP(A39,'20yPlan'!A:F,6,FALSE)="","",VLOOKUP(A39,'20yPlan'!A:F,6,FALSE))</f>
        <v/>
      </c>
      <c r="AJ39" s="7" t="str">
        <f t="shared" si="5"/>
        <v>2043 Chip Seal</v>
      </c>
      <c r="AK39" s="7" t="str">
        <f t="shared" si="6"/>
        <v>2026 RPM Replacement</v>
      </c>
      <c r="AL39" s="39">
        <f t="shared" ca="1" si="7"/>
        <v>2025</v>
      </c>
      <c r="AM39" s="7">
        <f t="shared" si="8"/>
        <v>2026</v>
      </c>
      <c r="AN39" s="7" t="str">
        <f t="shared" si="9"/>
        <v>2026 RPM Replacement</v>
      </c>
    </row>
    <row r="40" spans="1:40">
      <c r="A40" s="6">
        <v>60039</v>
      </c>
      <c r="B40" s="6" t="s">
        <v>40</v>
      </c>
      <c r="C40" s="6" t="s">
        <v>199</v>
      </c>
      <c r="D40" s="6">
        <v>63.194685</v>
      </c>
      <c r="E40" s="6">
        <v>67.112832999999995</v>
      </c>
      <c r="F40" s="6" t="s">
        <v>194</v>
      </c>
      <c r="G40" s="6" t="s">
        <v>200</v>
      </c>
      <c r="H40" s="35">
        <v>177921</v>
      </c>
      <c r="I40" s="6" t="s">
        <v>154</v>
      </c>
      <c r="J40" s="6">
        <v>5</v>
      </c>
      <c r="K40" s="6"/>
      <c r="L40" s="6">
        <v>4</v>
      </c>
      <c r="M40" s="6" t="s">
        <v>45</v>
      </c>
      <c r="N40" s="6" t="s">
        <v>46</v>
      </c>
      <c r="O40" s="6" t="s">
        <v>196</v>
      </c>
      <c r="P40" s="6" t="s">
        <v>201</v>
      </c>
      <c r="Q40" s="6" t="s">
        <v>198</v>
      </c>
      <c r="R40" s="35">
        <v>20057</v>
      </c>
      <c r="S40" s="35">
        <v>6012</v>
      </c>
      <c r="T40" s="36" t="s">
        <v>50</v>
      </c>
      <c r="U40" s="46">
        <f>IF($L40&lt;=2,
IF($R40&lt;=RpmDesignStandard!$C$2,RpmDesignStandard!$D$2,
IF(AND($R40&gt;RpmDesignStandard!$B$3,$R40&lt;=RpmDesignStandard!$C$3),RpmDesignStandard!$D$3,RpmDesignStandard!$D$4)),
IF($R40&lt;=RpmDesignStandard!$C$5, RpmDesignStandard!$D$5,
IF(AND($R40&gt;RpmDesignStandard!$B$6,$R40&lt;=RpmDesignStandard!$C$6),RpmDesignStandard!$D$6,
IF(AND($R40&gt;RpmDesignStandard!$B$7,$R40&lt;=RpmDesignStandard!$C$7),RpmDesignStandard!$D$7,RpmDesignStandard!$D$8))))</f>
        <v>3</v>
      </c>
      <c r="V40" s="47">
        <f>U40*RpmDesignStandard!$H$1</f>
        <v>6</v>
      </c>
      <c r="W40" s="37">
        <f>VLOOKUP(A40,RPM_ProjectRecord!A:AB,8,FALSE)</f>
        <v>2024</v>
      </c>
      <c r="X40" s="38" t="str">
        <f t="shared" si="0"/>
        <v/>
      </c>
      <c r="Y40" s="38" t="str">
        <f t="shared" si="1"/>
        <v/>
      </c>
      <c r="Z40" s="38" t="str">
        <f t="shared" si="2"/>
        <v/>
      </c>
      <c r="AA40" s="38" t="str">
        <f t="shared" si="3"/>
        <v/>
      </c>
      <c r="AB40" s="38" t="str">
        <f t="shared" si="4"/>
        <v/>
      </c>
      <c r="AC40" s="38" t="str">
        <f>IF(VLOOKUP(A40,'3rdPhaseChipSeal'!A:L,12,FALSE)="","",VLOOKUP(A40,'3rdPhaseChipSeal'!A:L,12,FALSE))</f>
        <v/>
      </c>
      <c r="AD40" s="38" t="str">
        <f>IFERROR(IF(VLOOKUP(A40,RpmContracts!A:C,3,FALSE)="","",VLOOKUP(A40,RpmContracts!A:C,3,FALSE)),"")</f>
        <v/>
      </c>
      <c r="AE40" s="7" t="str">
        <f>IF(VLOOKUP(A40,'20yPlan'!A:B,2,FALSE)="","",VLOOKUP(A40,'20yPlan'!A:B,2,FALSE))</f>
        <v/>
      </c>
      <c r="AF40" s="7" t="str">
        <f>IF(VLOOKUP(A40,'20yPlan'!A:C,3,FALSE)="","",VLOOKUP(A40,'20yPlan'!A:C,3,FALSE))</f>
        <v/>
      </c>
      <c r="AG40" s="7" t="str">
        <f>IF(VLOOKUP(A40,'20yPlan'!A:D,4,FALSE)="","",VLOOKUP(A40,'20yPlan'!A:D,4,FALSE))</f>
        <v/>
      </c>
      <c r="AH40" s="7" t="str">
        <f>IF(VLOOKUP(A40,'20yPlan'!A:E,5,FALSE)="","",VLOOKUP(A40,'20yPlan'!A:E,5,FALSE))</f>
        <v/>
      </c>
      <c r="AI40" s="7" t="str">
        <f>IF(VLOOKUP(A40,'20yPlan'!A:F,6,FALSE)="","",VLOOKUP(A40,'20yPlan'!A:F,6,FALSE))</f>
        <v/>
      </c>
      <c r="AJ40" s="7" t="str">
        <f t="shared" si="5"/>
        <v/>
      </c>
      <c r="AK40" s="7" t="str">
        <f t="shared" si="6"/>
        <v/>
      </c>
      <c r="AL40" s="39">
        <f t="shared" ca="1" si="7"/>
        <v>2027</v>
      </c>
      <c r="AM40" s="7" t="str">
        <f t="shared" si="8"/>
        <v/>
      </c>
      <c r="AN40" s="7" t="str">
        <f t="shared" si="9"/>
        <v/>
      </c>
    </row>
    <row r="41" spans="1:40">
      <c r="A41" s="6">
        <v>60040</v>
      </c>
      <c r="B41" s="6" t="s">
        <v>40</v>
      </c>
      <c r="C41" s="6" t="s">
        <v>202</v>
      </c>
      <c r="D41" s="6">
        <v>67.112832999999995</v>
      </c>
      <c r="E41" s="6">
        <v>70.43674</v>
      </c>
      <c r="F41" s="6" t="s">
        <v>200</v>
      </c>
      <c r="G41" s="6" t="s">
        <v>203</v>
      </c>
      <c r="H41" s="35">
        <v>85357</v>
      </c>
      <c r="I41" s="6" t="s">
        <v>154</v>
      </c>
      <c r="J41" s="6">
        <v>14</v>
      </c>
      <c r="K41" s="6"/>
      <c r="L41" s="6">
        <v>4</v>
      </c>
      <c r="M41" s="6" t="s">
        <v>45</v>
      </c>
      <c r="N41" s="6" t="s">
        <v>46</v>
      </c>
      <c r="O41" s="6" t="s">
        <v>196</v>
      </c>
      <c r="P41" s="6" t="s">
        <v>201</v>
      </c>
      <c r="Q41" s="6" t="s">
        <v>198</v>
      </c>
      <c r="R41" s="35">
        <v>12486</v>
      </c>
      <c r="S41" s="35">
        <v>1281</v>
      </c>
      <c r="T41" s="36" t="s">
        <v>50</v>
      </c>
      <c r="U41" s="46">
        <f>IF($L41&lt;=2,
IF($R41&lt;=RpmDesignStandard!$C$2,RpmDesignStandard!$D$2,
IF(AND($R41&gt;RpmDesignStandard!$B$3,$R41&lt;=RpmDesignStandard!$C$3),RpmDesignStandard!$D$3,RpmDesignStandard!$D$4)),
IF($R41&lt;=RpmDesignStandard!$C$5, RpmDesignStandard!$D$5,
IF(AND($R41&gt;RpmDesignStandard!$B$6,$R41&lt;=RpmDesignStandard!$C$6),RpmDesignStandard!$D$6,
IF(AND($R41&gt;RpmDesignStandard!$B$7,$R41&lt;=RpmDesignStandard!$C$7),RpmDesignStandard!$D$7,RpmDesignStandard!$D$8))))</f>
        <v>3</v>
      </c>
      <c r="V41" s="47">
        <f>U41*RpmDesignStandard!$H$1</f>
        <v>6</v>
      </c>
      <c r="W41" s="37">
        <f>VLOOKUP(A41,RPM_ProjectRecord!A:AB,8,FALSE)</f>
        <v>2024</v>
      </c>
      <c r="X41" s="38">
        <f t="shared" si="0"/>
        <v>2039</v>
      </c>
      <c r="Y41" s="38" t="str">
        <f t="shared" si="1"/>
        <v/>
      </c>
      <c r="Z41" s="38" t="str">
        <f t="shared" si="2"/>
        <v/>
      </c>
      <c r="AA41" s="38" t="str">
        <f t="shared" si="3"/>
        <v/>
      </c>
      <c r="AB41" s="38" t="str">
        <f t="shared" si="4"/>
        <v/>
      </c>
      <c r="AC41" s="38" t="str">
        <f>IF(VLOOKUP(A41,'3rdPhaseChipSeal'!A:L,12,FALSE)="","",VLOOKUP(A41,'3rdPhaseChipSeal'!A:L,12,FALSE))</f>
        <v/>
      </c>
      <c r="AD41" s="38" t="str">
        <f>IFERROR(IF(VLOOKUP(A41,RpmContracts!A:C,3,FALSE)="","",VLOOKUP(A41,RpmContracts!A:C,3,FALSE)),"")</f>
        <v/>
      </c>
      <c r="AE41" s="7" t="str">
        <f>IF(VLOOKUP(A41,'20yPlan'!A:B,2,FALSE)="","",VLOOKUP(A41,'20yPlan'!A:B,2,FALSE))</f>
        <v>2039 Preventive Maintenance</v>
      </c>
      <c r="AF41" s="7" t="str">
        <f>IF(VLOOKUP(A41,'20yPlan'!A:C,3,FALSE)="","",VLOOKUP(A41,'20yPlan'!A:C,3,FALSE))</f>
        <v/>
      </c>
      <c r="AG41" s="7" t="str">
        <f>IF(VLOOKUP(A41,'20yPlan'!A:D,4,FALSE)="","",VLOOKUP(A41,'20yPlan'!A:D,4,FALSE))</f>
        <v/>
      </c>
      <c r="AH41" s="7" t="str">
        <f>IF(VLOOKUP(A41,'20yPlan'!A:E,5,FALSE)="","",VLOOKUP(A41,'20yPlan'!A:E,5,FALSE))</f>
        <v/>
      </c>
      <c r="AI41" s="7" t="str">
        <f>IF(VLOOKUP(A41,'20yPlan'!A:F,6,FALSE)="","",VLOOKUP(A41,'20yPlan'!A:F,6,FALSE))</f>
        <v/>
      </c>
      <c r="AJ41" s="7" t="str">
        <f t="shared" si="5"/>
        <v/>
      </c>
      <c r="AK41" s="7" t="str">
        <f t="shared" si="6"/>
        <v/>
      </c>
      <c r="AL41" s="39">
        <f t="shared" ca="1" si="7"/>
        <v>2027</v>
      </c>
      <c r="AM41" s="7" t="str">
        <f t="shared" si="8"/>
        <v/>
      </c>
      <c r="AN41" s="7" t="str">
        <f t="shared" si="9"/>
        <v/>
      </c>
    </row>
    <row r="42" spans="1:40">
      <c r="A42" s="6">
        <v>60041</v>
      </c>
      <c r="B42" s="6" t="s">
        <v>40</v>
      </c>
      <c r="C42" s="6" t="s">
        <v>204</v>
      </c>
      <c r="D42" s="6">
        <v>70.43674</v>
      </c>
      <c r="E42" s="6">
        <v>77.113114999999993</v>
      </c>
      <c r="F42" s="6" t="s">
        <v>203</v>
      </c>
      <c r="G42" s="6" t="s">
        <v>205</v>
      </c>
      <c r="H42" s="35">
        <v>134922</v>
      </c>
      <c r="I42" s="6" t="s">
        <v>44</v>
      </c>
      <c r="J42" s="6">
        <v>13</v>
      </c>
      <c r="K42" s="6">
        <v>2026</v>
      </c>
      <c r="L42" s="6">
        <v>2</v>
      </c>
      <c r="M42" s="6" t="s">
        <v>45</v>
      </c>
      <c r="N42" s="6" t="s">
        <v>46</v>
      </c>
      <c r="O42" s="6" t="s">
        <v>196</v>
      </c>
      <c r="P42" s="6" t="s">
        <v>201</v>
      </c>
      <c r="Q42" s="6" t="s">
        <v>198</v>
      </c>
      <c r="R42" s="35">
        <v>6037</v>
      </c>
      <c r="S42" s="6">
        <v>165</v>
      </c>
      <c r="T42" s="36" t="s">
        <v>50</v>
      </c>
      <c r="U42" s="46">
        <f>IF($L42&lt;=2,
IF($R42&lt;=RpmDesignStandard!$C$2,RpmDesignStandard!$D$2,
IF(AND($R42&gt;RpmDesignStandard!$B$3,$R42&lt;=RpmDesignStandard!$C$3),RpmDesignStandard!$D$3,RpmDesignStandard!$D$4)),
IF($R42&lt;=RpmDesignStandard!$C$5, RpmDesignStandard!$D$5,
IF(AND($R42&gt;RpmDesignStandard!$B$6,$R42&lt;=RpmDesignStandard!$C$6),RpmDesignStandard!$D$6,
IF(AND($R42&gt;RpmDesignStandard!$B$7,$R42&lt;=RpmDesignStandard!$C$7),RpmDesignStandard!$D$7,RpmDesignStandard!$D$8))))</f>
        <v>3</v>
      </c>
      <c r="V42" s="47">
        <f>U42*RpmDesignStandard!$H$1</f>
        <v>6</v>
      </c>
      <c r="W42" s="37" t="str">
        <f>VLOOKUP(A42,RPM_ProjectRecord!A:AB,8,FALSE)</f>
        <v/>
      </c>
      <c r="X42" s="38" t="str">
        <f t="shared" si="0"/>
        <v/>
      </c>
      <c r="Y42" s="38" t="str">
        <f t="shared" si="1"/>
        <v/>
      </c>
      <c r="Z42" s="38" t="str">
        <f t="shared" si="2"/>
        <v/>
      </c>
      <c r="AA42" s="38" t="str">
        <f t="shared" si="3"/>
        <v/>
      </c>
      <c r="AB42" s="38" t="str">
        <f t="shared" si="4"/>
        <v/>
      </c>
      <c r="AC42" s="38" t="str">
        <f>IF(VLOOKUP(A42,'3rdPhaseChipSeal'!A:L,12,FALSE)="","",VLOOKUP(A42,'3rdPhaseChipSeal'!A:L,12,FALSE))</f>
        <v/>
      </c>
      <c r="AD42" s="38" t="str">
        <f>IFERROR(IF(VLOOKUP(A42,RpmContracts!A:C,3,FALSE)="","",VLOOKUP(A42,RpmContracts!A:C,3,FALSE)),"")</f>
        <v/>
      </c>
      <c r="AE42" s="7" t="str">
        <f>IF(VLOOKUP(A42,'20yPlan'!A:B,2,FALSE)="","",VLOOKUP(A42,'20yPlan'!A:B,2,FALSE))</f>
        <v/>
      </c>
      <c r="AF42" s="7" t="str">
        <f>IF(VLOOKUP(A42,'20yPlan'!A:C,3,FALSE)="","",VLOOKUP(A42,'20yPlan'!A:C,3,FALSE))</f>
        <v/>
      </c>
      <c r="AG42" s="7" t="str">
        <f>IF(VLOOKUP(A42,'20yPlan'!A:D,4,FALSE)="","",VLOOKUP(A42,'20yPlan'!A:D,4,FALSE))</f>
        <v/>
      </c>
      <c r="AH42" s="7" t="str">
        <f>IF(VLOOKUP(A42,'20yPlan'!A:E,5,FALSE)="","",VLOOKUP(A42,'20yPlan'!A:E,5,FALSE))</f>
        <v/>
      </c>
      <c r="AI42" s="7" t="str">
        <f>IF(VLOOKUP(A42,'20yPlan'!A:F,6,FALSE)="","",VLOOKUP(A42,'20yPlan'!A:F,6,FALSE))</f>
        <v/>
      </c>
      <c r="AJ42" s="7" t="str">
        <f t="shared" si="5"/>
        <v/>
      </c>
      <c r="AK42" s="7" t="str">
        <f t="shared" si="6"/>
        <v/>
      </c>
      <c r="AL42" s="39">
        <f t="shared" ca="1" si="7"/>
        <v>2025</v>
      </c>
      <c r="AM42" s="7" t="str">
        <f t="shared" si="8"/>
        <v/>
      </c>
      <c r="AN42" s="7" t="str">
        <f t="shared" si="9"/>
        <v/>
      </c>
    </row>
    <row r="43" spans="1:40">
      <c r="A43" s="6">
        <v>60042</v>
      </c>
      <c r="B43" s="6" t="s">
        <v>206</v>
      </c>
      <c r="C43" s="6" t="s">
        <v>207</v>
      </c>
      <c r="D43" s="6">
        <v>7.1220220000000003</v>
      </c>
      <c r="E43" s="6">
        <v>12.231484999999999</v>
      </c>
      <c r="F43" s="6" t="s">
        <v>208</v>
      </c>
      <c r="G43" s="6" t="s">
        <v>209</v>
      </c>
      <c r="H43" s="35">
        <v>134818</v>
      </c>
      <c r="I43" s="6" t="s">
        <v>154</v>
      </c>
      <c r="J43" s="6">
        <v>13</v>
      </c>
      <c r="K43" s="6">
        <v>2032</v>
      </c>
      <c r="L43" s="6">
        <v>4</v>
      </c>
      <c r="M43" s="6" t="s">
        <v>45</v>
      </c>
      <c r="N43" s="6" t="s">
        <v>46</v>
      </c>
      <c r="O43" s="6" t="s">
        <v>79</v>
      </c>
      <c r="P43" s="6" t="s">
        <v>210</v>
      </c>
      <c r="Q43" s="6" t="s">
        <v>81</v>
      </c>
      <c r="R43" s="35">
        <v>4883</v>
      </c>
      <c r="S43" s="35">
        <v>2027</v>
      </c>
      <c r="T43" s="36" t="s">
        <v>50</v>
      </c>
      <c r="U43" s="46">
        <f>IF($L43&lt;=2,
IF($R43&lt;=RpmDesignStandard!$C$2,RpmDesignStandard!$D$2,
IF(AND($R43&gt;RpmDesignStandard!$B$3,$R43&lt;=RpmDesignStandard!$C$3),RpmDesignStandard!$D$3,RpmDesignStandard!$D$4)),
IF($R43&lt;=RpmDesignStandard!$C$5, RpmDesignStandard!$D$5,
IF(AND($R43&gt;RpmDesignStandard!$B$6,$R43&lt;=RpmDesignStandard!$C$6),RpmDesignStandard!$D$6,
IF(AND($R43&gt;RpmDesignStandard!$B$7,$R43&lt;=RpmDesignStandard!$C$7),RpmDesignStandard!$D$7,RpmDesignStandard!$D$8))))</f>
        <v>4</v>
      </c>
      <c r="V43" s="47">
        <f>U43*RpmDesignStandard!$H$1</f>
        <v>8</v>
      </c>
      <c r="W43" s="37" t="str">
        <f>VLOOKUP(A43,RPM_ProjectRecord!A:AB,8,FALSE)</f>
        <v/>
      </c>
      <c r="X43" s="38">
        <f t="shared" si="0"/>
        <v>2032</v>
      </c>
      <c r="Y43" s="38" t="str">
        <f t="shared" si="1"/>
        <v/>
      </c>
      <c r="Z43" s="38" t="str">
        <f t="shared" si="2"/>
        <v/>
      </c>
      <c r="AA43" s="38" t="str">
        <f t="shared" si="3"/>
        <v/>
      </c>
      <c r="AB43" s="38" t="str">
        <f t="shared" si="4"/>
        <v/>
      </c>
      <c r="AC43" s="38" t="str">
        <f>IF(VLOOKUP(A43,'3rdPhaseChipSeal'!A:L,12,FALSE)="","",VLOOKUP(A43,'3rdPhaseChipSeal'!A:L,12,FALSE))</f>
        <v/>
      </c>
      <c r="AD43" s="38">
        <f>IFERROR(IF(VLOOKUP(A43,RpmContracts!A:C,3,FALSE)="","",VLOOKUP(A43,RpmContracts!A:C,3,FALSE)),"")</f>
        <v>2026</v>
      </c>
      <c r="AE43" s="7" t="str">
        <f>IF(VLOOKUP(A43,'20yPlan'!A:B,2,FALSE)="","",VLOOKUP(A43,'20yPlan'!A:B,2,FALSE))</f>
        <v>2032 Preventive Maintenance</v>
      </c>
      <c r="AF43" s="7" t="str">
        <f>IF(VLOOKUP(A43,'20yPlan'!A:C,3,FALSE)="","",VLOOKUP(A43,'20yPlan'!A:C,3,FALSE))</f>
        <v/>
      </c>
      <c r="AG43" s="7" t="str">
        <f>IF(VLOOKUP(A43,'20yPlan'!A:D,4,FALSE)="","",VLOOKUP(A43,'20yPlan'!A:D,4,FALSE))</f>
        <v/>
      </c>
      <c r="AH43" s="7" t="str">
        <f>IF(VLOOKUP(A43,'20yPlan'!A:E,5,FALSE)="","",VLOOKUP(A43,'20yPlan'!A:E,5,FALSE))</f>
        <v/>
      </c>
      <c r="AI43" s="7" t="str">
        <f>IF(VLOOKUP(A43,'20yPlan'!A:F,6,FALSE)="","",VLOOKUP(A43,'20yPlan'!A:F,6,FALSE))</f>
        <v/>
      </c>
      <c r="AJ43" s="7" t="str">
        <f t="shared" si="5"/>
        <v/>
      </c>
      <c r="AK43" s="7" t="str">
        <f t="shared" si="6"/>
        <v>2026 RPM Replacement</v>
      </c>
      <c r="AL43" s="39">
        <f t="shared" ca="1" si="7"/>
        <v>2025</v>
      </c>
      <c r="AM43" s="7">
        <f t="shared" si="8"/>
        <v>2026</v>
      </c>
      <c r="AN43" s="7" t="str">
        <f t="shared" si="9"/>
        <v>2026 RPM Replacement</v>
      </c>
    </row>
    <row r="44" spans="1:40">
      <c r="A44" s="6">
        <v>60043</v>
      </c>
      <c r="B44" s="6" t="s">
        <v>206</v>
      </c>
      <c r="C44" s="6" t="s">
        <v>211</v>
      </c>
      <c r="D44" s="6">
        <v>12.231484999999999</v>
      </c>
      <c r="E44" s="6">
        <v>22.695598</v>
      </c>
      <c r="F44" s="6" t="s">
        <v>209</v>
      </c>
      <c r="G44" s="6" t="s">
        <v>212</v>
      </c>
      <c r="H44" s="35">
        <v>485369</v>
      </c>
      <c r="I44" s="6" t="s">
        <v>154</v>
      </c>
      <c r="J44" s="6">
        <v>13</v>
      </c>
      <c r="K44" s="6"/>
      <c r="L44" s="6">
        <v>4</v>
      </c>
      <c r="M44" s="6" t="s">
        <v>111</v>
      </c>
      <c r="N44" s="6" t="s">
        <v>46</v>
      </c>
      <c r="O44" s="6" t="s">
        <v>79</v>
      </c>
      <c r="P44" s="6" t="s">
        <v>80</v>
      </c>
      <c r="Q44" s="6" t="s">
        <v>89</v>
      </c>
      <c r="R44" s="35">
        <v>6124</v>
      </c>
      <c r="S44" s="35">
        <v>2283</v>
      </c>
      <c r="T44" s="36" t="s">
        <v>50</v>
      </c>
      <c r="U44" s="46">
        <f>IF($L44&lt;=2,
IF($R44&lt;=RpmDesignStandard!$C$2,RpmDesignStandard!$D$2,
IF(AND($R44&gt;RpmDesignStandard!$B$3,$R44&lt;=RpmDesignStandard!$C$3),RpmDesignStandard!$D$3,RpmDesignStandard!$D$4)),
IF($R44&lt;=RpmDesignStandard!$C$5, RpmDesignStandard!$D$5,
IF(AND($R44&gt;RpmDesignStandard!$B$6,$R44&lt;=RpmDesignStandard!$C$6),RpmDesignStandard!$D$6,
IF(AND($R44&gt;RpmDesignStandard!$B$7,$R44&lt;=RpmDesignStandard!$C$7),RpmDesignStandard!$D$7,RpmDesignStandard!$D$8))))</f>
        <v>4</v>
      </c>
      <c r="V44" s="47">
        <f>U44*RpmDesignStandard!$H$1</f>
        <v>8</v>
      </c>
      <c r="W44" s="37" t="str">
        <f>VLOOKUP(A44,RPM_ProjectRecord!A:AB,8,FALSE)</f>
        <v/>
      </c>
      <c r="X44" s="38" t="str">
        <f t="shared" si="0"/>
        <v/>
      </c>
      <c r="Y44" s="38" t="str">
        <f t="shared" si="1"/>
        <v/>
      </c>
      <c r="Z44" s="38" t="str">
        <f t="shared" si="2"/>
        <v/>
      </c>
      <c r="AA44" s="38" t="str">
        <f t="shared" si="3"/>
        <v/>
      </c>
      <c r="AB44" s="38" t="str">
        <f t="shared" si="4"/>
        <v/>
      </c>
      <c r="AC44" s="38" t="str">
        <f>IF(VLOOKUP(A44,'3rdPhaseChipSeal'!A:L,12,FALSE)="","",VLOOKUP(A44,'3rdPhaseChipSeal'!A:L,12,FALSE))</f>
        <v/>
      </c>
      <c r="AD44" s="38">
        <f>IFERROR(IF(VLOOKUP(A44,RpmContracts!A:C,3,FALSE)="","",VLOOKUP(A44,RpmContracts!A:C,3,FALSE)),"")</f>
        <v>2026</v>
      </c>
      <c r="AE44" s="7" t="str">
        <f>IF(VLOOKUP(A44,'20yPlan'!A:B,2,FALSE)="","",VLOOKUP(A44,'20yPlan'!A:B,2,FALSE))</f>
        <v/>
      </c>
      <c r="AF44" s="7" t="str">
        <f>IF(VLOOKUP(A44,'20yPlan'!A:C,3,FALSE)="","",VLOOKUP(A44,'20yPlan'!A:C,3,FALSE))</f>
        <v/>
      </c>
      <c r="AG44" s="7" t="str">
        <f>IF(VLOOKUP(A44,'20yPlan'!A:D,4,FALSE)="","",VLOOKUP(A44,'20yPlan'!A:D,4,FALSE))</f>
        <v/>
      </c>
      <c r="AH44" s="7" t="str">
        <f>IF(VLOOKUP(A44,'20yPlan'!A:E,5,FALSE)="","",VLOOKUP(A44,'20yPlan'!A:E,5,FALSE))</f>
        <v/>
      </c>
      <c r="AI44" s="7" t="str">
        <f>IF(VLOOKUP(A44,'20yPlan'!A:F,6,FALSE)="","",VLOOKUP(A44,'20yPlan'!A:F,6,FALSE))</f>
        <v/>
      </c>
      <c r="AJ44" s="7" t="str">
        <f t="shared" si="5"/>
        <v/>
      </c>
      <c r="AK44" s="7" t="str">
        <f t="shared" si="6"/>
        <v>2026 RPM Replacement</v>
      </c>
      <c r="AL44" s="39">
        <f t="shared" ca="1" si="7"/>
        <v>2025</v>
      </c>
      <c r="AM44" s="7">
        <f t="shared" si="8"/>
        <v>2026</v>
      </c>
      <c r="AN44" s="7" t="str">
        <f t="shared" si="9"/>
        <v>2026 RPM Replacement</v>
      </c>
    </row>
    <row r="45" spans="1:40">
      <c r="A45" s="6">
        <v>60044</v>
      </c>
      <c r="B45" s="6" t="s">
        <v>206</v>
      </c>
      <c r="C45" s="6" t="s">
        <v>213</v>
      </c>
      <c r="D45" s="6">
        <v>22.695598</v>
      </c>
      <c r="E45" s="6">
        <v>27.640573</v>
      </c>
      <c r="F45" s="6" t="s">
        <v>212</v>
      </c>
      <c r="G45" s="6" t="s">
        <v>214</v>
      </c>
      <c r="H45" s="35">
        <v>95570</v>
      </c>
      <c r="I45" s="6" t="s">
        <v>44</v>
      </c>
      <c r="J45" s="6">
        <v>6</v>
      </c>
      <c r="K45" s="6"/>
      <c r="L45" s="6">
        <v>2</v>
      </c>
      <c r="M45" s="6" t="s">
        <v>45</v>
      </c>
      <c r="N45" s="6" t="s">
        <v>46</v>
      </c>
      <c r="O45" s="6" t="s">
        <v>215</v>
      </c>
      <c r="P45" s="6" t="s">
        <v>216</v>
      </c>
      <c r="Q45" s="6" t="s">
        <v>217</v>
      </c>
      <c r="R45" s="35">
        <v>7316</v>
      </c>
      <c r="S45" s="6">
        <v>938</v>
      </c>
      <c r="T45" s="36" t="s">
        <v>50</v>
      </c>
      <c r="U45" s="46">
        <f>IF($L45&lt;=2,
IF($R45&lt;=RpmDesignStandard!$C$2,RpmDesignStandard!$D$2,
IF(AND($R45&gt;RpmDesignStandard!$B$3,$R45&lt;=RpmDesignStandard!$C$3),RpmDesignStandard!$D$3,RpmDesignStandard!$D$4)),
IF($R45&lt;=RpmDesignStandard!$C$5, RpmDesignStandard!$D$5,
IF(AND($R45&gt;RpmDesignStandard!$B$6,$R45&lt;=RpmDesignStandard!$C$6),RpmDesignStandard!$D$6,
IF(AND($R45&gt;RpmDesignStandard!$B$7,$R45&lt;=RpmDesignStandard!$C$7),RpmDesignStandard!$D$7,RpmDesignStandard!$D$8))))</f>
        <v>3</v>
      </c>
      <c r="V45" s="47">
        <f>U45*RpmDesignStandard!$H$1</f>
        <v>6</v>
      </c>
      <c r="W45" s="37" t="str">
        <f>VLOOKUP(A45,RPM_ProjectRecord!A:AB,8,FALSE)</f>
        <v/>
      </c>
      <c r="X45" s="38" t="str">
        <f t="shared" si="0"/>
        <v/>
      </c>
      <c r="Y45" s="38" t="str">
        <f t="shared" si="1"/>
        <v/>
      </c>
      <c r="Z45" s="38" t="str">
        <f t="shared" si="2"/>
        <v/>
      </c>
      <c r="AA45" s="38" t="str">
        <f t="shared" si="3"/>
        <v/>
      </c>
      <c r="AB45" s="38" t="str">
        <f t="shared" si="4"/>
        <v/>
      </c>
      <c r="AC45" s="38" t="str">
        <f>IF(VLOOKUP(A45,'3rdPhaseChipSeal'!A:L,12,FALSE)="","",VLOOKUP(A45,'3rdPhaseChipSeal'!A:L,12,FALSE))</f>
        <v/>
      </c>
      <c r="AD45" s="38" t="str">
        <f>IFERROR(IF(VLOOKUP(A45,RpmContracts!A:C,3,FALSE)="","",VLOOKUP(A45,RpmContracts!A:C,3,FALSE)),"")</f>
        <v/>
      </c>
      <c r="AE45" s="7" t="str">
        <f>IF(VLOOKUP(A45,'20yPlan'!A:B,2,FALSE)="","",VLOOKUP(A45,'20yPlan'!A:B,2,FALSE))</f>
        <v/>
      </c>
      <c r="AF45" s="7" t="str">
        <f>IF(VLOOKUP(A45,'20yPlan'!A:C,3,FALSE)="","",VLOOKUP(A45,'20yPlan'!A:C,3,FALSE))</f>
        <v/>
      </c>
      <c r="AG45" s="7" t="str">
        <f>IF(VLOOKUP(A45,'20yPlan'!A:D,4,FALSE)="","",VLOOKUP(A45,'20yPlan'!A:D,4,FALSE))</f>
        <v/>
      </c>
      <c r="AH45" s="7" t="str">
        <f>IF(VLOOKUP(A45,'20yPlan'!A:E,5,FALSE)="","",VLOOKUP(A45,'20yPlan'!A:E,5,FALSE))</f>
        <v/>
      </c>
      <c r="AI45" s="7" t="str">
        <f>IF(VLOOKUP(A45,'20yPlan'!A:F,6,FALSE)="","",VLOOKUP(A45,'20yPlan'!A:F,6,FALSE))</f>
        <v/>
      </c>
      <c r="AJ45" s="7" t="str">
        <f t="shared" si="5"/>
        <v/>
      </c>
      <c r="AK45" s="7" t="str">
        <f t="shared" si="6"/>
        <v/>
      </c>
      <c r="AL45" s="39">
        <f t="shared" ca="1" si="7"/>
        <v>2025</v>
      </c>
      <c r="AM45" s="7" t="str">
        <f t="shared" si="8"/>
        <v/>
      </c>
      <c r="AN45" s="7" t="str">
        <f t="shared" si="9"/>
        <v/>
      </c>
    </row>
    <row r="46" spans="1:40">
      <c r="A46" s="6">
        <v>60045</v>
      </c>
      <c r="B46" s="6" t="s">
        <v>206</v>
      </c>
      <c r="C46" s="6" t="s">
        <v>218</v>
      </c>
      <c r="D46" s="6">
        <v>27.640573</v>
      </c>
      <c r="E46" s="6">
        <v>30.287744</v>
      </c>
      <c r="F46" s="6" t="s">
        <v>214</v>
      </c>
      <c r="G46" s="6" t="s">
        <v>219</v>
      </c>
      <c r="H46" s="35">
        <v>64757</v>
      </c>
      <c r="I46" s="6" t="s">
        <v>141</v>
      </c>
      <c r="J46" s="6">
        <v>2</v>
      </c>
      <c r="K46" s="6"/>
      <c r="L46" s="6">
        <v>2</v>
      </c>
      <c r="M46" s="6" t="s">
        <v>45</v>
      </c>
      <c r="N46" s="6" t="s">
        <v>46</v>
      </c>
      <c r="O46" s="6" t="s">
        <v>215</v>
      </c>
      <c r="P46" s="6" t="s">
        <v>216</v>
      </c>
      <c r="Q46" s="6" t="s">
        <v>217</v>
      </c>
      <c r="R46" s="35">
        <v>10325</v>
      </c>
      <c r="S46" s="6">
        <v>992</v>
      </c>
      <c r="T46" s="36" t="s">
        <v>50</v>
      </c>
      <c r="U46" s="46">
        <f>IF($L46&lt;=2,
IF($R46&lt;=RpmDesignStandard!$C$2,RpmDesignStandard!$D$2,
IF(AND($R46&gt;RpmDesignStandard!$B$3,$R46&lt;=RpmDesignStandard!$C$3),RpmDesignStandard!$D$3,RpmDesignStandard!$D$4)),
IF($R46&lt;=RpmDesignStandard!$C$5, RpmDesignStandard!$D$5,
IF(AND($R46&gt;RpmDesignStandard!$B$6,$R46&lt;=RpmDesignStandard!$C$6),RpmDesignStandard!$D$6,
IF(AND($R46&gt;RpmDesignStandard!$B$7,$R46&lt;=RpmDesignStandard!$C$7),RpmDesignStandard!$D$7,RpmDesignStandard!$D$8))))</f>
        <v>3</v>
      </c>
      <c r="V46" s="47">
        <f>U46*RpmDesignStandard!$H$1</f>
        <v>6</v>
      </c>
      <c r="W46" s="37">
        <f>VLOOKUP(A46,RPM_ProjectRecord!A:AB,8,FALSE)</f>
        <v>2021</v>
      </c>
      <c r="X46" s="38">
        <f t="shared" si="0"/>
        <v>2041</v>
      </c>
      <c r="Y46" s="38" t="str">
        <f t="shared" si="1"/>
        <v/>
      </c>
      <c r="Z46" s="38" t="str">
        <f t="shared" si="2"/>
        <v/>
      </c>
      <c r="AA46" s="38" t="str">
        <f t="shared" si="3"/>
        <v/>
      </c>
      <c r="AB46" s="38" t="str">
        <f t="shared" si="4"/>
        <v/>
      </c>
      <c r="AC46" s="38" t="str">
        <f>IF(VLOOKUP(A46,'3rdPhaseChipSeal'!A:L,12,FALSE)="","",VLOOKUP(A46,'3rdPhaseChipSeal'!A:L,12,FALSE))</f>
        <v/>
      </c>
      <c r="AD46" s="38" t="str">
        <f>IFERROR(IF(VLOOKUP(A46,RpmContracts!A:C,3,FALSE)="","",VLOOKUP(A46,RpmContracts!A:C,3,FALSE)),"")</f>
        <v/>
      </c>
      <c r="AE46" s="7" t="str">
        <f>IF(VLOOKUP(A46,'20yPlan'!A:B,2,FALSE)="","",VLOOKUP(A46,'20yPlan'!A:B,2,FALSE))</f>
        <v>2041 Preventive Maintenance</v>
      </c>
      <c r="AF46" s="7" t="str">
        <f>IF(VLOOKUP(A46,'20yPlan'!A:C,3,FALSE)="","",VLOOKUP(A46,'20yPlan'!A:C,3,FALSE))</f>
        <v/>
      </c>
      <c r="AG46" s="7" t="str">
        <f>IF(VLOOKUP(A46,'20yPlan'!A:D,4,FALSE)="","",VLOOKUP(A46,'20yPlan'!A:D,4,FALSE))</f>
        <v/>
      </c>
      <c r="AH46" s="7" t="str">
        <f>IF(VLOOKUP(A46,'20yPlan'!A:E,5,FALSE)="","",VLOOKUP(A46,'20yPlan'!A:E,5,FALSE))</f>
        <v/>
      </c>
      <c r="AI46" s="7" t="str">
        <f>IF(VLOOKUP(A46,'20yPlan'!A:F,6,FALSE)="","",VLOOKUP(A46,'20yPlan'!A:F,6,FALSE))</f>
        <v/>
      </c>
      <c r="AJ46" s="7" t="str">
        <f t="shared" si="5"/>
        <v/>
      </c>
      <c r="AK46" s="7" t="str">
        <f t="shared" si="6"/>
        <v/>
      </c>
      <c r="AL46" s="39">
        <f t="shared" ca="1" si="7"/>
        <v>2024</v>
      </c>
      <c r="AM46" s="7" t="str">
        <f t="shared" si="8"/>
        <v/>
      </c>
      <c r="AN46" s="7" t="str">
        <f t="shared" si="9"/>
        <v/>
      </c>
    </row>
    <row r="47" spans="1:40">
      <c r="A47" s="6">
        <v>60046</v>
      </c>
      <c r="B47" s="6" t="s">
        <v>206</v>
      </c>
      <c r="C47" s="6" t="s">
        <v>220</v>
      </c>
      <c r="D47" s="6">
        <v>30.287744</v>
      </c>
      <c r="E47" s="6">
        <v>33.529048000000003</v>
      </c>
      <c r="F47" s="6" t="s">
        <v>219</v>
      </c>
      <c r="G47" s="6" t="s">
        <v>221</v>
      </c>
      <c r="H47" s="35">
        <v>92083</v>
      </c>
      <c r="I47" s="6" t="s">
        <v>141</v>
      </c>
      <c r="J47" s="6">
        <v>10</v>
      </c>
      <c r="K47" s="6">
        <v>2029</v>
      </c>
      <c r="L47" s="6">
        <v>2</v>
      </c>
      <c r="M47" s="6" t="s">
        <v>45</v>
      </c>
      <c r="N47" s="6" t="s">
        <v>46</v>
      </c>
      <c r="O47" s="6" t="s">
        <v>215</v>
      </c>
      <c r="P47" s="6" t="s">
        <v>216</v>
      </c>
      <c r="Q47" s="6" t="s">
        <v>217</v>
      </c>
      <c r="R47" s="35">
        <v>13898</v>
      </c>
      <c r="S47" s="35">
        <v>1274</v>
      </c>
      <c r="T47" s="36" t="s">
        <v>50</v>
      </c>
      <c r="U47" s="46">
        <f>IF($L47&lt;=2,
IF($R47&lt;=RpmDesignStandard!$C$2,RpmDesignStandard!$D$2,
IF(AND($R47&gt;RpmDesignStandard!$B$3,$R47&lt;=RpmDesignStandard!$C$3),RpmDesignStandard!$D$3,RpmDesignStandard!$D$4)),
IF($R47&lt;=RpmDesignStandard!$C$5, RpmDesignStandard!$D$5,
IF(AND($R47&gt;RpmDesignStandard!$B$6,$R47&lt;=RpmDesignStandard!$C$6),RpmDesignStandard!$D$6,
IF(AND($R47&gt;RpmDesignStandard!$B$7,$R47&lt;=RpmDesignStandard!$C$7),RpmDesignStandard!$D$7,RpmDesignStandard!$D$8))))</f>
        <v>3</v>
      </c>
      <c r="V47" s="47">
        <f>U47*RpmDesignStandard!$H$1</f>
        <v>6</v>
      </c>
      <c r="W47" s="37" t="str">
        <f>VLOOKUP(A47,RPM_ProjectRecord!A:AB,8,FALSE)</f>
        <v/>
      </c>
      <c r="X47" s="38" t="str">
        <f t="shared" si="0"/>
        <v/>
      </c>
      <c r="Y47" s="38" t="str">
        <f t="shared" si="1"/>
        <v/>
      </c>
      <c r="Z47" s="38" t="str">
        <f t="shared" si="2"/>
        <v/>
      </c>
      <c r="AA47" s="38" t="str">
        <f t="shared" si="3"/>
        <v/>
      </c>
      <c r="AB47" s="38" t="str">
        <f t="shared" si="4"/>
        <v/>
      </c>
      <c r="AC47" s="38" t="str">
        <f>IF(VLOOKUP(A47,'3rdPhaseChipSeal'!A:L,12,FALSE)="","",VLOOKUP(A47,'3rdPhaseChipSeal'!A:L,12,FALSE))</f>
        <v/>
      </c>
      <c r="AD47" s="38" t="str">
        <f>IFERROR(IF(VLOOKUP(A47,RpmContracts!A:C,3,FALSE)="","",VLOOKUP(A47,RpmContracts!A:C,3,FALSE)),"")</f>
        <v/>
      </c>
      <c r="AE47" s="7" t="str">
        <f>IF(VLOOKUP(A47,'20yPlan'!A:B,2,FALSE)="","",VLOOKUP(A47,'20yPlan'!A:B,2,FALSE))</f>
        <v/>
      </c>
      <c r="AF47" s="7" t="str">
        <f>IF(VLOOKUP(A47,'20yPlan'!A:C,3,FALSE)="","",VLOOKUP(A47,'20yPlan'!A:C,3,FALSE))</f>
        <v/>
      </c>
      <c r="AG47" s="7" t="str">
        <f>IF(VLOOKUP(A47,'20yPlan'!A:D,4,FALSE)="","",VLOOKUP(A47,'20yPlan'!A:D,4,FALSE))</f>
        <v/>
      </c>
      <c r="AH47" s="7" t="str">
        <f>IF(VLOOKUP(A47,'20yPlan'!A:E,5,FALSE)="","",VLOOKUP(A47,'20yPlan'!A:E,5,FALSE))</f>
        <v/>
      </c>
      <c r="AI47" s="7" t="str">
        <f>IF(VLOOKUP(A47,'20yPlan'!A:F,6,FALSE)="","",VLOOKUP(A47,'20yPlan'!A:F,6,FALSE))</f>
        <v/>
      </c>
      <c r="AJ47" s="7" t="str">
        <f t="shared" si="5"/>
        <v/>
      </c>
      <c r="AK47" s="7" t="str">
        <f t="shared" si="6"/>
        <v/>
      </c>
      <c r="AL47" s="39">
        <f t="shared" ca="1" si="7"/>
        <v>2025</v>
      </c>
      <c r="AM47" s="7" t="str">
        <f t="shared" si="8"/>
        <v/>
      </c>
      <c r="AN47" s="7" t="str">
        <f t="shared" si="9"/>
        <v/>
      </c>
    </row>
    <row r="48" spans="1:40">
      <c r="A48" s="6">
        <v>60047</v>
      </c>
      <c r="B48" s="6" t="s">
        <v>206</v>
      </c>
      <c r="C48" s="6" t="s">
        <v>222</v>
      </c>
      <c r="D48" s="6">
        <v>33.529048000000003</v>
      </c>
      <c r="E48" s="6">
        <v>35.905456000000001</v>
      </c>
      <c r="F48" s="6" t="s">
        <v>221</v>
      </c>
      <c r="G48" s="6" t="s">
        <v>223</v>
      </c>
      <c r="H48" s="35">
        <v>94355</v>
      </c>
      <c r="I48" s="6" t="s">
        <v>141</v>
      </c>
      <c r="J48" s="6">
        <v>7</v>
      </c>
      <c r="K48" s="6">
        <v>2029</v>
      </c>
      <c r="L48" s="6">
        <v>2</v>
      </c>
      <c r="M48" s="6" t="s">
        <v>111</v>
      </c>
      <c r="N48" s="6" t="s">
        <v>46</v>
      </c>
      <c r="O48" s="6" t="s">
        <v>47</v>
      </c>
      <c r="P48" s="6" t="s">
        <v>224</v>
      </c>
      <c r="Q48" s="6" t="s">
        <v>217</v>
      </c>
      <c r="R48" s="35">
        <v>14892</v>
      </c>
      <c r="S48" s="35">
        <v>1236</v>
      </c>
      <c r="T48" s="36" t="s">
        <v>50</v>
      </c>
      <c r="U48" s="46">
        <f>IF($L48&lt;=2,
IF($R48&lt;=RpmDesignStandard!$C$2,RpmDesignStandard!$D$2,
IF(AND($R48&gt;RpmDesignStandard!$B$3,$R48&lt;=RpmDesignStandard!$C$3),RpmDesignStandard!$D$3,RpmDesignStandard!$D$4)),
IF($R48&lt;=RpmDesignStandard!$C$5, RpmDesignStandard!$D$5,
IF(AND($R48&gt;RpmDesignStandard!$B$6,$R48&lt;=RpmDesignStandard!$C$6),RpmDesignStandard!$D$6,
IF(AND($R48&gt;RpmDesignStandard!$B$7,$R48&lt;=RpmDesignStandard!$C$7),RpmDesignStandard!$D$7,RpmDesignStandard!$D$8))))</f>
        <v>3</v>
      </c>
      <c r="V48" s="47">
        <f>U48*RpmDesignStandard!$H$1</f>
        <v>6</v>
      </c>
      <c r="W48" s="37">
        <f>VLOOKUP(A48,RPM_ProjectRecord!A:AB,8,FALSE)</f>
        <v>2021</v>
      </c>
      <c r="X48" s="38" t="str">
        <f t="shared" si="0"/>
        <v/>
      </c>
      <c r="Y48" s="38" t="str">
        <f t="shared" si="1"/>
        <v/>
      </c>
      <c r="Z48" s="38" t="str">
        <f t="shared" si="2"/>
        <v/>
      </c>
      <c r="AA48" s="38" t="str">
        <f t="shared" si="3"/>
        <v/>
      </c>
      <c r="AB48" s="38" t="str">
        <f t="shared" si="4"/>
        <v/>
      </c>
      <c r="AC48" s="38" t="str">
        <f>IF(VLOOKUP(A48,'3rdPhaseChipSeal'!A:L,12,FALSE)="","",VLOOKUP(A48,'3rdPhaseChipSeal'!A:L,12,FALSE))</f>
        <v/>
      </c>
      <c r="AD48" s="38" t="str">
        <f>IFERROR(IF(VLOOKUP(A48,RpmContracts!A:C,3,FALSE)="","",VLOOKUP(A48,RpmContracts!A:C,3,FALSE)),"")</f>
        <v/>
      </c>
      <c r="AE48" s="7" t="str">
        <f>IF(VLOOKUP(A48,'20yPlan'!A:B,2,FALSE)="","",VLOOKUP(A48,'20yPlan'!A:B,2,FALSE))</f>
        <v/>
      </c>
      <c r="AF48" s="7" t="str">
        <f>IF(VLOOKUP(A48,'20yPlan'!A:C,3,FALSE)="","",VLOOKUP(A48,'20yPlan'!A:C,3,FALSE))</f>
        <v/>
      </c>
      <c r="AG48" s="7" t="str">
        <f>IF(VLOOKUP(A48,'20yPlan'!A:D,4,FALSE)="","",VLOOKUP(A48,'20yPlan'!A:D,4,FALSE))</f>
        <v/>
      </c>
      <c r="AH48" s="7" t="str">
        <f>IF(VLOOKUP(A48,'20yPlan'!A:E,5,FALSE)="","",VLOOKUP(A48,'20yPlan'!A:E,5,FALSE))</f>
        <v/>
      </c>
      <c r="AI48" s="7" t="str">
        <f>IF(VLOOKUP(A48,'20yPlan'!A:F,6,FALSE)="","",VLOOKUP(A48,'20yPlan'!A:F,6,FALSE))</f>
        <v/>
      </c>
      <c r="AJ48" s="7" t="str">
        <f t="shared" si="5"/>
        <v/>
      </c>
      <c r="AK48" s="7" t="str">
        <f t="shared" si="6"/>
        <v/>
      </c>
      <c r="AL48" s="39">
        <f t="shared" ca="1" si="7"/>
        <v>2024</v>
      </c>
      <c r="AM48" s="7" t="str">
        <f t="shared" si="8"/>
        <v/>
      </c>
      <c r="AN48" s="7" t="str">
        <f t="shared" si="9"/>
        <v/>
      </c>
    </row>
    <row r="49" spans="1:40">
      <c r="A49" s="6">
        <v>60048</v>
      </c>
      <c r="B49" s="6" t="s">
        <v>206</v>
      </c>
      <c r="C49" s="6" t="s">
        <v>225</v>
      </c>
      <c r="D49" s="6">
        <v>35.905456000000001</v>
      </c>
      <c r="E49" s="6">
        <v>39.579078000000003</v>
      </c>
      <c r="F49" s="6" t="s">
        <v>223</v>
      </c>
      <c r="G49" s="6" t="s">
        <v>226</v>
      </c>
      <c r="H49" s="35">
        <v>79077</v>
      </c>
      <c r="I49" s="6" t="s">
        <v>141</v>
      </c>
      <c r="J49" s="6">
        <v>2</v>
      </c>
      <c r="K49" s="6"/>
      <c r="L49" s="6">
        <v>2</v>
      </c>
      <c r="M49" s="6" t="s">
        <v>45</v>
      </c>
      <c r="N49" s="6" t="s">
        <v>46</v>
      </c>
      <c r="O49" s="6" t="s">
        <v>47</v>
      </c>
      <c r="P49" s="6" t="s">
        <v>224</v>
      </c>
      <c r="Q49" s="6" t="s">
        <v>217</v>
      </c>
      <c r="R49" s="35">
        <v>16747</v>
      </c>
      <c r="S49" s="35">
        <v>1008</v>
      </c>
      <c r="T49" s="36" t="s">
        <v>50</v>
      </c>
      <c r="U49" s="46">
        <f>IF($L49&lt;=2,
IF($R49&lt;=RpmDesignStandard!$C$2,RpmDesignStandard!$D$2,
IF(AND($R49&gt;RpmDesignStandard!$B$3,$R49&lt;=RpmDesignStandard!$C$3),RpmDesignStandard!$D$3,RpmDesignStandard!$D$4)),
IF($R49&lt;=RpmDesignStandard!$C$5, RpmDesignStandard!$D$5,
IF(AND($R49&gt;RpmDesignStandard!$B$6,$R49&lt;=RpmDesignStandard!$C$6),RpmDesignStandard!$D$6,
IF(AND($R49&gt;RpmDesignStandard!$B$7,$R49&lt;=RpmDesignStandard!$C$7),RpmDesignStandard!$D$7,RpmDesignStandard!$D$8))))</f>
        <v>3</v>
      </c>
      <c r="V49" s="47">
        <f>U49*RpmDesignStandard!$H$1</f>
        <v>6</v>
      </c>
      <c r="W49" s="37">
        <f>VLOOKUP(A49,RPM_ProjectRecord!A:AB,8,FALSE)</f>
        <v>2021</v>
      </c>
      <c r="X49" s="38">
        <f t="shared" si="0"/>
        <v>2040</v>
      </c>
      <c r="Y49" s="38" t="str">
        <f t="shared" si="1"/>
        <v/>
      </c>
      <c r="Z49" s="38" t="str">
        <f t="shared" si="2"/>
        <v/>
      </c>
      <c r="AA49" s="38" t="str">
        <f t="shared" si="3"/>
        <v/>
      </c>
      <c r="AB49" s="38" t="str">
        <f t="shared" si="4"/>
        <v/>
      </c>
      <c r="AC49" s="38" t="str">
        <f>IF(VLOOKUP(A49,'3rdPhaseChipSeal'!A:L,12,FALSE)="","",VLOOKUP(A49,'3rdPhaseChipSeal'!A:L,12,FALSE))</f>
        <v/>
      </c>
      <c r="AD49" s="38" t="str">
        <f>IFERROR(IF(VLOOKUP(A49,RpmContracts!A:C,3,FALSE)="","",VLOOKUP(A49,RpmContracts!A:C,3,FALSE)),"")</f>
        <v/>
      </c>
      <c r="AE49" s="7" t="str">
        <f>IF(VLOOKUP(A49,'20yPlan'!A:B,2,FALSE)="","",VLOOKUP(A49,'20yPlan'!A:B,2,FALSE))</f>
        <v>2040 Preventive Maintenance</v>
      </c>
      <c r="AF49" s="7" t="str">
        <f>IF(VLOOKUP(A49,'20yPlan'!A:C,3,FALSE)="","",VLOOKUP(A49,'20yPlan'!A:C,3,FALSE))</f>
        <v/>
      </c>
      <c r="AG49" s="7" t="str">
        <f>IF(VLOOKUP(A49,'20yPlan'!A:D,4,FALSE)="","",VLOOKUP(A49,'20yPlan'!A:D,4,FALSE))</f>
        <v/>
      </c>
      <c r="AH49" s="7" t="str">
        <f>IF(VLOOKUP(A49,'20yPlan'!A:E,5,FALSE)="","",VLOOKUP(A49,'20yPlan'!A:E,5,FALSE))</f>
        <v/>
      </c>
      <c r="AI49" s="7" t="str">
        <f>IF(VLOOKUP(A49,'20yPlan'!A:F,6,FALSE)="","",VLOOKUP(A49,'20yPlan'!A:F,6,FALSE))</f>
        <v/>
      </c>
      <c r="AJ49" s="7" t="str">
        <f t="shared" si="5"/>
        <v/>
      </c>
      <c r="AK49" s="7" t="str">
        <f t="shared" si="6"/>
        <v/>
      </c>
      <c r="AL49" s="39">
        <f t="shared" ca="1" si="7"/>
        <v>2024</v>
      </c>
      <c r="AM49" s="7" t="str">
        <f t="shared" si="8"/>
        <v/>
      </c>
      <c r="AN49" s="7" t="str">
        <f t="shared" si="9"/>
        <v/>
      </c>
    </row>
    <row r="50" spans="1:40">
      <c r="A50" s="6">
        <v>60049</v>
      </c>
      <c r="B50" s="6" t="s">
        <v>206</v>
      </c>
      <c r="C50" s="6" t="s">
        <v>227</v>
      </c>
      <c r="D50" s="6">
        <v>39.579078000000003</v>
      </c>
      <c r="E50" s="6">
        <v>44.165455999999999</v>
      </c>
      <c r="F50" s="6" t="s">
        <v>226</v>
      </c>
      <c r="G50" s="6" t="s">
        <v>228</v>
      </c>
      <c r="H50" s="35">
        <v>92571</v>
      </c>
      <c r="I50" s="6" t="s">
        <v>44</v>
      </c>
      <c r="J50" s="6">
        <v>4</v>
      </c>
      <c r="K50" s="6"/>
      <c r="L50" s="6">
        <v>2</v>
      </c>
      <c r="M50" s="6" t="s">
        <v>45</v>
      </c>
      <c r="N50" s="6" t="s">
        <v>46</v>
      </c>
      <c r="O50" s="6" t="s">
        <v>47</v>
      </c>
      <c r="P50" s="6" t="s">
        <v>224</v>
      </c>
      <c r="Q50" s="6" t="s">
        <v>229</v>
      </c>
      <c r="R50" s="35">
        <v>6797</v>
      </c>
      <c r="S50" s="6">
        <v>810</v>
      </c>
      <c r="T50" s="36" t="s">
        <v>50</v>
      </c>
      <c r="U50" s="46">
        <f>IF($L50&lt;=2,
IF($R50&lt;=RpmDesignStandard!$C$2,RpmDesignStandard!$D$2,
IF(AND($R50&gt;RpmDesignStandard!$B$3,$R50&lt;=RpmDesignStandard!$C$3),RpmDesignStandard!$D$3,RpmDesignStandard!$D$4)),
IF($R50&lt;=RpmDesignStandard!$C$5, RpmDesignStandard!$D$5,
IF(AND($R50&gt;RpmDesignStandard!$B$6,$R50&lt;=RpmDesignStandard!$C$6),RpmDesignStandard!$D$6,
IF(AND($R50&gt;RpmDesignStandard!$B$7,$R50&lt;=RpmDesignStandard!$C$7),RpmDesignStandard!$D$7,RpmDesignStandard!$D$8))))</f>
        <v>3</v>
      </c>
      <c r="V50" s="47">
        <f>U50*RpmDesignStandard!$H$1</f>
        <v>6</v>
      </c>
      <c r="W50" s="37">
        <f>VLOOKUP(A50,RPM_ProjectRecord!A:AB,8,FALSE)</f>
        <v>2025</v>
      </c>
      <c r="X50" s="38" t="str">
        <f t="shared" si="0"/>
        <v/>
      </c>
      <c r="Y50" s="38" t="str">
        <f t="shared" si="1"/>
        <v/>
      </c>
      <c r="Z50" s="38" t="str">
        <f t="shared" si="2"/>
        <v/>
      </c>
      <c r="AA50" s="38" t="str">
        <f t="shared" si="3"/>
        <v/>
      </c>
      <c r="AB50" s="38" t="str">
        <f t="shared" si="4"/>
        <v/>
      </c>
      <c r="AC50" s="38" t="str">
        <f>IF(VLOOKUP(A50,'3rdPhaseChipSeal'!A:L,12,FALSE)="","",VLOOKUP(A50,'3rdPhaseChipSeal'!A:L,12,FALSE))</f>
        <v/>
      </c>
      <c r="AD50" s="38" t="str">
        <f>IFERROR(IF(VLOOKUP(A50,RpmContracts!A:C,3,FALSE)="","",VLOOKUP(A50,RpmContracts!A:C,3,FALSE)),"")</f>
        <v/>
      </c>
      <c r="AE50" s="7" t="str">
        <f>IF(VLOOKUP(A50,'20yPlan'!A:B,2,FALSE)="","",VLOOKUP(A50,'20yPlan'!A:B,2,FALSE))</f>
        <v/>
      </c>
      <c r="AF50" s="7" t="str">
        <f>IF(VLOOKUP(A50,'20yPlan'!A:C,3,FALSE)="","",VLOOKUP(A50,'20yPlan'!A:C,3,FALSE))</f>
        <v/>
      </c>
      <c r="AG50" s="7" t="str">
        <f>IF(VLOOKUP(A50,'20yPlan'!A:D,4,FALSE)="","",VLOOKUP(A50,'20yPlan'!A:D,4,FALSE))</f>
        <v/>
      </c>
      <c r="AH50" s="7" t="str">
        <f>IF(VLOOKUP(A50,'20yPlan'!A:E,5,FALSE)="","",VLOOKUP(A50,'20yPlan'!A:E,5,FALSE))</f>
        <v/>
      </c>
      <c r="AI50" s="7" t="str">
        <f>IF(VLOOKUP(A50,'20yPlan'!A:F,6,FALSE)="","",VLOOKUP(A50,'20yPlan'!A:F,6,FALSE))</f>
        <v/>
      </c>
      <c r="AJ50" s="7" t="str">
        <f t="shared" si="5"/>
        <v/>
      </c>
      <c r="AK50" s="7" t="str">
        <f t="shared" si="6"/>
        <v/>
      </c>
      <c r="AL50" s="39">
        <f t="shared" ca="1" si="7"/>
        <v>2028</v>
      </c>
      <c r="AM50" s="7" t="str">
        <f t="shared" si="8"/>
        <v/>
      </c>
      <c r="AN50" s="7" t="str">
        <f t="shared" si="9"/>
        <v/>
      </c>
    </row>
    <row r="51" spans="1:40">
      <c r="A51" s="6">
        <v>60050</v>
      </c>
      <c r="B51" s="6" t="s">
        <v>206</v>
      </c>
      <c r="C51" s="6" t="s">
        <v>230</v>
      </c>
      <c r="D51" s="6">
        <v>44.165455999999999</v>
      </c>
      <c r="E51" s="6">
        <v>56.409757999999997</v>
      </c>
      <c r="F51" s="6" t="s">
        <v>228</v>
      </c>
      <c r="G51" s="6" t="s">
        <v>231</v>
      </c>
      <c r="H51" s="35">
        <v>233826</v>
      </c>
      <c r="I51" s="6" t="s">
        <v>44</v>
      </c>
      <c r="J51" s="6">
        <v>4</v>
      </c>
      <c r="K51" s="6"/>
      <c r="L51" s="6">
        <v>2</v>
      </c>
      <c r="M51" s="6" t="s">
        <v>45</v>
      </c>
      <c r="N51" s="6" t="s">
        <v>46</v>
      </c>
      <c r="O51" s="6" t="s">
        <v>47</v>
      </c>
      <c r="P51" s="6" t="s">
        <v>224</v>
      </c>
      <c r="Q51" s="6" t="s">
        <v>232</v>
      </c>
      <c r="R51" s="35">
        <v>6450</v>
      </c>
      <c r="S51" s="6">
        <v>844</v>
      </c>
      <c r="T51" s="36" t="s">
        <v>50</v>
      </c>
      <c r="U51" s="46">
        <f>IF($L51&lt;=2,
IF($R51&lt;=RpmDesignStandard!$C$2,RpmDesignStandard!$D$2,
IF(AND($R51&gt;RpmDesignStandard!$B$3,$R51&lt;=RpmDesignStandard!$C$3),RpmDesignStandard!$D$3,RpmDesignStandard!$D$4)),
IF($R51&lt;=RpmDesignStandard!$C$5, RpmDesignStandard!$D$5,
IF(AND($R51&gt;RpmDesignStandard!$B$6,$R51&lt;=RpmDesignStandard!$C$6),RpmDesignStandard!$D$6,
IF(AND($R51&gt;RpmDesignStandard!$B$7,$R51&lt;=RpmDesignStandard!$C$7),RpmDesignStandard!$D$7,RpmDesignStandard!$D$8))))</f>
        <v>3</v>
      </c>
      <c r="V51" s="47">
        <f>U51*RpmDesignStandard!$H$1</f>
        <v>6</v>
      </c>
      <c r="W51" s="37" t="str">
        <f>VLOOKUP(A51,RPM_ProjectRecord!A:AB,8,FALSE)</f>
        <v/>
      </c>
      <c r="X51" s="38" t="str">
        <f t="shared" si="0"/>
        <v/>
      </c>
      <c r="Y51" s="38" t="str">
        <f t="shared" si="1"/>
        <v/>
      </c>
      <c r="Z51" s="38" t="str">
        <f t="shared" si="2"/>
        <v/>
      </c>
      <c r="AA51" s="38" t="str">
        <f t="shared" si="3"/>
        <v/>
      </c>
      <c r="AB51" s="38" t="str">
        <f t="shared" si="4"/>
        <v/>
      </c>
      <c r="AC51" s="38" t="str">
        <f>IF(VLOOKUP(A51,'3rdPhaseChipSeal'!A:L,12,FALSE)="","",VLOOKUP(A51,'3rdPhaseChipSeal'!A:L,12,FALSE))</f>
        <v/>
      </c>
      <c r="AD51" s="38" t="str">
        <f>IFERROR(IF(VLOOKUP(A51,RpmContracts!A:C,3,FALSE)="","",VLOOKUP(A51,RpmContracts!A:C,3,FALSE)),"")</f>
        <v/>
      </c>
      <c r="AE51" s="7" t="str">
        <f>IF(VLOOKUP(A51,'20yPlan'!A:B,2,FALSE)="","",VLOOKUP(A51,'20yPlan'!A:B,2,FALSE))</f>
        <v/>
      </c>
      <c r="AF51" s="7" t="str">
        <f>IF(VLOOKUP(A51,'20yPlan'!A:C,3,FALSE)="","",VLOOKUP(A51,'20yPlan'!A:C,3,FALSE))</f>
        <v/>
      </c>
      <c r="AG51" s="7" t="str">
        <f>IF(VLOOKUP(A51,'20yPlan'!A:D,4,FALSE)="","",VLOOKUP(A51,'20yPlan'!A:D,4,FALSE))</f>
        <v/>
      </c>
      <c r="AH51" s="7" t="str">
        <f>IF(VLOOKUP(A51,'20yPlan'!A:E,5,FALSE)="","",VLOOKUP(A51,'20yPlan'!A:E,5,FALSE))</f>
        <v/>
      </c>
      <c r="AI51" s="7" t="str">
        <f>IF(VLOOKUP(A51,'20yPlan'!A:F,6,FALSE)="","",VLOOKUP(A51,'20yPlan'!A:F,6,FALSE))</f>
        <v/>
      </c>
      <c r="AJ51" s="7" t="str">
        <f t="shared" si="5"/>
        <v/>
      </c>
      <c r="AK51" s="7" t="str">
        <f t="shared" si="6"/>
        <v/>
      </c>
      <c r="AL51" s="39">
        <f t="shared" ca="1" si="7"/>
        <v>2025</v>
      </c>
      <c r="AM51" s="7" t="str">
        <f t="shared" si="8"/>
        <v/>
      </c>
      <c r="AN51" s="7" t="str">
        <f t="shared" si="9"/>
        <v/>
      </c>
    </row>
    <row r="52" spans="1:40">
      <c r="A52" s="6">
        <v>60051</v>
      </c>
      <c r="B52" s="6" t="s">
        <v>206</v>
      </c>
      <c r="C52" s="6" t="s">
        <v>233</v>
      </c>
      <c r="D52" s="6">
        <v>57.371102</v>
      </c>
      <c r="E52" s="6">
        <v>73.229039</v>
      </c>
      <c r="F52" s="6" t="s">
        <v>234</v>
      </c>
      <c r="G52" s="6" t="s">
        <v>235</v>
      </c>
      <c r="H52" s="35">
        <v>296365</v>
      </c>
      <c r="I52" s="6" t="s">
        <v>44</v>
      </c>
      <c r="J52" s="6">
        <v>10</v>
      </c>
      <c r="K52" s="6">
        <v>2026</v>
      </c>
      <c r="L52" s="6">
        <v>2</v>
      </c>
      <c r="M52" s="6" t="s">
        <v>45</v>
      </c>
      <c r="N52" s="6" t="s">
        <v>46</v>
      </c>
      <c r="O52" s="6" t="s">
        <v>165</v>
      </c>
      <c r="P52" s="6" t="s">
        <v>236</v>
      </c>
      <c r="Q52" s="6" t="s">
        <v>237</v>
      </c>
      <c r="R52" s="35">
        <v>5706</v>
      </c>
      <c r="S52" s="6">
        <v>703</v>
      </c>
      <c r="T52" s="36" t="s">
        <v>50</v>
      </c>
      <c r="U52" s="46">
        <f>IF($L52&lt;=2,
IF($R52&lt;=RpmDesignStandard!$C$2,RpmDesignStandard!$D$2,
IF(AND($R52&gt;RpmDesignStandard!$B$3,$R52&lt;=RpmDesignStandard!$C$3),RpmDesignStandard!$D$3,RpmDesignStandard!$D$4)),
IF($R52&lt;=RpmDesignStandard!$C$5, RpmDesignStandard!$D$5,
IF(AND($R52&gt;RpmDesignStandard!$B$6,$R52&lt;=RpmDesignStandard!$C$6),RpmDesignStandard!$D$6,
IF(AND($R52&gt;RpmDesignStandard!$B$7,$R52&lt;=RpmDesignStandard!$C$7),RpmDesignStandard!$D$7,RpmDesignStandard!$D$8))))</f>
        <v>4</v>
      </c>
      <c r="V52" s="47">
        <f>U52*RpmDesignStandard!$H$1</f>
        <v>8</v>
      </c>
      <c r="W52" s="37" t="str">
        <f>VLOOKUP(A52,RPM_ProjectRecord!A:AB,8,FALSE)</f>
        <v/>
      </c>
      <c r="X52" s="38" t="str">
        <f t="shared" si="0"/>
        <v/>
      </c>
      <c r="Y52" s="38" t="str">
        <f t="shared" si="1"/>
        <v/>
      </c>
      <c r="Z52" s="38" t="str">
        <f t="shared" si="2"/>
        <v/>
      </c>
      <c r="AA52" s="38" t="str">
        <f t="shared" si="3"/>
        <v/>
      </c>
      <c r="AB52" s="38" t="str">
        <f t="shared" si="4"/>
        <v/>
      </c>
      <c r="AC52" s="38" t="str">
        <f>IF(VLOOKUP(A52,'3rdPhaseChipSeal'!A:L,12,FALSE)="","",VLOOKUP(A52,'3rdPhaseChipSeal'!A:L,12,FALSE))</f>
        <v/>
      </c>
      <c r="AD52" s="38" t="str">
        <f>IFERROR(IF(VLOOKUP(A52,RpmContracts!A:C,3,FALSE)="","",VLOOKUP(A52,RpmContracts!A:C,3,FALSE)),"")</f>
        <v/>
      </c>
      <c r="AE52" s="7" t="str">
        <f>IF(VLOOKUP(A52,'20yPlan'!A:B,2,FALSE)="","",VLOOKUP(A52,'20yPlan'!A:B,2,FALSE))</f>
        <v/>
      </c>
      <c r="AF52" s="7" t="str">
        <f>IF(VLOOKUP(A52,'20yPlan'!A:C,3,FALSE)="","",VLOOKUP(A52,'20yPlan'!A:C,3,FALSE))</f>
        <v/>
      </c>
      <c r="AG52" s="7" t="str">
        <f>IF(VLOOKUP(A52,'20yPlan'!A:D,4,FALSE)="","",VLOOKUP(A52,'20yPlan'!A:D,4,FALSE))</f>
        <v/>
      </c>
      <c r="AH52" s="7" t="str">
        <f>IF(VLOOKUP(A52,'20yPlan'!A:E,5,FALSE)="","",VLOOKUP(A52,'20yPlan'!A:E,5,FALSE))</f>
        <v/>
      </c>
      <c r="AI52" s="7" t="str">
        <f>IF(VLOOKUP(A52,'20yPlan'!A:F,6,FALSE)="","",VLOOKUP(A52,'20yPlan'!A:F,6,FALSE))</f>
        <v/>
      </c>
      <c r="AJ52" s="7" t="str">
        <f t="shared" si="5"/>
        <v/>
      </c>
      <c r="AK52" s="7" t="str">
        <f t="shared" si="6"/>
        <v/>
      </c>
      <c r="AL52" s="39">
        <f t="shared" ca="1" si="7"/>
        <v>2025</v>
      </c>
      <c r="AM52" s="7" t="str">
        <f t="shared" si="8"/>
        <v/>
      </c>
      <c r="AN52" s="7" t="str">
        <f t="shared" si="9"/>
        <v/>
      </c>
    </row>
    <row r="53" spans="1:40">
      <c r="A53" s="6">
        <v>60052</v>
      </c>
      <c r="B53" s="6" t="s">
        <v>206</v>
      </c>
      <c r="C53" s="6" t="s">
        <v>238</v>
      </c>
      <c r="D53" s="6">
        <v>73.229039</v>
      </c>
      <c r="E53" s="6">
        <v>79.999999000000003</v>
      </c>
      <c r="F53" s="6" t="s">
        <v>235</v>
      </c>
      <c r="G53" s="6" t="s">
        <v>239</v>
      </c>
      <c r="H53" s="35">
        <v>124923</v>
      </c>
      <c r="I53" s="6" t="s">
        <v>195</v>
      </c>
      <c r="J53" s="6">
        <v>19</v>
      </c>
      <c r="K53" s="6">
        <v>2026</v>
      </c>
      <c r="L53" s="6">
        <v>2</v>
      </c>
      <c r="M53" s="6" t="s">
        <v>45</v>
      </c>
      <c r="N53" s="6" t="s">
        <v>46</v>
      </c>
      <c r="O53" s="6" t="s">
        <v>165</v>
      </c>
      <c r="P53" s="6" t="s">
        <v>236</v>
      </c>
      <c r="Q53" s="6" t="s">
        <v>240</v>
      </c>
      <c r="R53" s="35">
        <v>4760</v>
      </c>
      <c r="S53" s="6">
        <v>635</v>
      </c>
      <c r="T53" s="36" t="s">
        <v>50</v>
      </c>
      <c r="U53" s="46">
        <f>IF($L53&lt;=2,
IF($R53&lt;=RpmDesignStandard!$C$2,RpmDesignStandard!$D$2,
IF(AND($R53&gt;RpmDesignStandard!$B$3,$R53&lt;=RpmDesignStandard!$C$3),RpmDesignStandard!$D$3,RpmDesignStandard!$D$4)),
IF($R53&lt;=RpmDesignStandard!$C$5, RpmDesignStandard!$D$5,
IF(AND($R53&gt;RpmDesignStandard!$B$6,$R53&lt;=RpmDesignStandard!$C$6),RpmDesignStandard!$D$6,
IF(AND($R53&gt;RpmDesignStandard!$B$7,$R53&lt;=RpmDesignStandard!$C$7),RpmDesignStandard!$D$7,RpmDesignStandard!$D$8))))</f>
        <v>4</v>
      </c>
      <c r="V53" s="47">
        <f>U53*RpmDesignStandard!$H$1</f>
        <v>8</v>
      </c>
      <c r="W53" s="37" t="str">
        <f>VLOOKUP(A53,RPM_ProjectRecord!A:AB,8,FALSE)</f>
        <v/>
      </c>
      <c r="X53" s="38" t="str">
        <f t="shared" si="0"/>
        <v/>
      </c>
      <c r="Y53" s="38" t="str">
        <f t="shared" si="1"/>
        <v/>
      </c>
      <c r="Z53" s="38" t="str">
        <f t="shared" si="2"/>
        <v/>
      </c>
      <c r="AA53" s="38" t="str">
        <f t="shared" si="3"/>
        <v/>
      </c>
      <c r="AB53" s="38" t="str">
        <f t="shared" si="4"/>
        <v/>
      </c>
      <c r="AC53" s="38">
        <f>IF(VLOOKUP(A53,'3rdPhaseChipSeal'!A:L,12,FALSE)="","",VLOOKUP(A53,'3rdPhaseChipSeal'!A:L,12,FALSE))</f>
        <v>2039</v>
      </c>
      <c r="AD53" s="38" t="str">
        <f>IFERROR(IF(VLOOKUP(A53,RpmContracts!A:C,3,FALSE)="","",VLOOKUP(A53,RpmContracts!A:C,3,FALSE)),"")</f>
        <v/>
      </c>
      <c r="AE53" s="7" t="str">
        <f>IF(VLOOKUP(A53,'20yPlan'!A:B,2,FALSE)="","",VLOOKUP(A53,'20yPlan'!A:B,2,FALSE))</f>
        <v/>
      </c>
      <c r="AF53" s="7" t="str">
        <f>IF(VLOOKUP(A53,'20yPlan'!A:C,3,FALSE)="","",VLOOKUP(A53,'20yPlan'!A:C,3,FALSE))</f>
        <v/>
      </c>
      <c r="AG53" s="7" t="str">
        <f>IF(VLOOKUP(A53,'20yPlan'!A:D,4,FALSE)="","",VLOOKUP(A53,'20yPlan'!A:D,4,FALSE))</f>
        <v/>
      </c>
      <c r="AH53" s="7" t="str">
        <f>IF(VLOOKUP(A53,'20yPlan'!A:E,5,FALSE)="","",VLOOKUP(A53,'20yPlan'!A:E,5,FALSE))</f>
        <v/>
      </c>
      <c r="AI53" s="7" t="str">
        <f>IF(VLOOKUP(A53,'20yPlan'!A:F,6,FALSE)="","",VLOOKUP(A53,'20yPlan'!A:F,6,FALSE))</f>
        <v/>
      </c>
      <c r="AJ53" s="7" t="str">
        <f t="shared" si="5"/>
        <v>2039 Chip Seal</v>
      </c>
      <c r="AK53" s="7" t="str">
        <f t="shared" si="6"/>
        <v/>
      </c>
      <c r="AL53" s="39">
        <f t="shared" ca="1" si="7"/>
        <v>2025</v>
      </c>
      <c r="AM53" s="7" t="str">
        <f t="shared" si="8"/>
        <v/>
      </c>
      <c r="AN53" s="7" t="str">
        <f t="shared" si="9"/>
        <v/>
      </c>
    </row>
    <row r="54" spans="1:40">
      <c r="A54" s="6">
        <v>60053</v>
      </c>
      <c r="B54" s="6" t="s">
        <v>206</v>
      </c>
      <c r="C54" s="6" t="s">
        <v>241</v>
      </c>
      <c r="D54" s="6">
        <v>81.793908999999999</v>
      </c>
      <c r="E54" s="6">
        <v>85.150661999999997</v>
      </c>
      <c r="F54" s="6" t="s">
        <v>242</v>
      </c>
      <c r="G54" s="6" t="s">
        <v>243</v>
      </c>
      <c r="H54" s="35">
        <v>68682</v>
      </c>
      <c r="I54" s="6" t="s">
        <v>44</v>
      </c>
      <c r="J54" s="6">
        <v>6</v>
      </c>
      <c r="K54" s="6">
        <v>2031</v>
      </c>
      <c r="L54" s="6">
        <v>2</v>
      </c>
      <c r="M54" s="6" t="s">
        <v>45</v>
      </c>
      <c r="N54" s="6" t="s">
        <v>46</v>
      </c>
      <c r="O54" s="6" t="s">
        <v>165</v>
      </c>
      <c r="P54" s="6" t="s">
        <v>236</v>
      </c>
      <c r="Q54" s="6" t="s">
        <v>240</v>
      </c>
      <c r="R54" s="35">
        <v>7959</v>
      </c>
      <c r="S54" s="35">
        <v>1063</v>
      </c>
      <c r="T54" s="36" t="s">
        <v>50</v>
      </c>
      <c r="U54" s="46">
        <f>IF($L54&lt;=2,
IF($R54&lt;=RpmDesignStandard!$C$2,RpmDesignStandard!$D$2,
IF(AND($R54&gt;RpmDesignStandard!$B$3,$R54&lt;=RpmDesignStandard!$C$3),RpmDesignStandard!$D$3,RpmDesignStandard!$D$4)),
IF($R54&lt;=RpmDesignStandard!$C$5, RpmDesignStandard!$D$5,
IF(AND($R54&gt;RpmDesignStandard!$B$6,$R54&lt;=RpmDesignStandard!$C$6),RpmDesignStandard!$D$6,
IF(AND($R54&gt;RpmDesignStandard!$B$7,$R54&lt;=RpmDesignStandard!$C$7),RpmDesignStandard!$D$7,RpmDesignStandard!$D$8))))</f>
        <v>3</v>
      </c>
      <c r="V54" s="47">
        <f>U54*RpmDesignStandard!$H$1</f>
        <v>6</v>
      </c>
      <c r="W54" s="37" t="str">
        <f>VLOOKUP(A54,RPM_ProjectRecord!A:AB,8,FALSE)</f>
        <v/>
      </c>
      <c r="X54" s="38">
        <f t="shared" si="0"/>
        <v>2031</v>
      </c>
      <c r="Y54" s="38" t="str">
        <f t="shared" si="1"/>
        <v/>
      </c>
      <c r="Z54" s="38" t="str">
        <f t="shared" si="2"/>
        <v/>
      </c>
      <c r="AA54" s="38" t="str">
        <f t="shared" si="3"/>
        <v/>
      </c>
      <c r="AB54" s="38" t="str">
        <f t="shared" si="4"/>
        <v/>
      </c>
      <c r="AC54" s="38" t="str">
        <f>IF(VLOOKUP(A54,'3rdPhaseChipSeal'!A:L,12,FALSE)="","",VLOOKUP(A54,'3rdPhaseChipSeal'!A:L,12,FALSE))</f>
        <v/>
      </c>
      <c r="AD54" s="38" t="str">
        <f>IFERROR(IF(VLOOKUP(A54,RpmContracts!A:C,3,FALSE)="","",VLOOKUP(A54,RpmContracts!A:C,3,FALSE)),"")</f>
        <v/>
      </c>
      <c r="AE54" s="7" t="str">
        <f>IF(VLOOKUP(A54,'20yPlan'!A:B,2,FALSE)="","",VLOOKUP(A54,'20yPlan'!A:B,2,FALSE))</f>
        <v>2031 Major Structural</v>
      </c>
      <c r="AF54" s="7" t="str">
        <f>IF(VLOOKUP(A54,'20yPlan'!A:C,3,FALSE)="","",VLOOKUP(A54,'20yPlan'!A:C,3,FALSE))</f>
        <v/>
      </c>
      <c r="AG54" s="7" t="str">
        <f>IF(VLOOKUP(A54,'20yPlan'!A:D,4,FALSE)="","",VLOOKUP(A54,'20yPlan'!A:D,4,FALSE))</f>
        <v/>
      </c>
      <c r="AH54" s="7" t="str">
        <f>IF(VLOOKUP(A54,'20yPlan'!A:E,5,FALSE)="","",VLOOKUP(A54,'20yPlan'!A:E,5,FALSE))</f>
        <v/>
      </c>
      <c r="AI54" s="7" t="str">
        <f>IF(VLOOKUP(A54,'20yPlan'!A:F,6,FALSE)="","",VLOOKUP(A54,'20yPlan'!A:F,6,FALSE))</f>
        <v/>
      </c>
      <c r="AJ54" s="7" t="str">
        <f t="shared" si="5"/>
        <v/>
      </c>
      <c r="AK54" s="7" t="str">
        <f t="shared" si="6"/>
        <v/>
      </c>
      <c r="AL54" s="39">
        <f t="shared" ca="1" si="7"/>
        <v>2025</v>
      </c>
      <c r="AM54" s="7" t="str">
        <f t="shared" si="8"/>
        <v/>
      </c>
      <c r="AN54" s="7" t="str">
        <f t="shared" si="9"/>
        <v/>
      </c>
    </row>
    <row r="55" spans="1:40">
      <c r="A55" s="6">
        <v>60054</v>
      </c>
      <c r="B55" s="6" t="s">
        <v>206</v>
      </c>
      <c r="C55" s="6" t="s">
        <v>244</v>
      </c>
      <c r="D55" s="6">
        <v>85.150661999999997</v>
      </c>
      <c r="E55" s="6">
        <v>88.442688000000004</v>
      </c>
      <c r="F55" s="6" t="s">
        <v>243</v>
      </c>
      <c r="G55" s="6" t="s">
        <v>245</v>
      </c>
      <c r="H55" s="35">
        <v>58777</v>
      </c>
      <c r="I55" s="6" t="s">
        <v>195</v>
      </c>
      <c r="J55" s="6">
        <v>4</v>
      </c>
      <c r="K55" s="6">
        <v>2027</v>
      </c>
      <c r="L55" s="6">
        <v>2</v>
      </c>
      <c r="M55" s="6" t="s">
        <v>45</v>
      </c>
      <c r="N55" s="6" t="s">
        <v>46</v>
      </c>
      <c r="O55" s="6" t="s">
        <v>165</v>
      </c>
      <c r="P55" s="6" t="s">
        <v>165</v>
      </c>
      <c r="Q55" s="6" t="s">
        <v>240</v>
      </c>
      <c r="R55" s="35">
        <v>2259</v>
      </c>
      <c r="S55" s="6">
        <v>302</v>
      </c>
      <c r="T55" s="36" t="s">
        <v>50</v>
      </c>
      <c r="U55" s="46">
        <f>IF($L55&lt;=2,
IF($R55&lt;=RpmDesignStandard!$C$2,RpmDesignStandard!$D$2,
IF(AND($R55&gt;RpmDesignStandard!$B$3,$R55&lt;=RpmDesignStandard!$C$3),RpmDesignStandard!$D$3,RpmDesignStandard!$D$4)),
IF($R55&lt;=RpmDesignStandard!$C$5, RpmDesignStandard!$D$5,
IF(AND($R55&gt;RpmDesignStandard!$B$6,$R55&lt;=RpmDesignStandard!$C$6),RpmDesignStandard!$D$6,
IF(AND($R55&gt;RpmDesignStandard!$B$7,$R55&lt;=RpmDesignStandard!$C$7),RpmDesignStandard!$D$7,RpmDesignStandard!$D$8))))</f>
        <v>4</v>
      </c>
      <c r="V55" s="47">
        <f>U55*RpmDesignStandard!$H$1</f>
        <v>8</v>
      </c>
      <c r="W55" s="37" t="str">
        <f>VLOOKUP(A55,RPM_ProjectRecord!A:AB,8,FALSE)</f>
        <v/>
      </c>
      <c r="X55" s="38" t="str">
        <f t="shared" si="0"/>
        <v/>
      </c>
      <c r="Y55" s="38" t="str">
        <f t="shared" si="1"/>
        <v/>
      </c>
      <c r="Z55" s="38" t="str">
        <f t="shared" si="2"/>
        <v/>
      </c>
      <c r="AA55" s="38" t="str">
        <f t="shared" si="3"/>
        <v/>
      </c>
      <c r="AB55" s="38" t="str">
        <f t="shared" si="4"/>
        <v/>
      </c>
      <c r="AC55" s="38">
        <f>IF(VLOOKUP(A55,'3rdPhaseChipSeal'!A:L,12,FALSE)="","",VLOOKUP(A55,'3rdPhaseChipSeal'!A:L,12,FALSE))</f>
        <v>2040</v>
      </c>
      <c r="AD55" s="38" t="str">
        <f>IFERROR(IF(VLOOKUP(A55,RpmContracts!A:C,3,FALSE)="","",VLOOKUP(A55,RpmContracts!A:C,3,FALSE)),"")</f>
        <v/>
      </c>
      <c r="AE55" s="7" t="str">
        <f>IF(VLOOKUP(A55,'20yPlan'!A:B,2,FALSE)="","",VLOOKUP(A55,'20yPlan'!A:B,2,FALSE))</f>
        <v/>
      </c>
      <c r="AF55" s="7" t="str">
        <f>IF(VLOOKUP(A55,'20yPlan'!A:C,3,FALSE)="","",VLOOKUP(A55,'20yPlan'!A:C,3,FALSE))</f>
        <v/>
      </c>
      <c r="AG55" s="7" t="str">
        <f>IF(VLOOKUP(A55,'20yPlan'!A:D,4,FALSE)="","",VLOOKUP(A55,'20yPlan'!A:D,4,FALSE))</f>
        <v/>
      </c>
      <c r="AH55" s="7" t="str">
        <f>IF(VLOOKUP(A55,'20yPlan'!A:E,5,FALSE)="","",VLOOKUP(A55,'20yPlan'!A:E,5,FALSE))</f>
        <v/>
      </c>
      <c r="AI55" s="7" t="str">
        <f>IF(VLOOKUP(A55,'20yPlan'!A:F,6,FALSE)="","",VLOOKUP(A55,'20yPlan'!A:F,6,FALSE))</f>
        <v/>
      </c>
      <c r="AJ55" s="7" t="str">
        <f t="shared" si="5"/>
        <v>2040 Chip Seal</v>
      </c>
      <c r="AK55" s="7" t="str">
        <f t="shared" si="6"/>
        <v/>
      </c>
      <c r="AL55" s="39">
        <f t="shared" ca="1" si="7"/>
        <v>2025</v>
      </c>
      <c r="AM55" s="7" t="str">
        <f t="shared" si="8"/>
        <v/>
      </c>
      <c r="AN55" s="7" t="str">
        <f t="shared" si="9"/>
        <v/>
      </c>
    </row>
    <row r="56" spans="1:40">
      <c r="A56" s="6">
        <v>60056</v>
      </c>
      <c r="B56" s="6" t="s">
        <v>246</v>
      </c>
      <c r="C56" s="6" t="s">
        <v>247</v>
      </c>
      <c r="D56" s="6">
        <v>14.854676</v>
      </c>
      <c r="E56" s="6">
        <v>28.379767999999999</v>
      </c>
      <c r="F56" s="6" t="s">
        <v>248</v>
      </c>
      <c r="G56" s="6" t="s">
        <v>249</v>
      </c>
      <c r="H56" s="35">
        <v>232962</v>
      </c>
      <c r="I56" s="6" t="s">
        <v>195</v>
      </c>
      <c r="J56" s="6">
        <v>5</v>
      </c>
      <c r="K56" s="6">
        <v>2027</v>
      </c>
      <c r="L56" s="6">
        <v>2</v>
      </c>
      <c r="M56" s="6" t="s">
        <v>45</v>
      </c>
      <c r="N56" s="6" t="s">
        <v>250</v>
      </c>
      <c r="O56" s="6" t="s">
        <v>196</v>
      </c>
      <c r="P56" s="6" t="s">
        <v>251</v>
      </c>
      <c r="Q56" s="6" t="s">
        <v>252</v>
      </c>
      <c r="R56" s="35">
        <v>1496</v>
      </c>
      <c r="S56" s="6">
        <v>214</v>
      </c>
      <c r="T56" s="36" t="s">
        <v>253</v>
      </c>
      <c r="U56" s="46">
        <f>IF($L56&lt;=2,
IF($R56&lt;=RpmDesignStandard!$C$2,RpmDesignStandard!$D$2,
IF(AND($R56&gt;RpmDesignStandard!$B$3,$R56&lt;=RpmDesignStandard!$C$3),RpmDesignStandard!$D$3,RpmDesignStandard!$D$4)),
IF($R56&lt;=RpmDesignStandard!$C$5, RpmDesignStandard!$D$5,
IF(AND($R56&gt;RpmDesignStandard!$B$6,$R56&lt;=RpmDesignStandard!$C$6),RpmDesignStandard!$D$6,
IF(AND($R56&gt;RpmDesignStandard!$B$7,$R56&lt;=RpmDesignStandard!$C$7),RpmDesignStandard!$D$7,RpmDesignStandard!$D$8))))</f>
        <v>4</v>
      </c>
      <c r="V56" s="47">
        <f>U56*RpmDesignStandard!$H$1</f>
        <v>8</v>
      </c>
      <c r="W56" s="37" t="str">
        <f>VLOOKUP(A56,RPM_ProjectRecord!A:AB,8,FALSE)</f>
        <v/>
      </c>
      <c r="X56" s="38" t="str">
        <f t="shared" si="0"/>
        <v/>
      </c>
      <c r="Y56" s="38" t="str">
        <f t="shared" si="1"/>
        <v/>
      </c>
      <c r="Z56" s="38" t="str">
        <f t="shared" si="2"/>
        <v/>
      </c>
      <c r="AA56" s="38" t="str">
        <f t="shared" si="3"/>
        <v/>
      </c>
      <c r="AB56" s="38" t="str">
        <f t="shared" si="4"/>
        <v/>
      </c>
      <c r="AC56" s="38">
        <f>IF(VLOOKUP(A56,'3rdPhaseChipSeal'!A:L,12,FALSE)="","",VLOOKUP(A56,'3rdPhaseChipSeal'!A:L,12,FALSE))</f>
        <v>2039</v>
      </c>
      <c r="AD56" s="38">
        <f>IFERROR(IF(VLOOKUP(A56,RpmContracts!A:C,3,FALSE)="","",VLOOKUP(A56,RpmContracts!A:C,3,FALSE)),"")</f>
        <v>2027</v>
      </c>
      <c r="AE56" s="7" t="str">
        <f>IF(VLOOKUP(A56,'20yPlan'!A:B,2,FALSE)="","",VLOOKUP(A56,'20yPlan'!A:B,2,FALSE))</f>
        <v/>
      </c>
      <c r="AF56" s="7" t="str">
        <f>IF(VLOOKUP(A56,'20yPlan'!A:C,3,FALSE)="","",VLOOKUP(A56,'20yPlan'!A:C,3,FALSE))</f>
        <v/>
      </c>
      <c r="AG56" s="7" t="str">
        <f>IF(VLOOKUP(A56,'20yPlan'!A:D,4,FALSE)="","",VLOOKUP(A56,'20yPlan'!A:D,4,FALSE))</f>
        <v/>
      </c>
      <c r="AH56" s="7" t="str">
        <f>IF(VLOOKUP(A56,'20yPlan'!A:E,5,FALSE)="","",VLOOKUP(A56,'20yPlan'!A:E,5,FALSE))</f>
        <v/>
      </c>
      <c r="AI56" s="7" t="str">
        <f>IF(VLOOKUP(A56,'20yPlan'!A:F,6,FALSE)="","",VLOOKUP(A56,'20yPlan'!A:F,6,FALSE))</f>
        <v/>
      </c>
      <c r="AJ56" s="7" t="str">
        <f t="shared" si="5"/>
        <v>2039 Chip Seal</v>
      </c>
      <c r="AK56" s="7" t="str">
        <f t="shared" si="6"/>
        <v>2027 RPM Replacement</v>
      </c>
      <c r="AL56" s="39">
        <f t="shared" ca="1" si="7"/>
        <v>2025</v>
      </c>
      <c r="AM56" s="7">
        <f t="shared" si="8"/>
        <v>2027</v>
      </c>
      <c r="AN56" s="7" t="str">
        <f t="shared" si="9"/>
        <v>2027 RPM Replacement</v>
      </c>
    </row>
    <row r="57" spans="1:40">
      <c r="A57" s="6">
        <v>60057</v>
      </c>
      <c r="B57" s="6" t="s">
        <v>246</v>
      </c>
      <c r="C57" s="6" t="s">
        <v>254</v>
      </c>
      <c r="D57" s="6">
        <v>28.379767999999999</v>
      </c>
      <c r="E57" s="6">
        <v>35.466650999999999</v>
      </c>
      <c r="F57" s="6" t="s">
        <v>249</v>
      </c>
      <c r="G57" s="6" t="s">
        <v>255</v>
      </c>
      <c r="H57" s="35">
        <v>156121</v>
      </c>
      <c r="I57" s="6" t="s">
        <v>195</v>
      </c>
      <c r="J57" s="6">
        <v>9</v>
      </c>
      <c r="K57" s="6">
        <v>2026</v>
      </c>
      <c r="L57" s="6">
        <v>2</v>
      </c>
      <c r="M57" s="6" t="s">
        <v>45</v>
      </c>
      <c r="N57" s="6" t="s">
        <v>250</v>
      </c>
      <c r="O57" s="6" t="s">
        <v>196</v>
      </c>
      <c r="P57" s="6" t="s">
        <v>251</v>
      </c>
      <c r="Q57" s="6" t="s">
        <v>256</v>
      </c>
      <c r="R57" s="35">
        <v>4796</v>
      </c>
      <c r="S57" s="6">
        <v>707</v>
      </c>
      <c r="T57" s="36" t="s">
        <v>50</v>
      </c>
      <c r="U57" s="46">
        <f>IF($L57&lt;=2,
IF($R57&lt;=RpmDesignStandard!$C$2,RpmDesignStandard!$D$2,
IF(AND($R57&gt;RpmDesignStandard!$B$3,$R57&lt;=RpmDesignStandard!$C$3),RpmDesignStandard!$D$3,RpmDesignStandard!$D$4)),
IF($R57&lt;=RpmDesignStandard!$C$5, RpmDesignStandard!$D$5,
IF(AND($R57&gt;RpmDesignStandard!$B$6,$R57&lt;=RpmDesignStandard!$C$6),RpmDesignStandard!$D$6,
IF(AND($R57&gt;RpmDesignStandard!$B$7,$R57&lt;=RpmDesignStandard!$C$7),RpmDesignStandard!$D$7,RpmDesignStandard!$D$8))))</f>
        <v>4</v>
      </c>
      <c r="V57" s="47">
        <f>U57*RpmDesignStandard!$H$1</f>
        <v>8</v>
      </c>
      <c r="W57" s="37" t="str">
        <f>VLOOKUP(A57,RPM_ProjectRecord!A:AB,8,FALSE)</f>
        <v/>
      </c>
      <c r="X57" s="38" t="str">
        <f t="shared" si="0"/>
        <v/>
      </c>
      <c r="Y57" s="38" t="str">
        <f t="shared" si="1"/>
        <v/>
      </c>
      <c r="Z57" s="38" t="str">
        <f t="shared" si="2"/>
        <v/>
      </c>
      <c r="AA57" s="38" t="str">
        <f t="shared" si="3"/>
        <v/>
      </c>
      <c r="AB57" s="38" t="str">
        <f t="shared" si="4"/>
        <v/>
      </c>
      <c r="AC57" s="38">
        <f>IF(VLOOKUP(A57,'3rdPhaseChipSeal'!A:L,12,FALSE)="","",VLOOKUP(A57,'3rdPhaseChipSeal'!A:L,12,FALSE))</f>
        <v>2040</v>
      </c>
      <c r="AD57" s="38">
        <f>IFERROR(IF(VLOOKUP(A57,RpmContracts!A:C,3,FALSE)="","",VLOOKUP(A57,RpmContracts!A:C,3,FALSE)),"")</f>
        <v>2027</v>
      </c>
      <c r="AE57" s="7" t="str">
        <f>IF(VLOOKUP(A57,'20yPlan'!A:B,2,FALSE)="","",VLOOKUP(A57,'20yPlan'!A:B,2,FALSE))</f>
        <v/>
      </c>
      <c r="AF57" s="7" t="str">
        <f>IF(VLOOKUP(A57,'20yPlan'!A:C,3,FALSE)="","",VLOOKUP(A57,'20yPlan'!A:C,3,FALSE))</f>
        <v/>
      </c>
      <c r="AG57" s="7" t="str">
        <f>IF(VLOOKUP(A57,'20yPlan'!A:D,4,FALSE)="","",VLOOKUP(A57,'20yPlan'!A:D,4,FALSE))</f>
        <v/>
      </c>
      <c r="AH57" s="7" t="str">
        <f>IF(VLOOKUP(A57,'20yPlan'!A:E,5,FALSE)="","",VLOOKUP(A57,'20yPlan'!A:E,5,FALSE))</f>
        <v/>
      </c>
      <c r="AI57" s="7" t="str">
        <f>IF(VLOOKUP(A57,'20yPlan'!A:F,6,FALSE)="","",VLOOKUP(A57,'20yPlan'!A:F,6,FALSE))</f>
        <v/>
      </c>
      <c r="AJ57" s="7" t="str">
        <f t="shared" si="5"/>
        <v>2040 Chip Seal</v>
      </c>
      <c r="AK57" s="7" t="str">
        <f t="shared" si="6"/>
        <v>2027 RPM Replacement</v>
      </c>
      <c r="AL57" s="39">
        <f t="shared" ca="1" si="7"/>
        <v>2025</v>
      </c>
      <c r="AM57" s="7">
        <f t="shared" si="8"/>
        <v>2027</v>
      </c>
      <c r="AN57" s="7" t="str">
        <f t="shared" si="9"/>
        <v>2027 RPM Replacement</v>
      </c>
    </row>
    <row r="58" spans="1:40">
      <c r="A58" s="6">
        <v>60058</v>
      </c>
      <c r="B58" s="6" t="s">
        <v>246</v>
      </c>
      <c r="C58" s="6" t="s">
        <v>257</v>
      </c>
      <c r="D58" s="6">
        <v>38.520757000000003</v>
      </c>
      <c r="E58" s="6">
        <v>51.092306000000001</v>
      </c>
      <c r="F58" s="6" t="s">
        <v>258</v>
      </c>
      <c r="G58" s="6" t="s">
        <v>259</v>
      </c>
      <c r="H58" s="35">
        <v>211237</v>
      </c>
      <c r="I58" s="6" t="s">
        <v>195</v>
      </c>
      <c r="J58" s="6">
        <v>4</v>
      </c>
      <c r="K58" s="6">
        <v>2026</v>
      </c>
      <c r="L58" s="6">
        <v>2</v>
      </c>
      <c r="M58" s="6" t="s">
        <v>45</v>
      </c>
      <c r="N58" s="6" t="s">
        <v>250</v>
      </c>
      <c r="O58" s="6" t="s">
        <v>196</v>
      </c>
      <c r="P58" s="6" t="s">
        <v>251</v>
      </c>
      <c r="Q58" s="6" t="s">
        <v>260</v>
      </c>
      <c r="R58" s="35">
        <v>2760</v>
      </c>
      <c r="S58" s="6">
        <v>183</v>
      </c>
      <c r="T58" s="36" t="s">
        <v>253</v>
      </c>
      <c r="U58" s="46">
        <f>IF($L58&lt;=2,
IF($R58&lt;=RpmDesignStandard!$C$2,RpmDesignStandard!$D$2,
IF(AND($R58&gt;RpmDesignStandard!$B$3,$R58&lt;=RpmDesignStandard!$C$3),RpmDesignStandard!$D$3,RpmDesignStandard!$D$4)),
IF($R58&lt;=RpmDesignStandard!$C$5, RpmDesignStandard!$D$5,
IF(AND($R58&gt;RpmDesignStandard!$B$6,$R58&lt;=RpmDesignStandard!$C$6),RpmDesignStandard!$D$6,
IF(AND($R58&gt;RpmDesignStandard!$B$7,$R58&lt;=RpmDesignStandard!$C$7),RpmDesignStandard!$D$7,RpmDesignStandard!$D$8))))</f>
        <v>4</v>
      </c>
      <c r="V58" s="47">
        <f>U58*RpmDesignStandard!$H$1</f>
        <v>8</v>
      </c>
      <c r="W58" s="37" t="str">
        <f>VLOOKUP(A58,RPM_ProjectRecord!A:AB,8,FALSE)</f>
        <v/>
      </c>
      <c r="X58" s="38" t="str">
        <f t="shared" si="0"/>
        <v/>
      </c>
      <c r="Y58" s="38" t="str">
        <f t="shared" si="1"/>
        <v/>
      </c>
      <c r="Z58" s="38" t="str">
        <f t="shared" si="2"/>
        <v/>
      </c>
      <c r="AA58" s="38" t="str">
        <f t="shared" si="3"/>
        <v/>
      </c>
      <c r="AB58" s="38" t="str">
        <f t="shared" si="4"/>
        <v/>
      </c>
      <c r="AC58" s="38">
        <f>IF(VLOOKUP(A58,'3rdPhaseChipSeal'!A:L,12,FALSE)="","",VLOOKUP(A58,'3rdPhaseChipSeal'!A:L,12,FALSE))</f>
        <v>2039</v>
      </c>
      <c r="AD58" s="38">
        <f>IFERROR(IF(VLOOKUP(A58,RpmContracts!A:C,3,FALSE)="","",VLOOKUP(A58,RpmContracts!A:C,3,FALSE)),"")</f>
        <v>2027</v>
      </c>
      <c r="AE58" s="7" t="str">
        <f>IF(VLOOKUP(A58,'20yPlan'!A:B,2,FALSE)="","",VLOOKUP(A58,'20yPlan'!A:B,2,FALSE))</f>
        <v/>
      </c>
      <c r="AF58" s="7" t="str">
        <f>IF(VLOOKUP(A58,'20yPlan'!A:C,3,FALSE)="","",VLOOKUP(A58,'20yPlan'!A:C,3,FALSE))</f>
        <v/>
      </c>
      <c r="AG58" s="7" t="str">
        <f>IF(VLOOKUP(A58,'20yPlan'!A:D,4,FALSE)="","",VLOOKUP(A58,'20yPlan'!A:D,4,FALSE))</f>
        <v/>
      </c>
      <c r="AH58" s="7" t="str">
        <f>IF(VLOOKUP(A58,'20yPlan'!A:E,5,FALSE)="","",VLOOKUP(A58,'20yPlan'!A:E,5,FALSE))</f>
        <v/>
      </c>
      <c r="AI58" s="7" t="str">
        <f>IF(VLOOKUP(A58,'20yPlan'!A:F,6,FALSE)="","",VLOOKUP(A58,'20yPlan'!A:F,6,FALSE))</f>
        <v/>
      </c>
      <c r="AJ58" s="7" t="str">
        <f t="shared" si="5"/>
        <v>2039 Chip Seal</v>
      </c>
      <c r="AK58" s="7" t="str">
        <f t="shared" si="6"/>
        <v>2027 RPM Replacement</v>
      </c>
      <c r="AL58" s="39">
        <f t="shared" ca="1" si="7"/>
        <v>2025</v>
      </c>
      <c r="AM58" s="7">
        <f t="shared" si="8"/>
        <v>2027</v>
      </c>
      <c r="AN58" s="7" t="str">
        <f t="shared" si="9"/>
        <v>2027 RPM Replacement</v>
      </c>
    </row>
    <row r="59" spans="1:40">
      <c r="A59" s="6">
        <v>60059</v>
      </c>
      <c r="B59" s="6" t="s">
        <v>261</v>
      </c>
      <c r="C59" s="6" t="s">
        <v>262</v>
      </c>
      <c r="D59" s="6">
        <v>0</v>
      </c>
      <c r="E59" s="6">
        <v>10.522258000000001</v>
      </c>
      <c r="F59" s="6" t="s">
        <v>53</v>
      </c>
      <c r="G59" s="6" t="s">
        <v>263</v>
      </c>
      <c r="H59" s="35">
        <v>176709</v>
      </c>
      <c r="I59" s="6" t="s">
        <v>195</v>
      </c>
      <c r="J59" s="6">
        <v>14</v>
      </c>
      <c r="K59" s="6">
        <v>2027</v>
      </c>
      <c r="L59" s="6">
        <v>2</v>
      </c>
      <c r="M59" s="6" t="s">
        <v>45</v>
      </c>
      <c r="N59" s="6" t="s">
        <v>250</v>
      </c>
      <c r="O59" s="6" t="s">
        <v>79</v>
      </c>
      <c r="P59" s="6" t="s">
        <v>92</v>
      </c>
      <c r="Q59" s="6" t="s">
        <v>96</v>
      </c>
      <c r="R59" s="6">
        <v>425</v>
      </c>
      <c r="S59" s="6">
        <v>30</v>
      </c>
      <c r="T59" s="36" t="s">
        <v>253</v>
      </c>
      <c r="U59" s="46">
        <f>IF($L59&lt;=2,
IF($R59&lt;=RpmDesignStandard!$C$2,RpmDesignStandard!$D$2,
IF(AND($R59&gt;RpmDesignStandard!$B$3,$R59&lt;=RpmDesignStandard!$C$3),RpmDesignStandard!$D$3,RpmDesignStandard!$D$4)),
IF($R59&lt;=RpmDesignStandard!$C$5, RpmDesignStandard!$D$5,
IF(AND($R59&gt;RpmDesignStandard!$B$6,$R59&lt;=RpmDesignStandard!$C$6),RpmDesignStandard!$D$6,
IF(AND($R59&gt;RpmDesignStandard!$B$7,$R59&lt;=RpmDesignStandard!$C$7),RpmDesignStandard!$D$7,RpmDesignStandard!$D$8))))</f>
        <v>4</v>
      </c>
      <c r="V59" s="47">
        <f>U59*RpmDesignStandard!$H$1</f>
        <v>8</v>
      </c>
      <c r="W59" s="37" t="str">
        <f>VLOOKUP(A59,RPM_ProjectRecord!A:AB,8,FALSE)</f>
        <v/>
      </c>
      <c r="X59" s="38" t="str">
        <f t="shared" si="0"/>
        <v/>
      </c>
      <c r="Y59" s="38" t="str">
        <f t="shared" si="1"/>
        <v/>
      </c>
      <c r="Z59" s="38" t="str">
        <f t="shared" si="2"/>
        <v/>
      </c>
      <c r="AA59" s="38" t="str">
        <f t="shared" si="3"/>
        <v/>
      </c>
      <c r="AB59" s="38" t="str">
        <f t="shared" si="4"/>
        <v/>
      </c>
      <c r="AC59" s="38">
        <f>IF(VLOOKUP(A59,'3rdPhaseChipSeal'!A:L,12,FALSE)="","",VLOOKUP(A59,'3rdPhaseChipSeal'!A:L,12,FALSE))</f>
        <v>2027</v>
      </c>
      <c r="AD59" s="38">
        <f>IFERROR(IF(VLOOKUP(A59,RpmContracts!A:C,3,FALSE)="","",VLOOKUP(A59,RpmContracts!A:C,3,FALSE)),"")</f>
        <v>2027</v>
      </c>
      <c r="AE59" s="7" t="str">
        <f>IF(VLOOKUP(A59,'20yPlan'!A:B,2,FALSE)="","",VLOOKUP(A59,'20yPlan'!A:B,2,FALSE))</f>
        <v/>
      </c>
      <c r="AF59" s="7" t="str">
        <f>IF(VLOOKUP(A59,'20yPlan'!A:C,3,FALSE)="","",VLOOKUP(A59,'20yPlan'!A:C,3,FALSE))</f>
        <v/>
      </c>
      <c r="AG59" s="7" t="str">
        <f>IF(VLOOKUP(A59,'20yPlan'!A:D,4,FALSE)="","",VLOOKUP(A59,'20yPlan'!A:D,4,FALSE))</f>
        <v/>
      </c>
      <c r="AH59" s="7" t="str">
        <f>IF(VLOOKUP(A59,'20yPlan'!A:E,5,FALSE)="","",VLOOKUP(A59,'20yPlan'!A:E,5,FALSE))</f>
        <v/>
      </c>
      <c r="AI59" s="7" t="str">
        <f>IF(VLOOKUP(A59,'20yPlan'!A:F,6,FALSE)="","",VLOOKUP(A59,'20yPlan'!A:F,6,FALSE))</f>
        <v/>
      </c>
      <c r="AJ59" s="7" t="str">
        <f t="shared" si="5"/>
        <v>2027 Chip Seal</v>
      </c>
      <c r="AK59" s="7" t="str">
        <f t="shared" si="6"/>
        <v>2027 RPM Replacement</v>
      </c>
      <c r="AL59" s="39">
        <f t="shared" ca="1" si="7"/>
        <v>2025</v>
      </c>
      <c r="AM59" s="7">
        <f t="shared" si="8"/>
        <v>2027</v>
      </c>
      <c r="AN59" s="7" t="str">
        <f t="shared" si="9"/>
        <v>2027 Chip Seal</v>
      </c>
    </row>
    <row r="60" spans="1:40">
      <c r="A60" s="6">
        <v>60060</v>
      </c>
      <c r="B60" s="6" t="s">
        <v>261</v>
      </c>
      <c r="C60" s="6" t="s">
        <v>264</v>
      </c>
      <c r="D60" s="6">
        <v>10.522258000000001</v>
      </c>
      <c r="E60" s="6">
        <v>17.63579</v>
      </c>
      <c r="F60" s="6" t="s">
        <v>263</v>
      </c>
      <c r="G60" s="6" t="s">
        <v>265</v>
      </c>
      <c r="H60" s="35">
        <v>121630</v>
      </c>
      <c r="I60" s="6" t="s">
        <v>195</v>
      </c>
      <c r="J60" s="6">
        <v>19</v>
      </c>
      <c r="K60" s="6">
        <v>2027</v>
      </c>
      <c r="L60" s="6">
        <v>2</v>
      </c>
      <c r="M60" s="6" t="s">
        <v>45</v>
      </c>
      <c r="N60" s="6" t="s">
        <v>250</v>
      </c>
      <c r="O60" s="6" t="s">
        <v>215</v>
      </c>
      <c r="P60" s="6" t="s">
        <v>266</v>
      </c>
      <c r="Q60" s="6" t="s">
        <v>96</v>
      </c>
      <c r="R60" s="6">
        <v>202</v>
      </c>
      <c r="S60" s="6">
        <v>19</v>
      </c>
      <c r="T60" s="36" t="s">
        <v>253</v>
      </c>
      <c r="U60" s="46">
        <f>IF($L60&lt;=2,
IF($R60&lt;=RpmDesignStandard!$C$2,RpmDesignStandard!$D$2,
IF(AND($R60&gt;RpmDesignStandard!$B$3,$R60&lt;=RpmDesignStandard!$C$3),RpmDesignStandard!$D$3,RpmDesignStandard!$D$4)),
IF($R60&lt;=RpmDesignStandard!$C$5, RpmDesignStandard!$D$5,
IF(AND($R60&gt;RpmDesignStandard!$B$6,$R60&lt;=RpmDesignStandard!$C$6),RpmDesignStandard!$D$6,
IF(AND($R60&gt;RpmDesignStandard!$B$7,$R60&lt;=RpmDesignStandard!$C$7),RpmDesignStandard!$D$7,RpmDesignStandard!$D$8))))</f>
        <v>4</v>
      </c>
      <c r="V60" s="47">
        <f>U60*RpmDesignStandard!$H$1</f>
        <v>8</v>
      </c>
      <c r="W60" s="37" t="str">
        <f>VLOOKUP(A60,RPM_ProjectRecord!A:AB,8,FALSE)</f>
        <v/>
      </c>
      <c r="X60" s="38" t="str">
        <f t="shared" si="0"/>
        <v/>
      </c>
      <c r="Y60" s="38" t="str">
        <f t="shared" si="1"/>
        <v/>
      </c>
      <c r="Z60" s="38" t="str">
        <f t="shared" si="2"/>
        <v/>
      </c>
      <c r="AA60" s="38" t="str">
        <f t="shared" si="3"/>
        <v/>
      </c>
      <c r="AB60" s="38" t="str">
        <f t="shared" si="4"/>
        <v/>
      </c>
      <c r="AC60" s="38">
        <f>IF(VLOOKUP(A60,'3rdPhaseChipSeal'!A:L,12,FALSE)="","",VLOOKUP(A60,'3rdPhaseChipSeal'!A:L,12,FALSE))</f>
        <v>2027</v>
      </c>
      <c r="AD60" s="38">
        <f>IFERROR(IF(VLOOKUP(A60,RpmContracts!A:C,3,FALSE)="","",VLOOKUP(A60,RpmContracts!A:C,3,FALSE)),"")</f>
        <v>2027</v>
      </c>
      <c r="AE60" s="7" t="str">
        <f>IF(VLOOKUP(A60,'20yPlan'!A:B,2,FALSE)="","",VLOOKUP(A60,'20yPlan'!A:B,2,FALSE))</f>
        <v/>
      </c>
      <c r="AF60" s="7" t="str">
        <f>IF(VLOOKUP(A60,'20yPlan'!A:C,3,FALSE)="","",VLOOKUP(A60,'20yPlan'!A:C,3,FALSE))</f>
        <v/>
      </c>
      <c r="AG60" s="7" t="str">
        <f>IF(VLOOKUP(A60,'20yPlan'!A:D,4,FALSE)="","",VLOOKUP(A60,'20yPlan'!A:D,4,FALSE))</f>
        <v/>
      </c>
      <c r="AH60" s="7" t="str">
        <f>IF(VLOOKUP(A60,'20yPlan'!A:E,5,FALSE)="","",VLOOKUP(A60,'20yPlan'!A:E,5,FALSE))</f>
        <v/>
      </c>
      <c r="AI60" s="7" t="str">
        <f>IF(VLOOKUP(A60,'20yPlan'!A:F,6,FALSE)="","",VLOOKUP(A60,'20yPlan'!A:F,6,FALSE))</f>
        <v/>
      </c>
      <c r="AJ60" s="7" t="str">
        <f t="shared" si="5"/>
        <v>2027 Chip Seal</v>
      </c>
      <c r="AK60" s="7" t="str">
        <f t="shared" si="6"/>
        <v>2027 RPM Replacement</v>
      </c>
      <c r="AL60" s="39">
        <f t="shared" ca="1" si="7"/>
        <v>2025</v>
      </c>
      <c r="AM60" s="7">
        <f t="shared" si="8"/>
        <v>2027</v>
      </c>
      <c r="AN60" s="7" t="str">
        <f t="shared" si="9"/>
        <v>2027 Chip Seal</v>
      </c>
    </row>
    <row r="61" spans="1:40">
      <c r="A61" s="6">
        <v>60061</v>
      </c>
      <c r="B61" s="6" t="s">
        <v>261</v>
      </c>
      <c r="C61" s="6" t="s">
        <v>267</v>
      </c>
      <c r="D61" s="6">
        <v>17.63579</v>
      </c>
      <c r="E61" s="6">
        <v>24.140913999999999</v>
      </c>
      <c r="F61" s="6" t="s">
        <v>265</v>
      </c>
      <c r="G61" s="6" t="s">
        <v>268</v>
      </c>
      <c r="H61" s="35">
        <v>101699</v>
      </c>
      <c r="I61" s="6" t="s">
        <v>195</v>
      </c>
      <c r="J61" s="6">
        <v>19</v>
      </c>
      <c r="K61" s="6">
        <v>2027</v>
      </c>
      <c r="L61" s="6">
        <v>2</v>
      </c>
      <c r="M61" s="6" t="s">
        <v>45</v>
      </c>
      <c r="N61" s="6" t="s">
        <v>250</v>
      </c>
      <c r="O61" s="6" t="s">
        <v>79</v>
      </c>
      <c r="P61" s="6" t="s">
        <v>92</v>
      </c>
      <c r="Q61" s="6" t="s">
        <v>269</v>
      </c>
      <c r="R61" s="6">
        <v>375</v>
      </c>
      <c r="S61" s="6">
        <v>30</v>
      </c>
      <c r="T61" s="36" t="s">
        <v>253</v>
      </c>
      <c r="U61" s="46">
        <f>IF($L61&lt;=2,
IF($R61&lt;=RpmDesignStandard!$C$2,RpmDesignStandard!$D$2,
IF(AND($R61&gt;RpmDesignStandard!$B$3,$R61&lt;=RpmDesignStandard!$C$3),RpmDesignStandard!$D$3,RpmDesignStandard!$D$4)),
IF($R61&lt;=RpmDesignStandard!$C$5, RpmDesignStandard!$D$5,
IF(AND($R61&gt;RpmDesignStandard!$B$6,$R61&lt;=RpmDesignStandard!$C$6),RpmDesignStandard!$D$6,
IF(AND($R61&gt;RpmDesignStandard!$B$7,$R61&lt;=RpmDesignStandard!$C$7),RpmDesignStandard!$D$7,RpmDesignStandard!$D$8))))</f>
        <v>4</v>
      </c>
      <c r="V61" s="47">
        <f>U61*RpmDesignStandard!$H$1</f>
        <v>8</v>
      </c>
      <c r="W61" s="37" t="str">
        <f>VLOOKUP(A61,RPM_ProjectRecord!A:AB,8,FALSE)</f>
        <v/>
      </c>
      <c r="X61" s="38" t="str">
        <f t="shared" si="0"/>
        <v/>
      </c>
      <c r="Y61" s="38" t="str">
        <f t="shared" si="1"/>
        <v/>
      </c>
      <c r="Z61" s="38" t="str">
        <f t="shared" si="2"/>
        <v/>
      </c>
      <c r="AA61" s="38" t="str">
        <f t="shared" si="3"/>
        <v/>
      </c>
      <c r="AB61" s="38" t="str">
        <f t="shared" si="4"/>
        <v/>
      </c>
      <c r="AC61" s="38">
        <f>IF(VLOOKUP(A61,'3rdPhaseChipSeal'!A:L,12,FALSE)="","",VLOOKUP(A61,'3rdPhaseChipSeal'!A:L,12,FALSE))</f>
        <v>2033</v>
      </c>
      <c r="AD61" s="38">
        <f>IFERROR(IF(VLOOKUP(A61,RpmContracts!A:C,3,FALSE)="","",VLOOKUP(A61,RpmContracts!A:C,3,FALSE)),"")</f>
        <v>2027</v>
      </c>
      <c r="AE61" s="7" t="str">
        <f>IF(VLOOKUP(A61,'20yPlan'!A:B,2,FALSE)="","",VLOOKUP(A61,'20yPlan'!A:B,2,FALSE))</f>
        <v/>
      </c>
      <c r="AF61" s="7" t="str">
        <f>IF(VLOOKUP(A61,'20yPlan'!A:C,3,FALSE)="","",VLOOKUP(A61,'20yPlan'!A:C,3,FALSE))</f>
        <v/>
      </c>
      <c r="AG61" s="7" t="str">
        <f>IF(VLOOKUP(A61,'20yPlan'!A:D,4,FALSE)="","",VLOOKUP(A61,'20yPlan'!A:D,4,FALSE))</f>
        <v/>
      </c>
      <c r="AH61" s="7" t="str">
        <f>IF(VLOOKUP(A61,'20yPlan'!A:E,5,FALSE)="","",VLOOKUP(A61,'20yPlan'!A:E,5,FALSE))</f>
        <v/>
      </c>
      <c r="AI61" s="7" t="str">
        <f>IF(VLOOKUP(A61,'20yPlan'!A:F,6,FALSE)="","",VLOOKUP(A61,'20yPlan'!A:F,6,FALSE))</f>
        <v/>
      </c>
      <c r="AJ61" s="7" t="str">
        <f t="shared" si="5"/>
        <v>2033 Chip Seal</v>
      </c>
      <c r="AK61" s="7" t="str">
        <f t="shared" si="6"/>
        <v>2027 RPM Replacement</v>
      </c>
      <c r="AL61" s="39">
        <f t="shared" ca="1" si="7"/>
        <v>2025</v>
      </c>
      <c r="AM61" s="7">
        <f t="shared" si="8"/>
        <v>2027</v>
      </c>
      <c r="AN61" s="7" t="str">
        <f t="shared" si="9"/>
        <v>2027 RPM Replacement</v>
      </c>
    </row>
    <row r="62" spans="1:40">
      <c r="A62" s="6">
        <v>60062</v>
      </c>
      <c r="B62" s="6" t="s">
        <v>261</v>
      </c>
      <c r="C62" s="6" t="s">
        <v>270</v>
      </c>
      <c r="D62" s="6">
        <v>27.29871</v>
      </c>
      <c r="E62" s="6">
        <v>40.987516999999997</v>
      </c>
      <c r="F62" s="6" t="s">
        <v>271</v>
      </c>
      <c r="G62" s="6" t="s">
        <v>272</v>
      </c>
      <c r="H62" s="35">
        <v>378198</v>
      </c>
      <c r="I62" s="6" t="s">
        <v>195</v>
      </c>
      <c r="J62" s="6">
        <v>13</v>
      </c>
      <c r="K62" s="6">
        <v>2026</v>
      </c>
      <c r="L62" s="6">
        <v>2</v>
      </c>
      <c r="M62" s="6" t="s">
        <v>45</v>
      </c>
      <c r="N62" s="6" t="s">
        <v>250</v>
      </c>
      <c r="O62" s="6" t="s">
        <v>196</v>
      </c>
      <c r="P62" s="6" t="s">
        <v>273</v>
      </c>
      <c r="Q62" s="6" t="s">
        <v>274</v>
      </c>
      <c r="R62" s="35">
        <v>2806</v>
      </c>
      <c r="S62" s="6">
        <v>417</v>
      </c>
      <c r="T62" s="36" t="s">
        <v>50</v>
      </c>
      <c r="U62" s="46">
        <f>IF($L62&lt;=2,
IF($R62&lt;=RpmDesignStandard!$C$2,RpmDesignStandard!$D$2,
IF(AND($R62&gt;RpmDesignStandard!$B$3,$R62&lt;=RpmDesignStandard!$C$3),RpmDesignStandard!$D$3,RpmDesignStandard!$D$4)),
IF($R62&lt;=RpmDesignStandard!$C$5, RpmDesignStandard!$D$5,
IF(AND($R62&gt;RpmDesignStandard!$B$6,$R62&lt;=RpmDesignStandard!$C$6),RpmDesignStandard!$D$6,
IF(AND($R62&gt;RpmDesignStandard!$B$7,$R62&lt;=RpmDesignStandard!$C$7),RpmDesignStandard!$D$7,RpmDesignStandard!$D$8))))</f>
        <v>4</v>
      </c>
      <c r="V62" s="47">
        <f>U62*RpmDesignStandard!$H$1</f>
        <v>8</v>
      </c>
      <c r="W62" s="37" t="str">
        <f>VLOOKUP(A62,RPM_ProjectRecord!A:AB,8,FALSE)</f>
        <v/>
      </c>
      <c r="X62" s="38" t="str">
        <f t="shared" si="0"/>
        <v/>
      </c>
      <c r="Y62" s="38" t="str">
        <f t="shared" si="1"/>
        <v/>
      </c>
      <c r="Z62" s="38" t="str">
        <f t="shared" si="2"/>
        <v/>
      </c>
      <c r="AA62" s="38" t="str">
        <f t="shared" si="3"/>
        <v/>
      </c>
      <c r="AB62" s="38" t="str">
        <f t="shared" si="4"/>
        <v/>
      </c>
      <c r="AC62" s="38">
        <f>IF(VLOOKUP(A62,'3rdPhaseChipSeal'!A:L,12,FALSE)="","",VLOOKUP(A62,'3rdPhaseChipSeal'!A:L,12,FALSE))</f>
        <v>2039</v>
      </c>
      <c r="AD62" s="38" t="str">
        <f>IFERROR(IF(VLOOKUP(A62,RpmContracts!A:C,3,FALSE)="","",VLOOKUP(A62,RpmContracts!A:C,3,FALSE)),"")</f>
        <v/>
      </c>
      <c r="AE62" s="7" t="str">
        <f>IF(VLOOKUP(A62,'20yPlan'!A:B,2,FALSE)="","",VLOOKUP(A62,'20yPlan'!A:B,2,FALSE))</f>
        <v/>
      </c>
      <c r="AF62" s="7" t="str">
        <f>IF(VLOOKUP(A62,'20yPlan'!A:C,3,FALSE)="","",VLOOKUP(A62,'20yPlan'!A:C,3,FALSE))</f>
        <v/>
      </c>
      <c r="AG62" s="7" t="str">
        <f>IF(VLOOKUP(A62,'20yPlan'!A:D,4,FALSE)="","",VLOOKUP(A62,'20yPlan'!A:D,4,FALSE))</f>
        <v/>
      </c>
      <c r="AH62" s="7" t="str">
        <f>IF(VLOOKUP(A62,'20yPlan'!A:E,5,FALSE)="","",VLOOKUP(A62,'20yPlan'!A:E,5,FALSE))</f>
        <v/>
      </c>
      <c r="AI62" s="7" t="str">
        <f>IF(VLOOKUP(A62,'20yPlan'!A:F,6,FALSE)="","",VLOOKUP(A62,'20yPlan'!A:F,6,FALSE))</f>
        <v/>
      </c>
      <c r="AJ62" s="7" t="str">
        <f t="shared" si="5"/>
        <v>2039 Chip Seal</v>
      </c>
      <c r="AK62" s="7" t="str">
        <f t="shared" si="6"/>
        <v/>
      </c>
      <c r="AL62" s="39">
        <f t="shared" ca="1" si="7"/>
        <v>2025</v>
      </c>
      <c r="AM62" s="7" t="str">
        <f t="shared" si="8"/>
        <v/>
      </c>
      <c r="AN62" s="7" t="str">
        <f t="shared" si="9"/>
        <v/>
      </c>
    </row>
    <row r="63" spans="1:40">
      <c r="A63" s="6">
        <v>60063</v>
      </c>
      <c r="B63" s="6" t="s">
        <v>275</v>
      </c>
      <c r="C63" s="6" t="s">
        <v>276</v>
      </c>
      <c r="D63" s="6">
        <v>0</v>
      </c>
      <c r="E63" s="6">
        <v>5.6767709999999996</v>
      </c>
      <c r="F63" s="6" t="s">
        <v>277</v>
      </c>
      <c r="G63" s="6" t="s">
        <v>278</v>
      </c>
      <c r="H63" s="35">
        <v>103082</v>
      </c>
      <c r="I63" s="6" t="s">
        <v>195</v>
      </c>
      <c r="J63" s="6">
        <v>16</v>
      </c>
      <c r="K63" s="6">
        <v>2025</v>
      </c>
      <c r="L63" s="6">
        <v>2</v>
      </c>
      <c r="M63" s="6" t="s">
        <v>45</v>
      </c>
      <c r="N63" s="6" t="s">
        <v>250</v>
      </c>
      <c r="O63" s="6" t="s">
        <v>165</v>
      </c>
      <c r="P63" s="6" t="s">
        <v>166</v>
      </c>
      <c r="Q63" s="6" t="s">
        <v>172</v>
      </c>
      <c r="R63" s="35">
        <v>2313</v>
      </c>
      <c r="S63" s="6">
        <v>275</v>
      </c>
      <c r="T63" s="36" t="s">
        <v>253</v>
      </c>
      <c r="U63" s="46">
        <f>IF($L63&lt;=2,
IF($R63&lt;=RpmDesignStandard!$C$2,RpmDesignStandard!$D$2,
IF(AND($R63&gt;RpmDesignStandard!$B$3,$R63&lt;=RpmDesignStandard!$C$3),RpmDesignStandard!$D$3,RpmDesignStandard!$D$4)),
IF($R63&lt;=RpmDesignStandard!$C$5, RpmDesignStandard!$D$5,
IF(AND($R63&gt;RpmDesignStandard!$B$6,$R63&lt;=RpmDesignStandard!$C$6),RpmDesignStandard!$D$6,
IF(AND($R63&gt;RpmDesignStandard!$B$7,$R63&lt;=RpmDesignStandard!$C$7),RpmDesignStandard!$D$7,RpmDesignStandard!$D$8))))</f>
        <v>4</v>
      </c>
      <c r="V63" s="47">
        <f>U63*RpmDesignStandard!$H$1</f>
        <v>8</v>
      </c>
      <c r="W63" s="37" t="str">
        <f>VLOOKUP(A63,RPM_ProjectRecord!A:AB,8,FALSE)</f>
        <v/>
      </c>
      <c r="X63" s="38" t="str">
        <f t="shared" si="0"/>
        <v/>
      </c>
      <c r="Y63" s="38" t="str">
        <f t="shared" si="1"/>
        <v/>
      </c>
      <c r="Z63" s="38" t="str">
        <f t="shared" si="2"/>
        <v/>
      </c>
      <c r="AA63" s="38" t="str">
        <f t="shared" si="3"/>
        <v/>
      </c>
      <c r="AB63" s="38" t="str">
        <f t="shared" si="4"/>
        <v/>
      </c>
      <c r="AC63" s="38">
        <f>IF(VLOOKUP(A63,'3rdPhaseChipSeal'!A:L,12,FALSE)="","",VLOOKUP(A63,'3rdPhaseChipSeal'!A:L,12,FALSE))</f>
        <v>2030</v>
      </c>
      <c r="AD63" s="38">
        <f>IFERROR(IF(VLOOKUP(A63,RpmContracts!A:C,3,FALSE)="","",VLOOKUP(A63,RpmContracts!A:C,3,FALSE)),"")</f>
        <v>2026</v>
      </c>
      <c r="AE63" s="7" t="str">
        <f>IF(VLOOKUP(A63,'20yPlan'!A:B,2,FALSE)="","",VLOOKUP(A63,'20yPlan'!A:B,2,FALSE))</f>
        <v/>
      </c>
      <c r="AF63" s="7" t="str">
        <f>IF(VLOOKUP(A63,'20yPlan'!A:C,3,FALSE)="","",VLOOKUP(A63,'20yPlan'!A:C,3,FALSE))</f>
        <v/>
      </c>
      <c r="AG63" s="7" t="str">
        <f>IF(VLOOKUP(A63,'20yPlan'!A:D,4,FALSE)="","",VLOOKUP(A63,'20yPlan'!A:D,4,FALSE))</f>
        <v/>
      </c>
      <c r="AH63" s="7" t="str">
        <f>IF(VLOOKUP(A63,'20yPlan'!A:E,5,FALSE)="","",VLOOKUP(A63,'20yPlan'!A:E,5,FALSE))</f>
        <v/>
      </c>
      <c r="AI63" s="7" t="str">
        <f>IF(VLOOKUP(A63,'20yPlan'!A:F,6,FALSE)="","",VLOOKUP(A63,'20yPlan'!A:F,6,FALSE))</f>
        <v/>
      </c>
      <c r="AJ63" s="7" t="str">
        <f t="shared" si="5"/>
        <v>2030 Chip Seal</v>
      </c>
      <c r="AK63" s="7" t="str">
        <f t="shared" si="6"/>
        <v>2026 RPM Replacement</v>
      </c>
      <c r="AL63" s="39">
        <f t="shared" ca="1" si="7"/>
        <v>2025</v>
      </c>
      <c r="AM63" s="7">
        <f t="shared" si="8"/>
        <v>2026</v>
      </c>
      <c r="AN63" s="7" t="str">
        <f t="shared" si="9"/>
        <v>2026 RPM Replacement</v>
      </c>
    </row>
    <row r="64" spans="1:40">
      <c r="A64" s="6">
        <v>60064</v>
      </c>
      <c r="B64" s="6" t="s">
        <v>279</v>
      </c>
      <c r="C64" s="6" t="s">
        <v>280</v>
      </c>
      <c r="D64" s="6">
        <v>0</v>
      </c>
      <c r="E64" s="6">
        <v>1.096978</v>
      </c>
      <c r="F64" s="6" t="s">
        <v>53</v>
      </c>
      <c r="G64" s="6" t="s">
        <v>281</v>
      </c>
      <c r="H64" s="35">
        <v>20778</v>
      </c>
      <c r="I64" s="6" t="s">
        <v>44</v>
      </c>
      <c r="J64" s="6">
        <v>1</v>
      </c>
      <c r="K64" s="6"/>
      <c r="L64" s="6">
        <v>2</v>
      </c>
      <c r="M64" s="6" t="s">
        <v>45</v>
      </c>
      <c r="N64" s="6" t="s">
        <v>250</v>
      </c>
      <c r="O64" s="6" t="s">
        <v>165</v>
      </c>
      <c r="P64" s="6" t="s">
        <v>236</v>
      </c>
      <c r="Q64" s="6" t="s">
        <v>240</v>
      </c>
      <c r="R64" s="35">
        <v>3685</v>
      </c>
      <c r="S64" s="6">
        <v>370</v>
      </c>
      <c r="T64" s="36" t="s">
        <v>50</v>
      </c>
      <c r="U64" s="46">
        <f>IF($L64&lt;=2,
IF($R64&lt;=RpmDesignStandard!$C$2,RpmDesignStandard!$D$2,
IF(AND($R64&gt;RpmDesignStandard!$B$3,$R64&lt;=RpmDesignStandard!$C$3),RpmDesignStandard!$D$3,RpmDesignStandard!$D$4)),
IF($R64&lt;=RpmDesignStandard!$C$5, RpmDesignStandard!$D$5,
IF(AND($R64&gt;RpmDesignStandard!$B$6,$R64&lt;=RpmDesignStandard!$C$6),RpmDesignStandard!$D$6,
IF(AND($R64&gt;RpmDesignStandard!$B$7,$R64&lt;=RpmDesignStandard!$C$7),RpmDesignStandard!$D$7,RpmDesignStandard!$D$8))))</f>
        <v>4</v>
      </c>
      <c r="V64" s="47">
        <f>U64*RpmDesignStandard!$H$1</f>
        <v>8</v>
      </c>
      <c r="W64" s="37">
        <f>VLOOKUP(A64,RPM_ProjectRecord!A:AB,8,FALSE)</f>
        <v>2022</v>
      </c>
      <c r="X64" s="38" t="str">
        <f t="shared" si="0"/>
        <v/>
      </c>
      <c r="Y64" s="38" t="str">
        <f t="shared" si="1"/>
        <v/>
      </c>
      <c r="Z64" s="38" t="str">
        <f t="shared" si="2"/>
        <v/>
      </c>
      <c r="AA64" s="38" t="str">
        <f t="shared" si="3"/>
        <v/>
      </c>
      <c r="AB64" s="38" t="str">
        <f t="shared" si="4"/>
        <v/>
      </c>
      <c r="AC64" s="38" t="str">
        <f>IF(VLOOKUP(A64,'3rdPhaseChipSeal'!A:L,12,FALSE)="","",VLOOKUP(A64,'3rdPhaseChipSeal'!A:L,12,FALSE))</f>
        <v/>
      </c>
      <c r="AD64" s="38" t="str">
        <f>IFERROR(IF(VLOOKUP(A64,RpmContracts!A:C,3,FALSE)="","",VLOOKUP(A64,RpmContracts!A:C,3,FALSE)),"")</f>
        <v/>
      </c>
      <c r="AE64" s="7" t="str">
        <f>IF(VLOOKUP(A64,'20yPlan'!A:B,2,FALSE)="","",VLOOKUP(A64,'20yPlan'!A:B,2,FALSE))</f>
        <v/>
      </c>
      <c r="AF64" s="7" t="str">
        <f>IF(VLOOKUP(A64,'20yPlan'!A:C,3,FALSE)="","",VLOOKUP(A64,'20yPlan'!A:C,3,FALSE))</f>
        <v/>
      </c>
      <c r="AG64" s="7" t="str">
        <f>IF(VLOOKUP(A64,'20yPlan'!A:D,4,FALSE)="","",VLOOKUP(A64,'20yPlan'!A:D,4,FALSE))</f>
        <v/>
      </c>
      <c r="AH64" s="7" t="str">
        <f>IF(VLOOKUP(A64,'20yPlan'!A:E,5,FALSE)="","",VLOOKUP(A64,'20yPlan'!A:E,5,FALSE))</f>
        <v/>
      </c>
      <c r="AI64" s="7" t="str">
        <f>IF(VLOOKUP(A64,'20yPlan'!A:F,6,FALSE)="","",VLOOKUP(A64,'20yPlan'!A:F,6,FALSE))</f>
        <v/>
      </c>
      <c r="AJ64" s="7" t="str">
        <f t="shared" si="5"/>
        <v/>
      </c>
      <c r="AK64" s="7" t="str">
        <f t="shared" si="6"/>
        <v/>
      </c>
      <c r="AL64" s="39">
        <f t="shared" ca="1" si="7"/>
        <v>2026</v>
      </c>
      <c r="AM64" s="7" t="str">
        <f t="shared" si="8"/>
        <v/>
      </c>
      <c r="AN64" s="7" t="str">
        <f t="shared" si="9"/>
        <v/>
      </c>
    </row>
    <row r="65" spans="1:40">
      <c r="A65" s="6">
        <v>60065</v>
      </c>
      <c r="B65" s="6" t="s">
        <v>282</v>
      </c>
      <c r="C65" s="6" t="s">
        <v>283</v>
      </c>
      <c r="D65" s="6">
        <v>0</v>
      </c>
      <c r="E65" s="6">
        <v>10.168528999999999</v>
      </c>
      <c r="F65" s="6" t="s">
        <v>53</v>
      </c>
      <c r="G65" s="6" t="s">
        <v>284</v>
      </c>
      <c r="H65" s="35">
        <v>146330</v>
      </c>
      <c r="I65" s="6" t="s">
        <v>195</v>
      </c>
      <c r="J65" s="6">
        <v>14</v>
      </c>
      <c r="K65" s="6">
        <v>2026</v>
      </c>
      <c r="L65" s="6">
        <v>2</v>
      </c>
      <c r="M65" s="6" t="s">
        <v>45</v>
      </c>
      <c r="N65" s="6" t="s">
        <v>250</v>
      </c>
      <c r="O65" s="6" t="s">
        <v>285</v>
      </c>
      <c r="P65" s="6" t="s">
        <v>286</v>
      </c>
      <c r="Q65" s="6" t="s">
        <v>287</v>
      </c>
      <c r="R65" s="35">
        <v>1666</v>
      </c>
      <c r="S65" s="6">
        <v>201</v>
      </c>
      <c r="T65" s="36" t="s">
        <v>253</v>
      </c>
      <c r="U65" s="46">
        <f>IF($L65&lt;=2,
IF($R65&lt;=RpmDesignStandard!$C$2,RpmDesignStandard!$D$2,
IF(AND($R65&gt;RpmDesignStandard!$B$3,$R65&lt;=RpmDesignStandard!$C$3),RpmDesignStandard!$D$3,RpmDesignStandard!$D$4)),
IF($R65&lt;=RpmDesignStandard!$C$5, RpmDesignStandard!$D$5,
IF(AND($R65&gt;RpmDesignStandard!$B$6,$R65&lt;=RpmDesignStandard!$C$6),RpmDesignStandard!$D$6,
IF(AND($R65&gt;RpmDesignStandard!$B$7,$R65&lt;=RpmDesignStandard!$C$7),RpmDesignStandard!$D$7,RpmDesignStandard!$D$8))))</f>
        <v>4</v>
      </c>
      <c r="V65" s="47">
        <f>U65*RpmDesignStandard!$H$1</f>
        <v>8</v>
      </c>
      <c r="W65" s="37" t="str">
        <f>VLOOKUP(A65,RPM_ProjectRecord!A:AB,8,FALSE)</f>
        <v/>
      </c>
      <c r="X65" s="38" t="str">
        <f t="shared" si="0"/>
        <v/>
      </c>
      <c r="Y65" s="38" t="str">
        <f t="shared" si="1"/>
        <v/>
      </c>
      <c r="Z65" s="38" t="str">
        <f t="shared" si="2"/>
        <v/>
      </c>
      <c r="AA65" s="38" t="str">
        <f t="shared" si="3"/>
        <v/>
      </c>
      <c r="AB65" s="38" t="str">
        <f t="shared" si="4"/>
        <v/>
      </c>
      <c r="AC65" s="38">
        <f>IF(VLOOKUP(A65,'3rdPhaseChipSeal'!A:L,12,FALSE)="","",VLOOKUP(A65,'3rdPhaseChipSeal'!A:L,12,FALSE))</f>
        <v>2026</v>
      </c>
      <c r="AD65" s="38" t="str">
        <f>IFERROR(IF(VLOOKUP(A65,RpmContracts!A:C,3,FALSE)="","",VLOOKUP(A65,RpmContracts!A:C,3,FALSE)),"")</f>
        <v/>
      </c>
      <c r="AE65" s="7" t="str">
        <f>IF(VLOOKUP(A65,'20yPlan'!A:B,2,FALSE)="","",VLOOKUP(A65,'20yPlan'!A:B,2,FALSE))</f>
        <v/>
      </c>
      <c r="AF65" s="7" t="str">
        <f>IF(VLOOKUP(A65,'20yPlan'!A:C,3,FALSE)="","",VLOOKUP(A65,'20yPlan'!A:C,3,FALSE))</f>
        <v/>
      </c>
      <c r="AG65" s="7" t="str">
        <f>IF(VLOOKUP(A65,'20yPlan'!A:D,4,FALSE)="","",VLOOKUP(A65,'20yPlan'!A:D,4,FALSE))</f>
        <v/>
      </c>
      <c r="AH65" s="7" t="str">
        <f>IF(VLOOKUP(A65,'20yPlan'!A:E,5,FALSE)="","",VLOOKUP(A65,'20yPlan'!A:E,5,FALSE))</f>
        <v/>
      </c>
      <c r="AI65" s="7" t="str">
        <f>IF(VLOOKUP(A65,'20yPlan'!A:F,6,FALSE)="","",VLOOKUP(A65,'20yPlan'!A:F,6,FALSE))</f>
        <v/>
      </c>
      <c r="AJ65" s="7" t="str">
        <f t="shared" si="5"/>
        <v>2026 Chip Seal</v>
      </c>
      <c r="AK65" s="7" t="str">
        <f t="shared" si="6"/>
        <v/>
      </c>
      <c r="AL65" s="39">
        <f t="shared" ca="1" si="7"/>
        <v>2025</v>
      </c>
      <c r="AM65" s="7" t="str">
        <f t="shared" si="8"/>
        <v/>
      </c>
      <c r="AN65" s="7" t="str">
        <f t="shared" si="9"/>
        <v/>
      </c>
    </row>
    <row r="66" spans="1:40">
      <c r="A66" s="6">
        <v>60066</v>
      </c>
      <c r="B66" s="6" t="s">
        <v>288</v>
      </c>
      <c r="C66" s="6" t="s">
        <v>289</v>
      </c>
      <c r="D66" s="6">
        <v>0</v>
      </c>
      <c r="E66" s="6">
        <v>5.7544370000000002</v>
      </c>
      <c r="F66" s="6" t="s">
        <v>53</v>
      </c>
      <c r="G66" s="6" t="s">
        <v>290</v>
      </c>
      <c r="H66" s="35">
        <v>109735</v>
      </c>
      <c r="I66" s="6" t="s">
        <v>195</v>
      </c>
      <c r="J66" s="6">
        <v>18</v>
      </c>
      <c r="K66" s="6">
        <v>2028</v>
      </c>
      <c r="L66" s="6">
        <v>2</v>
      </c>
      <c r="M66" s="6" t="s">
        <v>45</v>
      </c>
      <c r="N66" s="6" t="s">
        <v>250</v>
      </c>
      <c r="O66" s="6" t="s">
        <v>165</v>
      </c>
      <c r="P66" s="6" t="s">
        <v>291</v>
      </c>
      <c r="Q66" s="6" t="s">
        <v>162</v>
      </c>
      <c r="R66" s="35">
        <v>1922</v>
      </c>
      <c r="S66" s="6">
        <v>231</v>
      </c>
      <c r="T66" s="36" t="s">
        <v>253</v>
      </c>
      <c r="U66" s="46">
        <f>IF($L66&lt;=2,
IF($R66&lt;=RpmDesignStandard!$C$2,RpmDesignStandard!$D$2,
IF(AND($R66&gt;RpmDesignStandard!$B$3,$R66&lt;=RpmDesignStandard!$C$3),RpmDesignStandard!$D$3,RpmDesignStandard!$D$4)),
IF($R66&lt;=RpmDesignStandard!$C$5, RpmDesignStandard!$D$5,
IF(AND($R66&gt;RpmDesignStandard!$B$6,$R66&lt;=RpmDesignStandard!$C$6),RpmDesignStandard!$D$6,
IF(AND($R66&gt;RpmDesignStandard!$B$7,$R66&lt;=RpmDesignStandard!$C$7),RpmDesignStandard!$D$7,RpmDesignStandard!$D$8))))</f>
        <v>4</v>
      </c>
      <c r="V66" s="47">
        <f>U66*RpmDesignStandard!$H$1</f>
        <v>8</v>
      </c>
      <c r="W66" s="37" t="str">
        <f>VLOOKUP(A66,RPM_ProjectRecord!A:AB,8,FALSE)</f>
        <v/>
      </c>
      <c r="X66" s="38" t="str">
        <f t="shared" si="0"/>
        <v/>
      </c>
      <c r="Y66" s="38" t="str">
        <f t="shared" si="1"/>
        <v/>
      </c>
      <c r="Z66" s="38" t="str">
        <f t="shared" si="2"/>
        <v/>
      </c>
      <c r="AA66" s="38" t="str">
        <f t="shared" si="3"/>
        <v/>
      </c>
      <c r="AB66" s="38" t="str">
        <f t="shared" si="4"/>
        <v/>
      </c>
      <c r="AC66" s="38">
        <f>IF(VLOOKUP(A66,'3rdPhaseChipSeal'!A:L,12,FALSE)="","",VLOOKUP(A66,'3rdPhaseChipSeal'!A:L,12,FALSE))</f>
        <v>2028</v>
      </c>
      <c r="AD66" s="38" t="str">
        <f>IFERROR(IF(VLOOKUP(A66,RpmContracts!A:C,3,FALSE)="","",VLOOKUP(A66,RpmContracts!A:C,3,FALSE)),"")</f>
        <v/>
      </c>
      <c r="AE66" s="7" t="str">
        <f>IF(VLOOKUP(A66,'20yPlan'!A:B,2,FALSE)="","",VLOOKUP(A66,'20yPlan'!A:B,2,FALSE))</f>
        <v/>
      </c>
      <c r="AF66" s="7" t="str">
        <f>IF(VLOOKUP(A66,'20yPlan'!A:C,3,FALSE)="","",VLOOKUP(A66,'20yPlan'!A:C,3,FALSE))</f>
        <v/>
      </c>
      <c r="AG66" s="7" t="str">
        <f>IF(VLOOKUP(A66,'20yPlan'!A:D,4,FALSE)="","",VLOOKUP(A66,'20yPlan'!A:D,4,FALSE))</f>
        <v/>
      </c>
      <c r="AH66" s="7" t="str">
        <f>IF(VLOOKUP(A66,'20yPlan'!A:E,5,FALSE)="","",VLOOKUP(A66,'20yPlan'!A:E,5,FALSE))</f>
        <v/>
      </c>
      <c r="AI66" s="7" t="str">
        <f>IF(VLOOKUP(A66,'20yPlan'!A:F,6,FALSE)="","",VLOOKUP(A66,'20yPlan'!A:F,6,FALSE))</f>
        <v/>
      </c>
      <c r="AJ66" s="7" t="str">
        <f t="shared" si="5"/>
        <v>2028 Chip Seal</v>
      </c>
      <c r="AK66" s="7" t="str">
        <f t="shared" si="6"/>
        <v/>
      </c>
      <c r="AL66" s="39">
        <f t="shared" ca="1" si="7"/>
        <v>2025</v>
      </c>
      <c r="AM66" s="7" t="str">
        <f t="shared" si="8"/>
        <v/>
      </c>
      <c r="AN66" s="7" t="str">
        <f t="shared" si="9"/>
        <v/>
      </c>
    </row>
    <row r="67" spans="1:40">
      <c r="A67" s="6">
        <v>60067</v>
      </c>
      <c r="B67" s="6" t="s">
        <v>288</v>
      </c>
      <c r="C67" s="6" t="s">
        <v>292</v>
      </c>
      <c r="D67" s="6">
        <v>6.0846549999999997</v>
      </c>
      <c r="E67" s="6">
        <v>13.867721</v>
      </c>
      <c r="F67" s="6" t="s">
        <v>293</v>
      </c>
      <c r="G67" s="6" t="s">
        <v>294</v>
      </c>
      <c r="H67" s="35">
        <v>112701</v>
      </c>
      <c r="I67" s="6" t="s">
        <v>195</v>
      </c>
      <c r="J67" s="6">
        <v>20</v>
      </c>
      <c r="K67" s="6">
        <v>2030</v>
      </c>
      <c r="L67" s="6">
        <v>2</v>
      </c>
      <c r="M67" s="6" t="s">
        <v>45</v>
      </c>
      <c r="N67" s="6" t="s">
        <v>250</v>
      </c>
      <c r="O67" s="6" t="s">
        <v>165</v>
      </c>
      <c r="P67" s="6" t="s">
        <v>291</v>
      </c>
      <c r="Q67" s="6" t="s">
        <v>172</v>
      </c>
      <c r="R67" s="6">
        <v>951</v>
      </c>
      <c r="S67" s="6">
        <v>113</v>
      </c>
      <c r="T67" s="36" t="s">
        <v>253</v>
      </c>
      <c r="U67" s="46">
        <f>IF($L67&lt;=2,
IF($R67&lt;=RpmDesignStandard!$C$2,RpmDesignStandard!$D$2,
IF(AND($R67&gt;RpmDesignStandard!$B$3,$R67&lt;=RpmDesignStandard!$C$3),RpmDesignStandard!$D$3,RpmDesignStandard!$D$4)),
IF($R67&lt;=RpmDesignStandard!$C$5, RpmDesignStandard!$D$5,
IF(AND($R67&gt;RpmDesignStandard!$B$6,$R67&lt;=RpmDesignStandard!$C$6),RpmDesignStandard!$D$6,
IF(AND($R67&gt;RpmDesignStandard!$B$7,$R67&lt;=RpmDesignStandard!$C$7),RpmDesignStandard!$D$7,RpmDesignStandard!$D$8))))</f>
        <v>4</v>
      </c>
      <c r="V67" s="47">
        <f>U67*RpmDesignStandard!$H$1</f>
        <v>8</v>
      </c>
      <c r="W67" s="37" t="str">
        <f>VLOOKUP(A67,RPM_ProjectRecord!A:AB,8,FALSE)</f>
        <v/>
      </c>
      <c r="X67" s="38" t="str">
        <f t="shared" ref="X67:X130" si="10">IFERROR(VALUE(LEFT(AE67,4)),"")</f>
        <v/>
      </c>
      <c r="Y67" s="38" t="str">
        <f t="shared" ref="Y67:Y130" si="11">IFERROR(VALUE(LEFT(AF67,4)),"")</f>
        <v/>
      </c>
      <c r="Z67" s="38" t="str">
        <f t="shared" ref="Z67:Z130" si="12">IFERROR(VALUE(LEFT(AG67,4)),"")</f>
        <v/>
      </c>
      <c r="AA67" s="38" t="str">
        <f t="shared" ref="AA67:AA130" si="13">IFERROR(VALUE(LEFT(AH67,4)),"")</f>
        <v/>
      </c>
      <c r="AB67" s="38" t="str">
        <f t="shared" ref="AB67:AB130" si="14">IFERROR(VALUE(LEFT(AI67,4)),"")</f>
        <v/>
      </c>
      <c r="AC67" s="38">
        <f>IF(VLOOKUP(A67,'3rdPhaseChipSeal'!A:L,12,FALSE)="","",VLOOKUP(A67,'3rdPhaseChipSeal'!A:L,12,FALSE))</f>
        <v>2037</v>
      </c>
      <c r="AD67" s="38" t="str">
        <f>IFERROR(IF(VLOOKUP(A67,RpmContracts!A:C,3,FALSE)="","",VLOOKUP(A67,RpmContracts!A:C,3,FALSE)),"")</f>
        <v/>
      </c>
      <c r="AE67" s="7" t="str">
        <f>IF(VLOOKUP(A67,'20yPlan'!A:B,2,FALSE)="","",VLOOKUP(A67,'20yPlan'!A:B,2,FALSE))</f>
        <v/>
      </c>
      <c r="AF67" s="7" t="str">
        <f>IF(VLOOKUP(A67,'20yPlan'!A:C,3,FALSE)="","",VLOOKUP(A67,'20yPlan'!A:C,3,FALSE))</f>
        <v/>
      </c>
      <c r="AG67" s="7" t="str">
        <f>IF(VLOOKUP(A67,'20yPlan'!A:D,4,FALSE)="","",VLOOKUP(A67,'20yPlan'!A:D,4,FALSE))</f>
        <v/>
      </c>
      <c r="AH67" s="7" t="str">
        <f>IF(VLOOKUP(A67,'20yPlan'!A:E,5,FALSE)="","",VLOOKUP(A67,'20yPlan'!A:E,5,FALSE))</f>
        <v/>
      </c>
      <c r="AI67" s="7" t="str">
        <f>IF(VLOOKUP(A67,'20yPlan'!A:F,6,FALSE)="","",VLOOKUP(A67,'20yPlan'!A:F,6,FALSE))</f>
        <v/>
      </c>
      <c r="AJ67" s="7" t="str">
        <f t="shared" ref="AJ67:AJ130" si="15">IF(AC67="","",_xlfn.CONCAT(AC67," ","Chip Seal"))</f>
        <v>2037 Chip Seal</v>
      </c>
      <c r="AK67" s="7" t="str">
        <f t="shared" ref="AK67:AK130" si="16">IF(AD67="","",_xlfn.CONCAT(AD67," ","RPM Replacement"))</f>
        <v/>
      </c>
      <c r="AL67" s="39">
        <f t="shared" ref="AL67:AL130" ca="1" si="17">IFERROR(U67+W67,YEAR(TODAY()))</f>
        <v>2025</v>
      </c>
      <c r="AM67" s="7" t="str">
        <f t="shared" ref="AM67:AM130" si="18">IF(W67="",AD67,IF(AND(MIN(X67:AD67)&lt;=(W67+V67),MIN(X67:AD67)&gt;W67),MIN(X67:AD67),""))</f>
        <v/>
      </c>
      <c r="AN67" s="7" t="str">
        <f t="shared" ref="AN67:AN130" si="19">IF(AM67=X67,AE67,IF(AM67=Y67,AF67,IF(AM67=AC67,AJ67,AK67)))</f>
        <v/>
      </c>
    </row>
    <row r="68" spans="1:40">
      <c r="A68" s="6">
        <v>60068</v>
      </c>
      <c r="B68" s="6" t="s">
        <v>295</v>
      </c>
      <c r="C68" s="6" t="s">
        <v>296</v>
      </c>
      <c r="D68" s="6">
        <v>0</v>
      </c>
      <c r="E68" s="6">
        <v>8.2129150000000006</v>
      </c>
      <c r="F68" s="6" t="s">
        <v>297</v>
      </c>
      <c r="G68" s="6" t="s">
        <v>298</v>
      </c>
      <c r="H68" s="35">
        <v>164674</v>
      </c>
      <c r="I68" s="6" t="s">
        <v>44</v>
      </c>
      <c r="J68" s="6">
        <v>13</v>
      </c>
      <c r="K68" s="6"/>
      <c r="L68" s="6">
        <v>2</v>
      </c>
      <c r="M68" s="6" t="s">
        <v>45</v>
      </c>
      <c r="N68" s="6" t="s">
        <v>250</v>
      </c>
      <c r="O68" s="6" t="s">
        <v>79</v>
      </c>
      <c r="P68" s="6" t="s">
        <v>210</v>
      </c>
      <c r="Q68" s="6" t="s">
        <v>81</v>
      </c>
      <c r="R68" s="35">
        <v>7932</v>
      </c>
      <c r="S68" s="35">
        <v>1051</v>
      </c>
      <c r="T68" s="36" t="s">
        <v>50</v>
      </c>
      <c r="U68" s="46">
        <f>IF($L68&lt;=2,
IF($R68&lt;=RpmDesignStandard!$C$2,RpmDesignStandard!$D$2,
IF(AND($R68&gt;RpmDesignStandard!$B$3,$R68&lt;=RpmDesignStandard!$C$3),RpmDesignStandard!$D$3,RpmDesignStandard!$D$4)),
IF($R68&lt;=RpmDesignStandard!$C$5, RpmDesignStandard!$D$5,
IF(AND($R68&gt;RpmDesignStandard!$B$6,$R68&lt;=RpmDesignStandard!$C$6),RpmDesignStandard!$D$6,
IF(AND($R68&gt;RpmDesignStandard!$B$7,$R68&lt;=RpmDesignStandard!$C$7),RpmDesignStandard!$D$7,RpmDesignStandard!$D$8))))</f>
        <v>3</v>
      </c>
      <c r="V68" s="47">
        <f>U68*RpmDesignStandard!$H$1</f>
        <v>6</v>
      </c>
      <c r="W68" s="37" t="str">
        <f>VLOOKUP(A68,RPM_ProjectRecord!A:AB,8,FALSE)</f>
        <v/>
      </c>
      <c r="X68" s="38" t="str">
        <f t="shared" si="10"/>
        <v/>
      </c>
      <c r="Y68" s="38" t="str">
        <f t="shared" si="11"/>
        <v/>
      </c>
      <c r="Z68" s="38" t="str">
        <f t="shared" si="12"/>
        <v/>
      </c>
      <c r="AA68" s="38" t="str">
        <f t="shared" si="13"/>
        <v/>
      </c>
      <c r="AB68" s="38" t="str">
        <f t="shared" si="14"/>
        <v/>
      </c>
      <c r="AC68" s="38" t="str">
        <f>IF(VLOOKUP(A68,'3rdPhaseChipSeal'!A:L,12,FALSE)="","",VLOOKUP(A68,'3rdPhaseChipSeal'!A:L,12,FALSE))</f>
        <v/>
      </c>
      <c r="AD68" s="38">
        <f>IFERROR(IF(VLOOKUP(A68,RpmContracts!A:C,3,FALSE)="","",VLOOKUP(A68,RpmContracts!A:C,3,FALSE)),"")</f>
        <v>2026</v>
      </c>
      <c r="AE68" s="7" t="str">
        <f>IF(VLOOKUP(A68,'20yPlan'!A:B,2,FALSE)="","",VLOOKUP(A68,'20yPlan'!A:B,2,FALSE))</f>
        <v/>
      </c>
      <c r="AF68" s="7" t="str">
        <f>IF(VLOOKUP(A68,'20yPlan'!A:C,3,FALSE)="","",VLOOKUP(A68,'20yPlan'!A:C,3,FALSE))</f>
        <v/>
      </c>
      <c r="AG68" s="7" t="str">
        <f>IF(VLOOKUP(A68,'20yPlan'!A:D,4,FALSE)="","",VLOOKUP(A68,'20yPlan'!A:D,4,FALSE))</f>
        <v/>
      </c>
      <c r="AH68" s="7" t="str">
        <f>IF(VLOOKUP(A68,'20yPlan'!A:E,5,FALSE)="","",VLOOKUP(A68,'20yPlan'!A:E,5,FALSE))</f>
        <v/>
      </c>
      <c r="AI68" s="7" t="str">
        <f>IF(VLOOKUP(A68,'20yPlan'!A:F,6,FALSE)="","",VLOOKUP(A68,'20yPlan'!A:F,6,FALSE))</f>
        <v/>
      </c>
      <c r="AJ68" s="7" t="str">
        <f t="shared" si="15"/>
        <v/>
      </c>
      <c r="AK68" s="7" t="str">
        <f t="shared" si="16"/>
        <v>2026 RPM Replacement</v>
      </c>
      <c r="AL68" s="39">
        <f t="shared" ca="1" si="17"/>
        <v>2025</v>
      </c>
      <c r="AM68" s="7">
        <f t="shared" si="18"/>
        <v>2026</v>
      </c>
      <c r="AN68" s="7" t="str">
        <f t="shared" si="19"/>
        <v>2026 RPM Replacement</v>
      </c>
    </row>
    <row r="69" spans="1:40">
      <c r="A69" s="6">
        <v>60069</v>
      </c>
      <c r="B69" s="6" t="s">
        <v>295</v>
      </c>
      <c r="C69" s="6" t="s">
        <v>299</v>
      </c>
      <c r="D69" s="6">
        <v>8.2139150000000001</v>
      </c>
      <c r="E69" s="6">
        <v>18.693114999999999</v>
      </c>
      <c r="F69" s="6" t="s">
        <v>300</v>
      </c>
      <c r="G69" s="6" t="s">
        <v>301</v>
      </c>
      <c r="H69" s="35">
        <v>174876</v>
      </c>
      <c r="I69" s="6" t="s">
        <v>195</v>
      </c>
      <c r="J69" s="6">
        <v>21</v>
      </c>
      <c r="K69" s="6">
        <v>2026</v>
      </c>
      <c r="L69" s="6">
        <v>2</v>
      </c>
      <c r="M69" s="6" t="s">
        <v>45</v>
      </c>
      <c r="N69" s="6" t="s">
        <v>250</v>
      </c>
      <c r="O69" s="6" t="s">
        <v>302</v>
      </c>
      <c r="P69" s="6" t="s">
        <v>303</v>
      </c>
      <c r="Q69" s="6" t="s">
        <v>81</v>
      </c>
      <c r="R69" s="6">
        <v>942</v>
      </c>
      <c r="S69" s="6">
        <v>54</v>
      </c>
      <c r="T69" s="36" t="s">
        <v>304</v>
      </c>
      <c r="U69" s="46">
        <f>IF($L69&lt;=2,
IF($R69&lt;=RpmDesignStandard!$C$2,RpmDesignStandard!$D$2,
IF(AND($R69&gt;RpmDesignStandard!$B$3,$R69&lt;=RpmDesignStandard!$C$3),RpmDesignStandard!$D$3,RpmDesignStandard!$D$4)),
IF($R69&lt;=RpmDesignStandard!$C$5, RpmDesignStandard!$D$5,
IF(AND($R69&gt;RpmDesignStandard!$B$6,$R69&lt;=RpmDesignStandard!$C$6),RpmDesignStandard!$D$6,
IF(AND($R69&gt;RpmDesignStandard!$B$7,$R69&lt;=RpmDesignStandard!$C$7),RpmDesignStandard!$D$7,RpmDesignStandard!$D$8))))</f>
        <v>4</v>
      </c>
      <c r="V69" s="47">
        <f>U69*RpmDesignStandard!$H$1</f>
        <v>8</v>
      </c>
      <c r="W69" s="37" t="str">
        <f>VLOOKUP(A69,RPM_ProjectRecord!A:AB,8,FALSE)</f>
        <v/>
      </c>
      <c r="X69" s="38">
        <f t="shared" si="10"/>
        <v>2040</v>
      </c>
      <c r="Y69" s="38" t="str">
        <f t="shared" si="11"/>
        <v/>
      </c>
      <c r="Z69" s="38" t="str">
        <f t="shared" si="12"/>
        <v/>
      </c>
      <c r="AA69" s="38" t="str">
        <f t="shared" si="13"/>
        <v/>
      </c>
      <c r="AB69" s="38" t="str">
        <f t="shared" si="14"/>
        <v/>
      </c>
      <c r="AC69" s="38">
        <f>IF(VLOOKUP(A69,'3rdPhaseChipSeal'!A:L,12,FALSE)="","",VLOOKUP(A69,'3rdPhaseChipSeal'!A:L,12,FALSE))</f>
        <v>2032</v>
      </c>
      <c r="AD69" s="38" t="str">
        <f>IFERROR(IF(VLOOKUP(A69,RpmContracts!A:C,3,FALSE)="","",VLOOKUP(A69,RpmContracts!A:C,3,FALSE)),"")</f>
        <v/>
      </c>
      <c r="AE69" s="7" t="str">
        <f>IF(VLOOKUP(A69,'20yPlan'!A:B,2,FALSE)="","",VLOOKUP(A69,'20yPlan'!A:B,2,FALSE))</f>
        <v>2040 Preventive Maintenance</v>
      </c>
      <c r="AF69" s="7" t="str">
        <f>IF(VLOOKUP(A69,'20yPlan'!A:C,3,FALSE)="","",VLOOKUP(A69,'20yPlan'!A:C,3,FALSE))</f>
        <v/>
      </c>
      <c r="AG69" s="7" t="str">
        <f>IF(VLOOKUP(A69,'20yPlan'!A:D,4,FALSE)="","",VLOOKUP(A69,'20yPlan'!A:D,4,FALSE))</f>
        <v/>
      </c>
      <c r="AH69" s="7" t="str">
        <f>IF(VLOOKUP(A69,'20yPlan'!A:E,5,FALSE)="","",VLOOKUP(A69,'20yPlan'!A:E,5,FALSE))</f>
        <v/>
      </c>
      <c r="AI69" s="7" t="str">
        <f>IF(VLOOKUP(A69,'20yPlan'!A:F,6,FALSE)="","",VLOOKUP(A69,'20yPlan'!A:F,6,FALSE))</f>
        <v/>
      </c>
      <c r="AJ69" s="7" t="str">
        <f t="shared" si="15"/>
        <v>2032 Chip Seal</v>
      </c>
      <c r="AK69" s="7" t="str">
        <f t="shared" si="16"/>
        <v/>
      </c>
      <c r="AL69" s="39">
        <f t="shared" ca="1" si="17"/>
        <v>2025</v>
      </c>
      <c r="AM69" s="7" t="str">
        <f t="shared" si="18"/>
        <v/>
      </c>
      <c r="AN69" s="7" t="str">
        <f t="shared" si="19"/>
        <v/>
      </c>
    </row>
    <row r="70" spans="1:40">
      <c r="A70" s="6">
        <v>60070</v>
      </c>
      <c r="B70" s="6" t="s">
        <v>295</v>
      </c>
      <c r="C70" s="6" t="s">
        <v>305</v>
      </c>
      <c r="D70" s="6">
        <v>18.694115</v>
      </c>
      <c r="E70" s="6">
        <v>30.074002</v>
      </c>
      <c r="F70" s="6" t="s">
        <v>306</v>
      </c>
      <c r="G70" s="6" t="s">
        <v>307</v>
      </c>
      <c r="H70" s="35">
        <v>179709</v>
      </c>
      <c r="I70" s="6" t="s">
        <v>195</v>
      </c>
      <c r="J70" s="6">
        <v>2</v>
      </c>
      <c r="K70" s="6">
        <v>2029</v>
      </c>
      <c r="L70" s="6">
        <v>2</v>
      </c>
      <c r="M70" s="6" t="s">
        <v>45</v>
      </c>
      <c r="N70" s="6" t="s">
        <v>250</v>
      </c>
      <c r="O70" s="6" t="s">
        <v>79</v>
      </c>
      <c r="P70" s="6" t="s">
        <v>210</v>
      </c>
      <c r="Q70" s="6" t="s">
        <v>81</v>
      </c>
      <c r="R70" s="6">
        <v>432</v>
      </c>
      <c r="S70" s="6">
        <v>26</v>
      </c>
      <c r="T70" s="36" t="s">
        <v>253</v>
      </c>
      <c r="U70" s="46">
        <f>IF($L70&lt;=2,
IF($R70&lt;=RpmDesignStandard!$C$2,RpmDesignStandard!$D$2,
IF(AND($R70&gt;RpmDesignStandard!$B$3,$R70&lt;=RpmDesignStandard!$C$3),RpmDesignStandard!$D$3,RpmDesignStandard!$D$4)),
IF($R70&lt;=RpmDesignStandard!$C$5, RpmDesignStandard!$D$5,
IF(AND($R70&gt;RpmDesignStandard!$B$6,$R70&lt;=RpmDesignStandard!$C$6),RpmDesignStandard!$D$6,
IF(AND($R70&gt;RpmDesignStandard!$B$7,$R70&lt;=RpmDesignStandard!$C$7),RpmDesignStandard!$D$7,RpmDesignStandard!$D$8))))</f>
        <v>4</v>
      </c>
      <c r="V70" s="47">
        <f>U70*RpmDesignStandard!$H$1</f>
        <v>8</v>
      </c>
      <c r="W70" s="37">
        <f>VLOOKUP(A70,RPM_ProjectRecord!A:AB,8,FALSE)</f>
        <v>2021</v>
      </c>
      <c r="X70" s="38" t="str">
        <f t="shared" si="10"/>
        <v/>
      </c>
      <c r="Y70" s="38" t="str">
        <f t="shared" si="11"/>
        <v/>
      </c>
      <c r="Z70" s="38" t="str">
        <f t="shared" si="12"/>
        <v/>
      </c>
      <c r="AA70" s="38" t="str">
        <f t="shared" si="13"/>
        <v/>
      </c>
      <c r="AB70" s="38" t="str">
        <f t="shared" si="14"/>
        <v/>
      </c>
      <c r="AC70" s="38">
        <f>IF(VLOOKUP(A70,'3rdPhaseChipSeal'!A:L,12,FALSE)="","",VLOOKUP(A70,'3rdPhaseChipSeal'!A:L,12,FALSE))</f>
        <v>2043</v>
      </c>
      <c r="AD70" s="38">
        <f>IFERROR(IF(VLOOKUP(A70,RpmContracts!A:C,3,FALSE)="","",VLOOKUP(A70,RpmContracts!A:C,3,FALSE)),"")</f>
        <v>2026</v>
      </c>
      <c r="AE70" s="7" t="str">
        <f>IF(VLOOKUP(A70,'20yPlan'!A:B,2,FALSE)="","",VLOOKUP(A70,'20yPlan'!A:B,2,FALSE))</f>
        <v/>
      </c>
      <c r="AF70" s="7" t="str">
        <f>IF(VLOOKUP(A70,'20yPlan'!A:C,3,FALSE)="","",VLOOKUP(A70,'20yPlan'!A:C,3,FALSE))</f>
        <v/>
      </c>
      <c r="AG70" s="7" t="str">
        <f>IF(VLOOKUP(A70,'20yPlan'!A:D,4,FALSE)="","",VLOOKUP(A70,'20yPlan'!A:D,4,FALSE))</f>
        <v/>
      </c>
      <c r="AH70" s="7" t="str">
        <f>IF(VLOOKUP(A70,'20yPlan'!A:E,5,FALSE)="","",VLOOKUP(A70,'20yPlan'!A:E,5,FALSE))</f>
        <v/>
      </c>
      <c r="AI70" s="7" t="str">
        <f>IF(VLOOKUP(A70,'20yPlan'!A:F,6,FALSE)="","",VLOOKUP(A70,'20yPlan'!A:F,6,FALSE))</f>
        <v/>
      </c>
      <c r="AJ70" s="7" t="str">
        <f t="shared" si="15"/>
        <v>2043 Chip Seal</v>
      </c>
      <c r="AK70" s="7" t="str">
        <f t="shared" si="16"/>
        <v>2026 RPM Replacement</v>
      </c>
      <c r="AL70" s="39">
        <f t="shared" ca="1" si="17"/>
        <v>2025</v>
      </c>
      <c r="AM70" s="7">
        <f t="shared" si="18"/>
        <v>2026</v>
      </c>
      <c r="AN70" s="7" t="str">
        <f t="shared" si="19"/>
        <v>2026 RPM Replacement</v>
      </c>
    </row>
    <row r="71" spans="1:40">
      <c r="A71" s="6">
        <v>60071</v>
      </c>
      <c r="B71" s="6" t="s">
        <v>295</v>
      </c>
      <c r="C71" s="6" t="s">
        <v>308</v>
      </c>
      <c r="D71" s="6">
        <v>30.075002000000001</v>
      </c>
      <c r="E71" s="6">
        <v>34.121599000000003</v>
      </c>
      <c r="F71" s="6" t="s">
        <v>309</v>
      </c>
      <c r="G71" s="6" t="s">
        <v>310</v>
      </c>
      <c r="H71" s="35">
        <v>102507</v>
      </c>
      <c r="I71" s="6" t="s">
        <v>195</v>
      </c>
      <c r="J71" s="6">
        <v>6</v>
      </c>
      <c r="K71" s="6"/>
      <c r="L71" s="6">
        <v>2</v>
      </c>
      <c r="M71" s="6" t="s">
        <v>111</v>
      </c>
      <c r="N71" s="6" t="s">
        <v>250</v>
      </c>
      <c r="O71" s="6" t="s">
        <v>79</v>
      </c>
      <c r="P71" s="6" t="s">
        <v>80</v>
      </c>
      <c r="Q71" s="6" t="s">
        <v>311</v>
      </c>
      <c r="R71" s="35">
        <v>2678</v>
      </c>
      <c r="S71" s="6">
        <v>352</v>
      </c>
      <c r="T71" s="36" t="s">
        <v>253</v>
      </c>
      <c r="U71" s="46">
        <f>IF($L71&lt;=2,
IF($R71&lt;=RpmDesignStandard!$C$2,RpmDesignStandard!$D$2,
IF(AND($R71&gt;RpmDesignStandard!$B$3,$R71&lt;=RpmDesignStandard!$C$3),RpmDesignStandard!$D$3,RpmDesignStandard!$D$4)),
IF($R71&lt;=RpmDesignStandard!$C$5, RpmDesignStandard!$D$5,
IF(AND($R71&gt;RpmDesignStandard!$B$6,$R71&lt;=RpmDesignStandard!$C$6),RpmDesignStandard!$D$6,
IF(AND($R71&gt;RpmDesignStandard!$B$7,$R71&lt;=RpmDesignStandard!$C$7),RpmDesignStandard!$D$7,RpmDesignStandard!$D$8))))</f>
        <v>4</v>
      </c>
      <c r="V71" s="47">
        <f>U71*RpmDesignStandard!$H$1</f>
        <v>8</v>
      </c>
      <c r="W71" s="37" t="str">
        <f>VLOOKUP(A71,RPM_ProjectRecord!A:AB,8,FALSE)</f>
        <v/>
      </c>
      <c r="X71" s="38" t="str">
        <f t="shared" si="10"/>
        <v/>
      </c>
      <c r="Y71" s="38" t="str">
        <f t="shared" si="11"/>
        <v/>
      </c>
      <c r="Z71" s="38" t="str">
        <f t="shared" si="12"/>
        <v/>
      </c>
      <c r="AA71" s="38" t="str">
        <f t="shared" si="13"/>
        <v/>
      </c>
      <c r="AB71" s="38" t="str">
        <f t="shared" si="14"/>
        <v/>
      </c>
      <c r="AC71" s="38" t="str">
        <f>IF(VLOOKUP(A71,'3rdPhaseChipSeal'!A:L,12,FALSE)="","",VLOOKUP(A71,'3rdPhaseChipSeal'!A:L,12,FALSE))</f>
        <v/>
      </c>
      <c r="AD71" s="38" t="str">
        <f>IFERROR(IF(VLOOKUP(A71,RpmContracts!A:C,3,FALSE)="","",VLOOKUP(A71,RpmContracts!A:C,3,FALSE)),"")</f>
        <v/>
      </c>
      <c r="AE71" s="7" t="str">
        <f>IF(VLOOKUP(A71,'20yPlan'!A:B,2,FALSE)="","",VLOOKUP(A71,'20yPlan'!A:B,2,FALSE))</f>
        <v/>
      </c>
      <c r="AF71" s="7" t="str">
        <f>IF(VLOOKUP(A71,'20yPlan'!A:C,3,FALSE)="","",VLOOKUP(A71,'20yPlan'!A:C,3,FALSE))</f>
        <v/>
      </c>
      <c r="AG71" s="7" t="str">
        <f>IF(VLOOKUP(A71,'20yPlan'!A:D,4,FALSE)="","",VLOOKUP(A71,'20yPlan'!A:D,4,FALSE))</f>
        <v/>
      </c>
      <c r="AH71" s="7" t="str">
        <f>IF(VLOOKUP(A71,'20yPlan'!A:E,5,FALSE)="","",VLOOKUP(A71,'20yPlan'!A:E,5,FALSE))</f>
        <v/>
      </c>
      <c r="AI71" s="7" t="str">
        <f>IF(VLOOKUP(A71,'20yPlan'!A:F,6,FALSE)="","",VLOOKUP(A71,'20yPlan'!A:F,6,FALSE))</f>
        <v/>
      </c>
      <c r="AJ71" s="7" t="str">
        <f t="shared" si="15"/>
        <v/>
      </c>
      <c r="AK71" s="7" t="str">
        <f t="shared" si="16"/>
        <v/>
      </c>
      <c r="AL71" s="39">
        <f t="shared" ca="1" si="17"/>
        <v>2025</v>
      </c>
      <c r="AM71" s="7" t="str">
        <f t="shared" si="18"/>
        <v/>
      </c>
      <c r="AN71" s="7" t="str">
        <f t="shared" si="19"/>
        <v/>
      </c>
    </row>
    <row r="72" spans="1:40">
      <c r="A72" s="6">
        <v>60072</v>
      </c>
      <c r="B72" s="6" t="s">
        <v>295</v>
      </c>
      <c r="C72" s="6" t="s">
        <v>312</v>
      </c>
      <c r="D72" s="6">
        <v>34.121599000000003</v>
      </c>
      <c r="E72" s="6">
        <v>37.809517</v>
      </c>
      <c r="F72" s="6" t="s">
        <v>310</v>
      </c>
      <c r="G72" s="6" t="s">
        <v>313</v>
      </c>
      <c r="H72" s="35">
        <v>73263</v>
      </c>
      <c r="I72" s="6" t="s">
        <v>195</v>
      </c>
      <c r="J72" s="6">
        <v>13</v>
      </c>
      <c r="K72" s="6"/>
      <c r="L72" s="6">
        <v>2</v>
      </c>
      <c r="M72" s="6" t="s">
        <v>111</v>
      </c>
      <c r="N72" s="6" t="s">
        <v>250</v>
      </c>
      <c r="O72" s="6" t="s">
        <v>79</v>
      </c>
      <c r="P72" s="6" t="s">
        <v>314</v>
      </c>
      <c r="Q72" s="6" t="s">
        <v>217</v>
      </c>
      <c r="R72" s="35">
        <v>4014</v>
      </c>
      <c r="S72" s="6">
        <v>434</v>
      </c>
      <c r="T72" s="36" t="s">
        <v>253</v>
      </c>
      <c r="U72" s="46">
        <f>IF($L72&lt;=2,
IF($R72&lt;=RpmDesignStandard!$C$2,RpmDesignStandard!$D$2,
IF(AND($R72&gt;RpmDesignStandard!$B$3,$R72&lt;=RpmDesignStandard!$C$3),RpmDesignStandard!$D$3,RpmDesignStandard!$D$4)),
IF($R72&lt;=RpmDesignStandard!$C$5, RpmDesignStandard!$D$5,
IF(AND($R72&gt;RpmDesignStandard!$B$6,$R72&lt;=RpmDesignStandard!$C$6),RpmDesignStandard!$D$6,
IF(AND($R72&gt;RpmDesignStandard!$B$7,$R72&lt;=RpmDesignStandard!$C$7),RpmDesignStandard!$D$7,RpmDesignStandard!$D$8))))</f>
        <v>4</v>
      </c>
      <c r="V72" s="47">
        <f>U72*RpmDesignStandard!$H$1</f>
        <v>8</v>
      </c>
      <c r="W72" s="37">
        <f>VLOOKUP(A72,RPM_ProjectRecord!A:AB,8,FALSE)</f>
        <v>2025</v>
      </c>
      <c r="X72" s="38" t="str">
        <f t="shared" si="10"/>
        <v/>
      </c>
      <c r="Y72" s="38" t="str">
        <f t="shared" si="11"/>
        <v/>
      </c>
      <c r="Z72" s="38" t="str">
        <f t="shared" si="12"/>
        <v/>
      </c>
      <c r="AA72" s="38" t="str">
        <f t="shared" si="13"/>
        <v/>
      </c>
      <c r="AB72" s="38" t="str">
        <f t="shared" si="14"/>
        <v/>
      </c>
      <c r="AC72" s="38" t="str">
        <f>IF(VLOOKUP(A72,'3rdPhaseChipSeal'!A:L,12,FALSE)="","",VLOOKUP(A72,'3rdPhaseChipSeal'!A:L,12,FALSE))</f>
        <v/>
      </c>
      <c r="AD72" s="38" t="str">
        <f>IFERROR(IF(VLOOKUP(A72,RpmContracts!A:C,3,FALSE)="","",VLOOKUP(A72,RpmContracts!A:C,3,FALSE)),"")</f>
        <v/>
      </c>
      <c r="AE72" s="7" t="str">
        <f>IF(VLOOKUP(A72,'20yPlan'!A:B,2,FALSE)="","",VLOOKUP(A72,'20yPlan'!A:B,2,FALSE))</f>
        <v/>
      </c>
      <c r="AF72" s="7" t="str">
        <f>IF(VLOOKUP(A72,'20yPlan'!A:C,3,FALSE)="","",VLOOKUP(A72,'20yPlan'!A:C,3,FALSE))</f>
        <v/>
      </c>
      <c r="AG72" s="7" t="str">
        <f>IF(VLOOKUP(A72,'20yPlan'!A:D,4,FALSE)="","",VLOOKUP(A72,'20yPlan'!A:D,4,FALSE))</f>
        <v/>
      </c>
      <c r="AH72" s="7" t="str">
        <f>IF(VLOOKUP(A72,'20yPlan'!A:E,5,FALSE)="","",VLOOKUP(A72,'20yPlan'!A:E,5,FALSE))</f>
        <v/>
      </c>
      <c r="AI72" s="7" t="str">
        <f>IF(VLOOKUP(A72,'20yPlan'!A:F,6,FALSE)="","",VLOOKUP(A72,'20yPlan'!A:F,6,FALSE))</f>
        <v/>
      </c>
      <c r="AJ72" s="7" t="str">
        <f t="shared" si="15"/>
        <v/>
      </c>
      <c r="AK72" s="7" t="str">
        <f t="shared" si="16"/>
        <v/>
      </c>
      <c r="AL72" s="39">
        <f t="shared" ca="1" si="17"/>
        <v>2029</v>
      </c>
      <c r="AM72" s="7" t="str">
        <f t="shared" si="18"/>
        <v/>
      </c>
      <c r="AN72" s="7" t="str">
        <f t="shared" si="19"/>
        <v/>
      </c>
    </row>
    <row r="73" spans="1:40">
      <c r="A73" s="6">
        <v>60073</v>
      </c>
      <c r="B73" s="6" t="s">
        <v>315</v>
      </c>
      <c r="C73" s="6" t="s">
        <v>316</v>
      </c>
      <c r="D73" s="6">
        <v>0</v>
      </c>
      <c r="E73" s="6">
        <v>6.8019109999999996</v>
      </c>
      <c r="F73" s="6" t="s">
        <v>53</v>
      </c>
      <c r="G73" s="6" t="s">
        <v>317</v>
      </c>
      <c r="H73" s="35">
        <v>144294</v>
      </c>
      <c r="I73" s="6" t="s">
        <v>195</v>
      </c>
      <c r="J73" s="6">
        <v>15</v>
      </c>
      <c r="K73" s="6">
        <v>2027</v>
      </c>
      <c r="L73" s="6">
        <v>2</v>
      </c>
      <c r="M73" s="6" t="s">
        <v>45</v>
      </c>
      <c r="N73" s="6" t="s">
        <v>250</v>
      </c>
      <c r="O73" s="6" t="s">
        <v>79</v>
      </c>
      <c r="P73" s="6" t="s">
        <v>80</v>
      </c>
      <c r="Q73" s="6" t="s">
        <v>81</v>
      </c>
      <c r="R73" s="35">
        <v>2899</v>
      </c>
      <c r="S73" s="6">
        <v>226</v>
      </c>
      <c r="T73" s="36" t="s">
        <v>253</v>
      </c>
      <c r="U73" s="46">
        <f>IF($L73&lt;=2,
IF($R73&lt;=RpmDesignStandard!$C$2,RpmDesignStandard!$D$2,
IF(AND($R73&gt;RpmDesignStandard!$B$3,$R73&lt;=RpmDesignStandard!$C$3),RpmDesignStandard!$D$3,RpmDesignStandard!$D$4)),
IF($R73&lt;=RpmDesignStandard!$C$5, RpmDesignStandard!$D$5,
IF(AND($R73&gt;RpmDesignStandard!$B$6,$R73&lt;=RpmDesignStandard!$C$6),RpmDesignStandard!$D$6,
IF(AND($R73&gt;RpmDesignStandard!$B$7,$R73&lt;=RpmDesignStandard!$C$7),RpmDesignStandard!$D$7,RpmDesignStandard!$D$8))))</f>
        <v>4</v>
      </c>
      <c r="V73" s="47">
        <f>U73*RpmDesignStandard!$H$1</f>
        <v>8</v>
      </c>
      <c r="W73" s="37" t="str">
        <f>VLOOKUP(A73,RPM_ProjectRecord!A:AB,8,FALSE)</f>
        <v/>
      </c>
      <c r="X73" s="38">
        <f t="shared" si="10"/>
        <v>2033</v>
      </c>
      <c r="Y73" s="38" t="str">
        <f t="shared" si="11"/>
        <v/>
      </c>
      <c r="Z73" s="38" t="str">
        <f t="shared" si="12"/>
        <v/>
      </c>
      <c r="AA73" s="38" t="str">
        <f t="shared" si="13"/>
        <v/>
      </c>
      <c r="AB73" s="38" t="str">
        <f t="shared" si="14"/>
        <v/>
      </c>
      <c r="AC73" s="38">
        <f>IF(VLOOKUP(A73,'3rdPhaseChipSeal'!A:L,12,FALSE)="","",VLOOKUP(A73,'3rdPhaseChipSeal'!A:L,12,FALSE))</f>
        <v>2034</v>
      </c>
      <c r="AD73" s="38" t="str">
        <f>IFERROR(IF(VLOOKUP(A73,RpmContracts!A:C,3,FALSE)="","",VLOOKUP(A73,RpmContracts!A:C,3,FALSE)),"")</f>
        <v/>
      </c>
      <c r="AE73" s="7" t="str">
        <f>IF(VLOOKUP(A73,'20yPlan'!A:B,2,FALSE)="","",VLOOKUP(A73,'20yPlan'!A:B,2,FALSE))</f>
        <v>2033 Preventive Maintenance</v>
      </c>
      <c r="AF73" s="7" t="str">
        <f>IF(VLOOKUP(A73,'20yPlan'!A:C,3,FALSE)="","",VLOOKUP(A73,'20yPlan'!A:C,3,FALSE))</f>
        <v/>
      </c>
      <c r="AG73" s="7" t="str">
        <f>IF(VLOOKUP(A73,'20yPlan'!A:D,4,FALSE)="","",VLOOKUP(A73,'20yPlan'!A:D,4,FALSE))</f>
        <v/>
      </c>
      <c r="AH73" s="7" t="str">
        <f>IF(VLOOKUP(A73,'20yPlan'!A:E,5,FALSE)="","",VLOOKUP(A73,'20yPlan'!A:E,5,FALSE))</f>
        <v/>
      </c>
      <c r="AI73" s="7" t="str">
        <f>IF(VLOOKUP(A73,'20yPlan'!A:F,6,FALSE)="","",VLOOKUP(A73,'20yPlan'!A:F,6,FALSE))</f>
        <v/>
      </c>
      <c r="AJ73" s="7" t="str">
        <f t="shared" si="15"/>
        <v>2034 Chip Seal</v>
      </c>
      <c r="AK73" s="7" t="str">
        <f t="shared" si="16"/>
        <v/>
      </c>
      <c r="AL73" s="39">
        <f t="shared" ca="1" si="17"/>
        <v>2025</v>
      </c>
      <c r="AM73" s="7" t="str">
        <f t="shared" si="18"/>
        <v/>
      </c>
      <c r="AN73" s="7" t="str">
        <f t="shared" si="19"/>
        <v/>
      </c>
    </row>
    <row r="74" spans="1:40">
      <c r="A74" s="6">
        <v>60074</v>
      </c>
      <c r="B74" s="6" t="s">
        <v>315</v>
      </c>
      <c r="C74" s="6" t="s">
        <v>318</v>
      </c>
      <c r="D74" s="6">
        <v>6.8019109999999996</v>
      </c>
      <c r="E74" s="6">
        <v>13.708532999999999</v>
      </c>
      <c r="F74" s="6" t="s">
        <v>317</v>
      </c>
      <c r="G74" s="6" t="s">
        <v>319</v>
      </c>
      <c r="H74" s="35">
        <v>193351</v>
      </c>
      <c r="I74" s="6" t="s">
        <v>195</v>
      </c>
      <c r="J74" s="6">
        <v>2</v>
      </c>
      <c r="K74" s="6">
        <v>2029</v>
      </c>
      <c r="L74" s="6">
        <v>2</v>
      </c>
      <c r="M74" s="6" t="s">
        <v>45</v>
      </c>
      <c r="N74" s="6" t="s">
        <v>250</v>
      </c>
      <c r="O74" s="6" t="s">
        <v>79</v>
      </c>
      <c r="P74" s="6" t="s">
        <v>320</v>
      </c>
      <c r="Q74" s="6" t="s">
        <v>321</v>
      </c>
      <c r="R74" s="35">
        <v>3864</v>
      </c>
      <c r="S74" s="6">
        <v>350</v>
      </c>
      <c r="T74" s="36" t="s">
        <v>253</v>
      </c>
      <c r="U74" s="46">
        <f>IF($L74&lt;=2,
IF($R74&lt;=RpmDesignStandard!$C$2,RpmDesignStandard!$D$2,
IF(AND($R74&gt;RpmDesignStandard!$B$3,$R74&lt;=RpmDesignStandard!$C$3),RpmDesignStandard!$D$3,RpmDesignStandard!$D$4)),
IF($R74&lt;=RpmDesignStandard!$C$5, RpmDesignStandard!$D$5,
IF(AND($R74&gt;RpmDesignStandard!$B$6,$R74&lt;=RpmDesignStandard!$C$6),RpmDesignStandard!$D$6,
IF(AND($R74&gt;RpmDesignStandard!$B$7,$R74&lt;=RpmDesignStandard!$C$7),RpmDesignStandard!$D$7,RpmDesignStandard!$D$8))))</f>
        <v>4</v>
      </c>
      <c r="V74" s="47">
        <f>U74*RpmDesignStandard!$H$1</f>
        <v>8</v>
      </c>
      <c r="W74" s="37">
        <f>VLOOKUP(A74,RPM_ProjectRecord!A:AB,8,FALSE)</f>
        <v>2021</v>
      </c>
      <c r="X74" s="38" t="str">
        <f t="shared" si="10"/>
        <v/>
      </c>
      <c r="Y74" s="38" t="str">
        <f t="shared" si="11"/>
        <v/>
      </c>
      <c r="Z74" s="38" t="str">
        <f t="shared" si="12"/>
        <v/>
      </c>
      <c r="AA74" s="38" t="str">
        <f t="shared" si="13"/>
        <v/>
      </c>
      <c r="AB74" s="38" t="str">
        <f t="shared" si="14"/>
        <v/>
      </c>
      <c r="AC74" s="38">
        <f>IF(VLOOKUP(A74,'3rdPhaseChipSeal'!A:L,12,FALSE)="","",VLOOKUP(A74,'3rdPhaseChipSeal'!A:L,12,FALSE))</f>
        <v>2042</v>
      </c>
      <c r="AD74" s="38">
        <f>IFERROR(IF(VLOOKUP(A74,RpmContracts!A:C,3,FALSE)="","",VLOOKUP(A74,RpmContracts!A:C,3,FALSE)),"")</f>
        <v>2026</v>
      </c>
      <c r="AE74" s="7" t="str">
        <f>IF(VLOOKUP(A74,'20yPlan'!A:B,2,FALSE)="","",VLOOKUP(A74,'20yPlan'!A:B,2,FALSE))</f>
        <v/>
      </c>
      <c r="AF74" s="7" t="str">
        <f>IF(VLOOKUP(A74,'20yPlan'!A:C,3,FALSE)="","",VLOOKUP(A74,'20yPlan'!A:C,3,FALSE))</f>
        <v/>
      </c>
      <c r="AG74" s="7" t="str">
        <f>IF(VLOOKUP(A74,'20yPlan'!A:D,4,FALSE)="","",VLOOKUP(A74,'20yPlan'!A:D,4,FALSE))</f>
        <v/>
      </c>
      <c r="AH74" s="7" t="str">
        <f>IF(VLOOKUP(A74,'20yPlan'!A:E,5,FALSE)="","",VLOOKUP(A74,'20yPlan'!A:E,5,FALSE))</f>
        <v/>
      </c>
      <c r="AI74" s="7" t="str">
        <f>IF(VLOOKUP(A74,'20yPlan'!A:F,6,FALSE)="","",VLOOKUP(A74,'20yPlan'!A:F,6,FALSE))</f>
        <v/>
      </c>
      <c r="AJ74" s="7" t="str">
        <f t="shared" si="15"/>
        <v>2042 Chip Seal</v>
      </c>
      <c r="AK74" s="7" t="str">
        <f t="shared" si="16"/>
        <v>2026 RPM Replacement</v>
      </c>
      <c r="AL74" s="39">
        <f t="shared" ca="1" si="17"/>
        <v>2025</v>
      </c>
      <c r="AM74" s="7">
        <f t="shared" si="18"/>
        <v>2026</v>
      </c>
      <c r="AN74" s="7" t="str">
        <f t="shared" si="19"/>
        <v>2026 RPM Replacement</v>
      </c>
    </row>
    <row r="75" spans="1:40">
      <c r="A75" s="6">
        <v>60075</v>
      </c>
      <c r="B75" s="6" t="s">
        <v>315</v>
      </c>
      <c r="C75" s="6" t="s">
        <v>322</v>
      </c>
      <c r="D75" s="6">
        <v>13.708532999999999</v>
      </c>
      <c r="E75" s="6">
        <v>15.994801000000001</v>
      </c>
      <c r="F75" s="6" t="s">
        <v>319</v>
      </c>
      <c r="G75" s="6" t="s">
        <v>323</v>
      </c>
      <c r="H75" s="35">
        <v>55576</v>
      </c>
      <c r="I75" s="6" t="s">
        <v>44</v>
      </c>
      <c r="J75" s="6">
        <v>1</v>
      </c>
      <c r="K75" s="6"/>
      <c r="L75" s="6">
        <v>2</v>
      </c>
      <c r="M75" s="6" t="s">
        <v>45</v>
      </c>
      <c r="N75" s="6" t="s">
        <v>250</v>
      </c>
      <c r="O75" s="6" t="s">
        <v>196</v>
      </c>
      <c r="P75" s="6" t="s">
        <v>324</v>
      </c>
      <c r="Q75" s="6" t="s">
        <v>217</v>
      </c>
      <c r="R75" s="35">
        <v>8311</v>
      </c>
      <c r="S75" s="6">
        <v>639</v>
      </c>
      <c r="T75" s="36" t="s">
        <v>50</v>
      </c>
      <c r="U75" s="46">
        <f>IF($L75&lt;=2,
IF($R75&lt;=RpmDesignStandard!$C$2,RpmDesignStandard!$D$2,
IF(AND($R75&gt;RpmDesignStandard!$B$3,$R75&lt;=RpmDesignStandard!$C$3),RpmDesignStandard!$D$3,RpmDesignStandard!$D$4)),
IF($R75&lt;=RpmDesignStandard!$C$5, RpmDesignStandard!$D$5,
IF(AND($R75&gt;RpmDesignStandard!$B$6,$R75&lt;=RpmDesignStandard!$C$6),RpmDesignStandard!$D$6,
IF(AND($R75&gt;RpmDesignStandard!$B$7,$R75&lt;=RpmDesignStandard!$C$7),RpmDesignStandard!$D$7,RpmDesignStandard!$D$8))))</f>
        <v>3</v>
      </c>
      <c r="V75" s="47">
        <f>U75*RpmDesignStandard!$H$1</f>
        <v>6</v>
      </c>
      <c r="W75" s="37">
        <f>VLOOKUP(A75,RPM_ProjectRecord!A:AB,8,FALSE)</f>
        <v>2022</v>
      </c>
      <c r="X75" s="38" t="str">
        <f t="shared" si="10"/>
        <v/>
      </c>
      <c r="Y75" s="38" t="str">
        <f t="shared" si="11"/>
        <v/>
      </c>
      <c r="Z75" s="38" t="str">
        <f t="shared" si="12"/>
        <v/>
      </c>
      <c r="AA75" s="38" t="str">
        <f t="shared" si="13"/>
        <v/>
      </c>
      <c r="AB75" s="38" t="str">
        <f t="shared" si="14"/>
        <v/>
      </c>
      <c r="AC75" s="38" t="str">
        <f>IF(VLOOKUP(A75,'3rdPhaseChipSeal'!A:L,12,FALSE)="","",VLOOKUP(A75,'3rdPhaseChipSeal'!A:L,12,FALSE))</f>
        <v/>
      </c>
      <c r="AD75" s="38" t="str">
        <f>IFERROR(IF(VLOOKUP(A75,RpmContracts!A:C,3,FALSE)="","",VLOOKUP(A75,RpmContracts!A:C,3,FALSE)),"")</f>
        <v/>
      </c>
      <c r="AE75" s="7" t="str">
        <f>IF(VLOOKUP(A75,'20yPlan'!A:B,2,FALSE)="","",VLOOKUP(A75,'20yPlan'!A:B,2,FALSE))</f>
        <v/>
      </c>
      <c r="AF75" s="7" t="str">
        <f>IF(VLOOKUP(A75,'20yPlan'!A:C,3,FALSE)="","",VLOOKUP(A75,'20yPlan'!A:C,3,FALSE))</f>
        <v/>
      </c>
      <c r="AG75" s="7" t="str">
        <f>IF(VLOOKUP(A75,'20yPlan'!A:D,4,FALSE)="","",VLOOKUP(A75,'20yPlan'!A:D,4,FALSE))</f>
        <v/>
      </c>
      <c r="AH75" s="7" t="str">
        <f>IF(VLOOKUP(A75,'20yPlan'!A:E,5,FALSE)="","",VLOOKUP(A75,'20yPlan'!A:E,5,FALSE))</f>
        <v/>
      </c>
      <c r="AI75" s="7" t="str">
        <f>IF(VLOOKUP(A75,'20yPlan'!A:F,6,FALSE)="","",VLOOKUP(A75,'20yPlan'!A:F,6,FALSE))</f>
        <v/>
      </c>
      <c r="AJ75" s="7" t="str">
        <f t="shared" si="15"/>
        <v/>
      </c>
      <c r="AK75" s="7" t="str">
        <f t="shared" si="16"/>
        <v/>
      </c>
      <c r="AL75" s="39">
        <f t="shared" ca="1" si="17"/>
        <v>2025</v>
      </c>
      <c r="AM75" s="7" t="str">
        <f t="shared" si="18"/>
        <v/>
      </c>
      <c r="AN75" s="7" t="str">
        <f t="shared" si="19"/>
        <v/>
      </c>
    </row>
    <row r="76" spans="1:40">
      <c r="A76" s="6">
        <v>60076</v>
      </c>
      <c r="B76" s="6" t="s">
        <v>315</v>
      </c>
      <c r="C76" s="6" t="s">
        <v>325</v>
      </c>
      <c r="D76" s="6">
        <v>20.585681000000001</v>
      </c>
      <c r="E76" s="6">
        <v>27.861325999999998</v>
      </c>
      <c r="F76" s="6" t="s">
        <v>326</v>
      </c>
      <c r="G76" s="6" t="s">
        <v>327</v>
      </c>
      <c r="H76" s="35">
        <v>172429</v>
      </c>
      <c r="I76" s="6" t="s">
        <v>44</v>
      </c>
      <c r="J76" s="6">
        <v>16</v>
      </c>
      <c r="K76" s="6">
        <v>2025</v>
      </c>
      <c r="L76" s="6">
        <v>2</v>
      </c>
      <c r="M76" s="6" t="s">
        <v>45</v>
      </c>
      <c r="N76" s="6" t="s">
        <v>250</v>
      </c>
      <c r="O76" s="6" t="s">
        <v>215</v>
      </c>
      <c r="P76" s="6" t="s">
        <v>216</v>
      </c>
      <c r="Q76" s="6" t="s">
        <v>217</v>
      </c>
      <c r="R76" s="35">
        <v>8168</v>
      </c>
      <c r="S76" s="6">
        <v>573</v>
      </c>
      <c r="T76" s="36" t="s">
        <v>50</v>
      </c>
      <c r="U76" s="46">
        <f>IF($L76&lt;=2,
IF($R76&lt;=RpmDesignStandard!$C$2,RpmDesignStandard!$D$2,
IF(AND($R76&gt;RpmDesignStandard!$B$3,$R76&lt;=RpmDesignStandard!$C$3),RpmDesignStandard!$D$3,RpmDesignStandard!$D$4)),
IF($R76&lt;=RpmDesignStandard!$C$5, RpmDesignStandard!$D$5,
IF(AND($R76&gt;RpmDesignStandard!$B$6,$R76&lt;=RpmDesignStandard!$C$6),RpmDesignStandard!$D$6,
IF(AND($R76&gt;RpmDesignStandard!$B$7,$R76&lt;=RpmDesignStandard!$C$7),RpmDesignStandard!$D$7,RpmDesignStandard!$D$8))))</f>
        <v>3</v>
      </c>
      <c r="V76" s="47">
        <f>U76*RpmDesignStandard!$H$1</f>
        <v>6</v>
      </c>
      <c r="W76" s="37" t="str">
        <f>VLOOKUP(A76,RPM_ProjectRecord!A:AB,8,FALSE)</f>
        <v/>
      </c>
      <c r="X76" s="38" t="str">
        <f t="shared" si="10"/>
        <v/>
      </c>
      <c r="Y76" s="38" t="str">
        <f t="shared" si="11"/>
        <v/>
      </c>
      <c r="Z76" s="38" t="str">
        <f t="shared" si="12"/>
        <v/>
      </c>
      <c r="AA76" s="38" t="str">
        <f t="shared" si="13"/>
        <v/>
      </c>
      <c r="AB76" s="38" t="str">
        <f t="shared" si="14"/>
        <v/>
      </c>
      <c r="AC76" s="38" t="str">
        <f>IF(VLOOKUP(A76,'3rdPhaseChipSeal'!A:L,12,FALSE)="","",VLOOKUP(A76,'3rdPhaseChipSeal'!A:L,12,FALSE))</f>
        <v/>
      </c>
      <c r="AD76" s="38" t="str">
        <f>IFERROR(IF(VLOOKUP(A76,RpmContracts!A:C,3,FALSE)="","",VLOOKUP(A76,RpmContracts!A:C,3,FALSE)),"")</f>
        <v/>
      </c>
      <c r="AE76" s="7" t="str">
        <f>IF(VLOOKUP(A76,'20yPlan'!A:B,2,FALSE)="","",VLOOKUP(A76,'20yPlan'!A:B,2,FALSE))</f>
        <v/>
      </c>
      <c r="AF76" s="7" t="str">
        <f>IF(VLOOKUP(A76,'20yPlan'!A:C,3,FALSE)="","",VLOOKUP(A76,'20yPlan'!A:C,3,FALSE))</f>
        <v/>
      </c>
      <c r="AG76" s="7" t="str">
        <f>IF(VLOOKUP(A76,'20yPlan'!A:D,4,FALSE)="","",VLOOKUP(A76,'20yPlan'!A:D,4,FALSE))</f>
        <v/>
      </c>
      <c r="AH76" s="7" t="str">
        <f>IF(VLOOKUP(A76,'20yPlan'!A:E,5,FALSE)="","",VLOOKUP(A76,'20yPlan'!A:E,5,FALSE))</f>
        <v/>
      </c>
      <c r="AI76" s="7" t="str">
        <f>IF(VLOOKUP(A76,'20yPlan'!A:F,6,FALSE)="","",VLOOKUP(A76,'20yPlan'!A:F,6,FALSE))</f>
        <v/>
      </c>
      <c r="AJ76" s="7" t="str">
        <f t="shared" si="15"/>
        <v/>
      </c>
      <c r="AK76" s="7" t="str">
        <f t="shared" si="16"/>
        <v/>
      </c>
      <c r="AL76" s="39">
        <f t="shared" ca="1" si="17"/>
        <v>2025</v>
      </c>
      <c r="AM76" s="7" t="str">
        <f t="shared" si="18"/>
        <v/>
      </c>
      <c r="AN76" s="7" t="str">
        <f t="shared" si="19"/>
        <v/>
      </c>
    </row>
    <row r="77" spans="1:40">
      <c r="A77" s="6">
        <v>60077</v>
      </c>
      <c r="B77" s="6" t="s">
        <v>328</v>
      </c>
      <c r="C77" s="6" t="s">
        <v>329</v>
      </c>
      <c r="D77" s="6">
        <v>0.51148199999999999</v>
      </c>
      <c r="E77" s="6">
        <v>11.880826000000001</v>
      </c>
      <c r="F77" s="6" t="s">
        <v>330</v>
      </c>
      <c r="G77" s="6" t="s">
        <v>331</v>
      </c>
      <c r="H77" s="35">
        <v>189810</v>
      </c>
      <c r="I77" s="6" t="s">
        <v>195</v>
      </c>
      <c r="J77" s="6">
        <v>6</v>
      </c>
      <c r="K77" s="6">
        <v>2029</v>
      </c>
      <c r="L77" s="6">
        <v>2</v>
      </c>
      <c r="M77" s="6" t="s">
        <v>45</v>
      </c>
      <c r="N77" s="6" t="s">
        <v>250</v>
      </c>
      <c r="O77" s="6" t="s">
        <v>196</v>
      </c>
      <c r="P77" s="6" t="s">
        <v>273</v>
      </c>
      <c r="Q77" s="6" t="s">
        <v>217</v>
      </c>
      <c r="R77" s="35">
        <v>3615</v>
      </c>
      <c r="S77" s="6">
        <v>188</v>
      </c>
      <c r="T77" s="36" t="s">
        <v>50</v>
      </c>
      <c r="U77" s="46">
        <f>IF($L77&lt;=2,
IF($R77&lt;=RpmDesignStandard!$C$2,RpmDesignStandard!$D$2,
IF(AND($R77&gt;RpmDesignStandard!$B$3,$R77&lt;=RpmDesignStandard!$C$3),RpmDesignStandard!$D$3,RpmDesignStandard!$D$4)),
IF($R77&lt;=RpmDesignStandard!$C$5, RpmDesignStandard!$D$5,
IF(AND($R77&gt;RpmDesignStandard!$B$6,$R77&lt;=RpmDesignStandard!$C$6),RpmDesignStandard!$D$6,
IF(AND($R77&gt;RpmDesignStandard!$B$7,$R77&lt;=RpmDesignStandard!$C$7),RpmDesignStandard!$D$7,RpmDesignStandard!$D$8))))</f>
        <v>4</v>
      </c>
      <c r="V77" s="47">
        <f>U77*RpmDesignStandard!$H$1</f>
        <v>8</v>
      </c>
      <c r="W77" s="37" t="str">
        <f>VLOOKUP(A77,RPM_ProjectRecord!A:AB,8,FALSE)</f>
        <v/>
      </c>
      <c r="X77" s="38" t="str">
        <f t="shared" si="10"/>
        <v/>
      </c>
      <c r="Y77" s="38" t="str">
        <f t="shared" si="11"/>
        <v/>
      </c>
      <c r="Z77" s="38" t="str">
        <f t="shared" si="12"/>
        <v/>
      </c>
      <c r="AA77" s="38" t="str">
        <f t="shared" si="13"/>
        <v/>
      </c>
      <c r="AB77" s="38" t="str">
        <f t="shared" si="14"/>
        <v/>
      </c>
      <c r="AC77" s="38">
        <f>IF(VLOOKUP(A77,'3rdPhaseChipSeal'!A:L,12,FALSE)="","",VLOOKUP(A77,'3rdPhaseChipSeal'!A:L,12,FALSE))</f>
        <v>2043</v>
      </c>
      <c r="AD77" s="38" t="str">
        <f>IFERROR(IF(VLOOKUP(A77,RpmContracts!A:C,3,FALSE)="","",VLOOKUP(A77,RpmContracts!A:C,3,FALSE)),"")</f>
        <v/>
      </c>
      <c r="AE77" s="7" t="str">
        <f>IF(VLOOKUP(A77,'20yPlan'!A:B,2,FALSE)="","",VLOOKUP(A77,'20yPlan'!A:B,2,FALSE))</f>
        <v/>
      </c>
      <c r="AF77" s="7" t="str">
        <f>IF(VLOOKUP(A77,'20yPlan'!A:C,3,FALSE)="","",VLOOKUP(A77,'20yPlan'!A:C,3,FALSE))</f>
        <v/>
      </c>
      <c r="AG77" s="7" t="str">
        <f>IF(VLOOKUP(A77,'20yPlan'!A:D,4,FALSE)="","",VLOOKUP(A77,'20yPlan'!A:D,4,FALSE))</f>
        <v/>
      </c>
      <c r="AH77" s="7" t="str">
        <f>IF(VLOOKUP(A77,'20yPlan'!A:E,5,FALSE)="","",VLOOKUP(A77,'20yPlan'!A:E,5,FALSE))</f>
        <v/>
      </c>
      <c r="AI77" s="7" t="str">
        <f>IF(VLOOKUP(A77,'20yPlan'!A:F,6,FALSE)="","",VLOOKUP(A77,'20yPlan'!A:F,6,FALSE))</f>
        <v/>
      </c>
      <c r="AJ77" s="7" t="str">
        <f t="shared" si="15"/>
        <v>2043 Chip Seal</v>
      </c>
      <c r="AK77" s="7" t="str">
        <f t="shared" si="16"/>
        <v/>
      </c>
      <c r="AL77" s="39">
        <f t="shared" ca="1" si="17"/>
        <v>2025</v>
      </c>
      <c r="AM77" s="7" t="str">
        <f t="shared" si="18"/>
        <v/>
      </c>
      <c r="AN77" s="7" t="str">
        <f t="shared" si="19"/>
        <v/>
      </c>
    </row>
    <row r="78" spans="1:40">
      <c r="A78" s="6">
        <v>60078</v>
      </c>
      <c r="B78" s="6" t="s">
        <v>328</v>
      </c>
      <c r="C78" s="6" t="s">
        <v>332</v>
      </c>
      <c r="D78" s="6">
        <v>11.880826000000001</v>
      </c>
      <c r="E78" s="6">
        <v>19.095942999999998</v>
      </c>
      <c r="F78" s="6" t="s">
        <v>331</v>
      </c>
      <c r="G78" s="6" t="s">
        <v>333</v>
      </c>
      <c r="H78" s="35">
        <v>143946</v>
      </c>
      <c r="I78" s="6" t="s">
        <v>195</v>
      </c>
      <c r="J78" s="6">
        <v>24</v>
      </c>
      <c r="K78" s="6">
        <v>2027</v>
      </c>
      <c r="L78" s="6">
        <v>2</v>
      </c>
      <c r="M78" s="6" t="s">
        <v>45</v>
      </c>
      <c r="N78" s="6" t="s">
        <v>250</v>
      </c>
      <c r="O78" s="6" t="s">
        <v>196</v>
      </c>
      <c r="P78" s="6" t="s">
        <v>273</v>
      </c>
      <c r="Q78" s="6" t="s">
        <v>334</v>
      </c>
      <c r="R78" s="35">
        <v>1739</v>
      </c>
      <c r="S78" s="6">
        <v>190</v>
      </c>
      <c r="T78" s="36" t="s">
        <v>253</v>
      </c>
      <c r="U78" s="46">
        <f>IF($L78&lt;=2,
IF($R78&lt;=RpmDesignStandard!$C$2,RpmDesignStandard!$D$2,
IF(AND($R78&gt;RpmDesignStandard!$B$3,$R78&lt;=RpmDesignStandard!$C$3),RpmDesignStandard!$D$3,RpmDesignStandard!$D$4)),
IF($R78&lt;=RpmDesignStandard!$C$5, RpmDesignStandard!$D$5,
IF(AND($R78&gt;RpmDesignStandard!$B$6,$R78&lt;=RpmDesignStandard!$C$6),RpmDesignStandard!$D$6,
IF(AND($R78&gt;RpmDesignStandard!$B$7,$R78&lt;=RpmDesignStandard!$C$7),RpmDesignStandard!$D$7,RpmDesignStandard!$D$8))))</f>
        <v>4</v>
      </c>
      <c r="V78" s="47">
        <f>U78*RpmDesignStandard!$H$1</f>
        <v>8</v>
      </c>
      <c r="W78" s="37" t="str">
        <f>VLOOKUP(A78,RPM_ProjectRecord!A:AB,8,FALSE)</f>
        <v/>
      </c>
      <c r="X78" s="38" t="str">
        <f t="shared" si="10"/>
        <v/>
      </c>
      <c r="Y78" s="38" t="str">
        <f t="shared" si="11"/>
        <v/>
      </c>
      <c r="Z78" s="38" t="str">
        <f t="shared" si="12"/>
        <v/>
      </c>
      <c r="AA78" s="38" t="str">
        <f t="shared" si="13"/>
        <v/>
      </c>
      <c r="AB78" s="38" t="str">
        <f t="shared" si="14"/>
        <v/>
      </c>
      <c r="AC78" s="38">
        <f>IF(VLOOKUP(A78,'3rdPhaseChipSeal'!A:L,12,FALSE)="","",VLOOKUP(A78,'3rdPhaseChipSeal'!A:L,12,FALSE))</f>
        <v>2027</v>
      </c>
      <c r="AD78" s="38" t="str">
        <f>IFERROR(IF(VLOOKUP(A78,RpmContracts!A:C,3,FALSE)="","",VLOOKUP(A78,RpmContracts!A:C,3,FALSE)),"")</f>
        <v/>
      </c>
      <c r="AE78" s="7" t="str">
        <f>IF(VLOOKUP(A78,'20yPlan'!A:B,2,FALSE)="","",VLOOKUP(A78,'20yPlan'!A:B,2,FALSE))</f>
        <v/>
      </c>
      <c r="AF78" s="7" t="str">
        <f>IF(VLOOKUP(A78,'20yPlan'!A:C,3,FALSE)="","",VLOOKUP(A78,'20yPlan'!A:C,3,FALSE))</f>
        <v/>
      </c>
      <c r="AG78" s="7" t="str">
        <f>IF(VLOOKUP(A78,'20yPlan'!A:D,4,FALSE)="","",VLOOKUP(A78,'20yPlan'!A:D,4,FALSE))</f>
        <v/>
      </c>
      <c r="AH78" s="7" t="str">
        <f>IF(VLOOKUP(A78,'20yPlan'!A:E,5,FALSE)="","",VLOOKUP(A78,'20yPlan'!A:E,5,FALSE))</f>
        <v/>
      </c>
      <c r="AI78" s="7" t="str">
        <f>IF(VLOOKUP(A78,'20yPlan'!A:F,6,FALSE)="","",VLOOKUP(A78,'20yPlan'!A:F,6,FALSE))</f>
        <v/>
      </c>
      <c r="AJ78" s="7" t="str">
        <f t="shared" si="15"/>
        <v>2027 Chip Seal</v>
      </c>
      <c r="AK78" s="7" t="str">
        <f t="shared" si="16"/>
        <v/>
      </c>
      <c r="AL78" s="39">
        <f t="shared" ca="1" si="17"/>
        <v>2025</v>
      </c>
      <c r="AM78" s="7" t="str">
        <f t="shared" si="18"/>
        <v/>
      </c>
      <c r="AN78" s="7" t="str">
        <f t="shared" si="19"/>
        <v/>
      </c>
    </row>
    <row r="79" spans="1:40">
      <c r="A79" s="6">
        <v>60079</v>
      </c>
      <c r="B79" s="6" t="s">
        <v>335</v>
      </c>
      <c r="C79" s="6" t="s">
        <v>336</v>
      </c>
      <c r="D79" s="6">
        <v>0</v>
      </c>
      <c r="E79" s="6">
        <v>3.8215720000000002</v>
      </c>
      <c r="F79" s="6" t="s">
        <v>53</v>
      </c>
      <c r="G79" s="6" t="s">
        <v>337</v>
      </c>
      <c r="H79" s="35">
        <v>60875</v>
      </c>
      <c r="I79" s="6" t="s">
        <v>195</v>
      </c>
      <c r="J79" s="6">
        <v>11</v>
      </c>
      <c r="K79" s="6">
        <v>2026</v>
      </c>
      <c r="L79" s="6">
        <v>2</v>
      </c>
      <c r="M79" s="6" t="s">
        <v>45</v>
      </c>
      <c r="N79" s="6" t="s">
        <v>250</v>
      </c>
      <c r="O79" s="6" t="s">
        <v>61</v>
      </c>
      <c r="P79" s="6" t="s">
        <v>338</v>
      </c>
      <c r="Q79" s="6" t="s">
        <v>339</v>
      </c>
      <c r="R79" s="35">
        <v>3250</v>
      </c>
      <c r="S79" s="6">
        <v>174</v>
      </c>
      <c r="T79" s="36" t="s">
        <v>253</v>
      </c>
      <c r="U79" s="46">
        <f>IF($L79&lt;=2,
IF($R79&lt;=RpmDesignStandard!$C$2,RpmDesignStandard!$D$2,
IF(AND($R79&gt;RpmDesignStandard!$B$3,$R79&lt;=RpmDesignStandard!$C$3),RpmDesignStandard!$D$3,RpmDesignStandard!$D$4)),
IF($R79&lt;=RpmDesignStandard!$C$5, RpmDesignStandard!$D$5,
IF(AND($R79&gt;RpmDesignStandard!$B$6,$R79&lt;=RpmDesignStandard!$C$6),RpmDesignStandard!$D$6,
IF(AND($R79&gt;RpmDesignStandard!$B$7,$R79&lt;=RpmDesignStandard!$C$7),RpmDesignStandard!$D$7,RpmDesignStandard!$D$8))))</f>
        <v>4</v>
      </c>
      <c r="V79" s="47">
        <f>U79*RpmDesignStandard!$H$1</f>
        <v>8</v>
      </c>
      <c r="W79" s="37" t="str">
        <f>VLOOKUP(A79,RPM_ProjectRecord!A:AB,8,FALSE)</f>
        <v/>
      </c>
      <c r="X79" s="38" t="str">
        <f t="shared" si="10"/>
        <v/>
      </c>
      <c r="Y79" s="38" t="str">
        <f t="shared" si="11"/>
        <v/>
      </c>
      <c r="Z79" s="38" t="str">
        <f t="shared" si="12"/>
        <v/>
      </c>
      <c r="AA79" s="38" t="str">
        <f t="shared" si="13"/>
        <v/>
      </c>
      <c r="AB79" s="38" t="str">
        <f t="shared" si="14"/>
        <v/>
      </c>
      <c r="AC79" s="38">
        <f>IF(VLOOKUP(A79,'3rdPhaseChipSeal'!A:L,12,FALSE)="","",VLOOKUP(A79,'3rdPhaseChipSeal'!A:L,12,FALSE))</f>
        <v>2034</v>
      </c>
      <c r="AD79" s="38">
        <f>IFERROR(IF(VLOOKUP(A79,RpmContracts!A:C,3,FALSE)="","",VLOOKUP(A79,RpmContracts!A:C,3,FALSE)),"")</f>
        <v>2026</v>
      </c>
      <c r="AE79" s="7" t="str">
        <f>IF(VLOOKUP(A79,'20yPlan'!A:B,2,FALSE)="","",VLOOKUP(A79,'20yPlan'!A:B,2,FALSE))</f>
        <v/>
      </c>
      <c r="AF79" s="7" t="str">
        <f>IF(VLOOKUP(A79,'20yPlan'!A:C,3,FALSE)="","",VLOOKUP(A79,'20yPlan'!A:C,3,FALSE))</f>
        <v/>
      </c>
      <c r="AG79" s="7" t="str">
        <f>IF(VLOOKUP(A79,'20yPlan'!A:D,4,FALSE)="","",VLOOKUP(A79,'20yPlan'!A:D,4,FALSE))</f>
        <v/>
      </c>
      <c r="AH79" s="7" t="str">
        <f>IF(VLOOKUP(A79,'20yPlan'!A:E,5,FALSE)="","",VLOOKUP(A79,'20yPlan'!A:E,5,FALSE))</f>
        <v/>
      </c>
      <c r="AI79" s="7" t="str">
        <f>IF(VLOOKUP(A79,'20yPlan'!A:F,6,FALSE)="","",VLOOKUP(A79,'20yPlan'!A:F,6,FALSE))</f>
        <v/>
      </c>
      <c r="AJ79" s="7" t="str">
        <f t="shared" si="15"/>
        <v>2034 Chip Seal</v>
      </c>
      <c r="AK79" s="7" t="str">
        <f t="shared" si="16"/>
        <v>2026 RPM Replacement</v>
      </c>
      <c r="AL79" s="39">
        <f t="shared" ca="1" si="17"/>
        <v>2025</v>
      </c>
      <c r="AM79" s="7">
        <f t="shared" si="18"/>
        <v>2026</v>
      </c>
      <c r="AN79" s="7" t="str">
        <f t="shared" si="19"/>
        <v>2026 RPM Replacement</v>
      </c>
    </row>
    <row r="80" spans="1:40">
      <c r="A80" s="6">
        <v>60080</v>
      </c>
      <c r="B80" s="6" t="s">
        <v>335</v>
      </c>
      <c r="C80" s="6" t="s">
        <v>340</v>
      </c>
      <c r="D80" s="6">
        <v>3.8225720000000001</v>
      </c>
      <c r="E80" s="6">
        <v>15.731255000000001</v>
      </c>
      <c r="F80" s="6" t="s">
        <v>341</v>
      </c>
      <c r="G80" s="6" t="s">
        <v>342</v>
      </c>
      <c r="H80" s="35">
        <v>199912</v>
      </c>
      <c r="I80" s="6" t="s">
        <v>195</v>
      </c>
      <c r="J80" s="6">
        <v>4</v>
      </c>
      <c r="K80" s="6">
        <v>2027</v>
      </c>
      <c r="L80" s="6">
        <v>2</v>
      </c>
      <c r="M80" s="6" t="s">
        <v>45</v>
      </c>
      <c r="N80" s="6" t="s">
        <v>250</v>
      </c>
      <c r="O80" s="6" t="s">
        <v>61</v>
      </c>
      <c r="P80" s="6" t="s">
        <v>62</v>
      </c>
      <c r="Q80" s="6" t="s">
        <v>58</v>
      </c>
      <c r="R80" s="35">
        <v>1890</v>
      </c>
      <c r="S80" s="6">
        <v>217</v>
      </c>
      <c r="T80" s="36" t="s">
        <v>304</v>
      </c>
      <c r="U80" s="46">
        <f>IF($L80&lt;=2,
IF($R80&lt;=RpmDesignStandard!$C$2,RpmDesignStandard!$D$2,
IF(AND($R80&gt;RpmDesignStandard!$B$3,$R80&lt;=RpmDesignStandard!$C$3),RpmDesignStandard!$D$3,RpmDesignStandard!$D$4)),
IF($R80&lt;=RpmDesignStandard!$C$5, RpmDesignStandard!$D$5,
IF(AND($R80&gt;RpmDesignStandard!$B$6,$R80&lt;=RpmDesignStandard!$C$6),RpmDesignStandard!$D$6,
IF(AND($R80&gt;RpmDesignStandard!$B$7,$R80&lt;=RpmDesignStandard!$C$7),RpmDesignStandard!$D$7,RpmDesignStandard!$D$8))))</f>
        <v>4</v>
      </c>
      <c r="V80" s="47">
        <f>U80*RpmDesignStandard!$H$1</f>
        <v>8</v>
      </c>
      <c r="W80" s="37" t="str">
        <f>VLOOKUP(A80,RPM_ProjectRecord!A:AB,8,FALSE)</f>
        <v/>
      </c>
      <c r="X80" s="38" t="str">
        <f t="shared" si="10"/>
        <v/>
      </c>
      <c r="Y80" s="38" t="str">
        <f t="shared" si="11"/>
        <v/>
      </c>
      <c r="Z80" s="38" t="str">
        <f t="shared" si="12"/>
        <v/>
      </c>
      <c r="AA80" s="38" t="str">
        <f t="shared" si="13"/>
        <v/>
      </c>
      <c r="AB80" s="38" t="str">
        <f t="shared" si="14"/>
        <v/>
      </c>
      <c r="AC80" s="38" t="str">
        <f>IF(VLOOKUP(A80,'3rdPhaseChipSeal'!A:L,12,FALSE)="","",VLOOKUP(A80,'3rdPhaseChipSeal'!A:L,12,FALSE))</f>
        <v/>
      </c>
      <c r="AD80" s="38" t="str">
        <f>IFERROR(IF(VLOOKUP(A80,RpmContracts!A:C,3,FALSE)="","",VLOOKUP(A80,RpmContracts!A:C,3,FALSE)),"")</f>
        <v/>
      </c>
      <c r="AE80" s="7" t="str">
        <f>IF(VLOOKUP(A80,'20yPlan'!A:B,2,FALSE)="","",VLOOKUP(A80,'20yPlan'!A:B,2,FALSE))</f>
        <v/>
      </c>
      <c r="AF80" s="7" t="str">
        <f>IF(VLOOKUP(A80,'20yPlan'!A:C,3,FALSE)="","",VLOOKUP(A80,'20yPlan'!A:C,3,FALSE))</f>
        <v/>
      </c>
      <c r="AG80" s="7" t="str">
        <f>IF(VLOOKUP(A80,'20yPlan'!A:D,4,FALSE)="","",VLOOKUP(A80,'20yPlan'!A:D,4,FALSE))</f>
        <v/>
      </c>
      <c r="AH80" s="7" t="str">
        <f>IF(VLOOKUP(A80,'20yPlan'!A:E,5,FALSE)="","",VLOOKUP(A80,'20yPlan'!A:E,5,FALSE))</f>
        <v/>
      </c>
      <c r="AI80" s="7" t="str">
        <f>IF(VLOOKUP(A80,'20yPlan'!A:F,6,FALSE)="","",VLOOKUP(A80,'20yPlan'!A:F,6,FALSE))</f>
        <v/>
      </c>
      <c r="AJ80" s="7" t="str">
        <f t="shared" si="15"/>
        <v/>
      </c>
      <c r="AK80" s="7" t="str">
        <f t="shared" si="16"/>
        <v/>
      </c>
      <c r="AL80" s="39">
        <f t="shared" ca="1" si="17"/>
        <v>2025</v>
      </c>
      <c r="AM80" s="7" t="str">
        <f t="shared" si="18"/>
        <v/>
      </c>
      <c r="AN80" s="7" t="str">
        <f t="shared" si="19"/>
        <v/>
      </c>
    </row>
    <row r="81" spans="1:40">
      <c r="A81" s="6">
        <v>60081</v>
      </c>
      <c r="B81" s="6" t="s">
        <v>343</v>
      </c>
      <c r="C81" s="6" t="s">
        <v>344</v>
      </c>
      <c r="D81" s="6">
        <v>0</v>
      </c>
      <c r="E81" s="6">
        <v>6.3597830000000002</v>
      </c>
      <c r="F81" s="6" t="s">
        <v>53</v>
      </c>
      <c r="G81" s="6" t="s">
        <v>345</v>
      </c>
      <c r="H81" s="35">
        <v>92063</v>
      </c>
      <c r="I81" s="6" t="s">
        <v>195</v>
      </c>
      <c r="J81" s="6">
        <v>18</v>
      </c>
      <c r="K81" s="6">
        <v>2031</v>
      </c>
      <c r="L81" s="6">
        <v>2</v>
      </c>
      <c r="M81" s="6" t="s">
        <v>45</v>
      </c>
      <c r="N81" s="6" t="s">
        <v>250</v>
      </c>
      <c r="O81" s="6" t="s">
        <v>79</v>
      </c>
      <c r="P81" s="6" t="s">
        <v>346</v>
      </c>
      <c r="Q81" s="6" t="s">
        <v>347</v>
      </c>
      <c r="R81" s="6">
        <v>308</v>
      </c>
      <c r="S81" s="6">
        <v>29</v>
      </c>
      <c r="T81" s="36" t="s">
        <v>253</v>
      </c>
      <c r="U81" s="46">
        <f>IF($L81&lt;=2,
IF($R81&lt;=RpmDesignStandard!$C$2,RpmDesignStandard!$D$2,
IF(AND($R81&gt;RpmDesignStandard!$B$3,$R81&lt;=RpmDesignStandard!$C$3),RpmDesignStandard!$D$3,RpmDesignStandard!$D$4)),
IF($R81&lt;=RpmDesignStandard!$C$5, RpmDesignStandard!$D$5,
IF(AND($R81&gt;RpmDesignStandard!$B$6,$R81&lt;=RpmDesignStandard!$C$6),RpmDesignStandard!$D$6,
IF(AND($R81&gt;RpmDesignStandard!$B$7,$R81&lt;=RpmDesignStandard!$C$7),RpmDesignStandard!$D$7,RpmDesignStandard!$D$8))))</f>
        <v>4</v>
      </c>
      <c r="V81" s="47">
        <f>U81*RpmDesignStandard!$H$1</f>
        <v>8</v>
      </c>
      <c r="W81" s="37" t="str">
        <f>VLOOKUP(A81,RPM_ProjectRecord!A:AB,8,FALSE)</f>
        <v/>
      </c>
      <c r="X81" s="38" t="str">
        <f t="shared" si="10"/>
        <v/>
      </c>
      <c r="Y81" s="38" t="str">
        <f t="shared" si="11"/>
        <v/>
      </c>
      <c r="Z81" s="38" t="str">
        <f t="shared" si="12"/>
        <v/>
      </c>
      <c r="AA81" s="38" t="str">
        <f t="shared" si="13"/>
        <v/>
      </c>
      <c r="AB81" s="38" t="str">
        <f t="shared" si="14"/>
        <v/>
      </c>
      <c r="AC81" s="38" t="str">
        <f>IF(VLOOKUP(A81,'3rdPhaseChipSeal'!A:L,12,FALSE)="","",VLOOKUP(A81,'3rdPhaseChipSeal'!A:L,12,FALSE))</f>
        <v/>
      </c>
      <c r="AD81" s="38" t="str">
        <f>IFERROR(IF(VLOOKUP(A81,RpmContracts!A:C,3,FALSE)="","",VLOOKUP(A81,RpmContracts!A:C,3,FALSE)),"")</f>
        <v/>
      </c>
      <c r="AE81" s="7" t="str">
        <f>IF(VLOOKUP(A81,'20yPlan'!A:B,2,FALSE)="","",VLOOKUP(A81,'20yPlan'!A:B,2,FALSE))</f>
        <v/>
      </c>
      <c r="AF81" s="7" t="str">
        <f>IF(VLOOKUP(A81,'20yPlan'!A:C,3,FALSE)="","",VLOOKUP(A81,'20yPlan'!A:C,3,FALSE))</f>
        <v/>
      </c>
      <c r="AG81" s="7" t="str">
        <f>IF(VLOOKUP(A81,'20yPlan'!A:D,4,FALSE)="","",VLOOKUP(A81,'20yPlan'!A:D,4,FALSE))</f>
        <v/>
      </c>
      <c r="AH81" s="7" t="str">
        <f>IF(VLOOKUP(A81,'20yPlan'!A:E,5,FALSE)="","",VLOOKUP(A81,'20yPlan'!A:E,5,FALSE))</f>
        <v/>
      </c>
      <c r="AI81" s="7" t="str">
        <f>IF(VLOOKUP(A81,'20yPlan'!A:F,6,FALSE)="","",VLOOKUP(A81,'20yPlan'!A:F,6,FALSE))</f>
        <v/>
      </c>
      <c r="AJ81" s="7" t="str">
        <f t="shared" si="15"/>
        <v/>
      </c>
      <c r="AK81" s="7" t="str">
        <f t="shared" si="16"/>
        <v/>
      </c>
      <c r="AL81" s="39">
        <f t="shared" ca="1" si="17"/>
        <v>2025</v>
      </c>
      <c r="AM81" s="7" t="str">
        <f t="shared" si="18"/>
        <v/>
      </c>
      <c r="AN81" s="7" t="str">
        <f t="shared" si="19"/>
        <v/>
      </c>
    </row>
    <row r="82" spans="1:40">
      <c r="A82" s="6">
        <v>60082</v>
      </c>
      <c r="B82" s="6" t="s">
        <v>348</v>
      </c>
      <c r="C82" s="6" t="s">
        <v>349</v>
      </c>
      <c r="D82" s="6">
        <v>0.73386099999999999</v>
      </c>
      <c r="E82" s="6">
        <v>7.6720300000000003</v>
      </c>
      <c r="F82" s="6" t="s">
        <v>350</v>
      </c>
      <c r="G82" s="6" t="s">
        <v>351</v>
      </c>
      <c r="H82" s="35">
        <v>129295</v>
      </c>
      <c r="I82" s="6" t="s">
        <v>195</v>
      </c>
      <c r="J82" s="6">
        <v>20</v>
      </c>
      <c r="K82" s="6">
        <v>2028</v>
      </c>
      <c r="L82" s="6">
        <v>2</v>
      </c>
      <c r="M82" s="6" t="s">
        <v>45</v>
      </c>
      <c r="N82" s="6" t="s">
        <v>250</v>
      </c>
      <c r="O82" s="6" t="s">
        <v>56</v>
      </c>
      <c r="P82" s="6" t="s">
        <v>147</v>
      </c>
      <c r="Q82" s="6" t="s">
        <v>151</v>
      </c>
      <c r="R82" s="35">
        <v>3812</v>
      </c>
      <c r="S82" s="6">
        <v>458</v>
      </c>
      <c r="T82" s="36" t="s">
        <v>253</v>
      </c>
      <c r="U82" s="46">
        <f>IF($L82&lt;=2,
IF($R82&lt;=RpmDesignStandard!$C$2,RpmDesignStandard!$D$2,
IF(AND($R82&gt;RpmDesignStandard!$B$3,$R82&lt;=RpmDesignStandard!$C$3),RpmDesignStandard!$D$3,RpmDesignStandard!$D$4)),
IF($R82&lt;=RpmDesignStandard!$C$5, RpmDesignStandard!$D$5,
IF(AND($R82&gt;RpmDesignStandard!$B$6,$R82&lt;=RpmDesignStandard!$C$6),RpmDesignStandard!$D$6,
IF(AND($R82&gt;RpmDesignStandard!$B$7,$R82&lt;=RpmDesignStandard!$C$7),RpmDesignStandard!$D$7,RpmDesignStandard!$D$8))))</f>
        <v>4</v>
      </c>
      <c r="V82" s="47">
        <f>U82*RpmDesignStandard!$H$1</f>
        <v>8</v>
      </c>
      <c r="W82" s="37">
        <f>VLOOKUP(A82,RPM_ProjectRecord!A:AB,8,FALSE)</f>
        <v>2024</v>
      </c>
      <c r="X82" s="38" t="str">
        <f t="shared" si="10"/>
        <v/>
      </c>
      <c r="Y82" s="38" t="str">
        <f t="shared" si="11"/>
        <v/>
      </c>
      <c r="Z82" s="38" t="str">
        <f t="shared" si="12"/>
        <v/>
      </c>
      <c r="AA82" s="38" t="str">
        <f t="shared" si="13"/>
        <v/>
      </c>
      <c r="AB82" s="38" t="str">
        <f t="shared" si="14"/>
        <v/>
      </c>
      <c r="AC82" s="38" t="str">
        <f>IF(VLOOKUP(A82,'3rdPhaseChipSeal'!A:L,12,FALSE)="","",VLOOKUP(A82,'3rdPhaseChipSeal'!A:L,12,FALSE))</f>
        <v/>
      </c>
      <c r="AD82" s="38" t="str">
        <f>IFERROR(IF(VLOOKUP(A82,RpmContracts!A:C,3,FALSE)="","",VLOOKUP(A82,RpmContracts!A:C,3,FALSE)),"")</f>
        <v/>
      </c>
      <c r="AE82" s="7" t="str">
        <f>IF(VLOOKUP(A82,'20yPlan'!A:B,2,FALSE)="","",VLOOKUP(A82,'20yPlan'!A:B,2,FALSE))</f>
        <v/>
      </c>
      <c r="AF82" s="7" t="str">
        <f>IF(VLOOKUP(A82,'20yPlan'!A:C,3,FALSE)="","",VLOOKUP(A82,'20yPlan'!A:C,3,FALSE))</f>
        <v/>
      </c>
      <c r="AG82" s="7" t="str">
        <f>IF(VLOOKUP(A82,'20yPlan'!A:D,4,FALSE)="","",VLOOKUP(A82,'20yPlan'!A:D,4,FALSE))</f>
        <v/>
      </c>
      <c r="AH82" s="7" t="str">
        <f>IF(VLOOKUP(A82,'20yPlan'!A:E,5,FALSE)="","",VLOOKUP(A82,'20yPlan'!A:E,5,FALSE))</f>
        <v/>
      </c>
      <c r="AI82" s="7" t="str">
        <f>IF(VLOOKUP(A82,'20yPlan'!A:F,6,FALSE)="","",VLOOKUP(A82,'20yPlan'!A:F,6,FALSE))</f>
        <v/>
      </c>
      <c r="AJ82" s="7" t="str">
        <f t="shared" si="15"/>
        <v/>
      </c>
      <c r="AK82" s="7" t="str">
        <f t="shared" si="16"/>
        <v/>
      </c>
      <c r="AL82" s="39">
        <f t="shared" ca="1" si="17"/>
        <v>2028</v>
      </c>
      <c r="AM82" s="7" t="str">
        <f t="shared" si="18"/>
        <v/>
      </c>
      <c r="AN82" s="7" t="str">
        <f t="shared" si="19"/>
        <v/>
      </c>
    </row>
    <row r="83" spans="1:40">
      <c r="A83" s="6">
        <v>60083</v>
      </c>
      <c r="B83" s="6" t="s">
        <v>348</v>
      </c>
      <c r="C83" s="6" t="s">
        <v>352</v>
      </c>
      <c r="D83" s="6">
        <v>7.6720300000000003</v>
      </c>
      <c r="E83" s="6">
        <v>17.178750000000001</v>
      </c>
      <c r="F83" s="6" t="s">
        <v>351</v>
      </c>
      <c r="G83" s="6" t="s">
        <v>353</v>
      </c>
      <c r="H83" s="35">
        <v>156604</v>
      </c>
      <c r="I83" s="6" t="s">
        <v>44</v>
      </c>
      <c r="J83" s="6">
        <v>14</v>
      </c>
      <c r="K83" s="6"/>
      <c r="L83" s="6">
        <v>2</v>
      </c>
      <c r="M83" s="6" t="s">
        <v>45</v>
      </c>
      <c r="N83" s="6" t="s">
        <v>250</v>
      </c>
      <c r="O83" s="6" t="s">
        <v>56</v>
      </c>
      <c r="P83" s="6" t="s">
        <v>147</v>
      </c>
      <c r="Q83" s="6" t="s">
        <v>116</v>
      </c>
      <c r="R83" s="35">
        <v>4677</v>
      </c>
      <c r="S83" s="6">
        <v>563</v>
      </c>
      <c r="T83" s="36" t="s">
        <v>50</v>
      </c>
      <c r="U83" s="46">
        <f>IF($L83&lt;=2,
IF($R83&lt;=RpmDesignStandard!$C$2,RpmDesignStandard!$D$2,
IF(AND($R83&gt;RpmDesignStandard!$B$3,$R83&lt;=RpmDesignStandard!$C$3),RpmDesignStandard!$D$3,RpmDesignStandard!$D$4)),
IF($R83&lt;=RpmDesignStandard!$C$5, RpmDesignStandard!$D$5,
IF(AND($R83&gt;RpmDesignStandard!$B$6,$R83&lt;=RpmDesignStandard!$C$6),RpmDesignStandard!$D$6,
IF(AND($R83&gt;RpmDesignStandard!$B$7,$R83&lt;=RpmDesignStandard!$C$7),RpmDesignStandard!$D$7,RpmDesignStandard!$D$8))))</f>
        <v>4</v>
      </c>
      <c r="V83" s="47">
        <f>U83*RpmDesignStandard!$H$1</f>
        <v>8</v>
      </c>
      <c r="W83" s="37" t="str">
        <f>VLOOKUP(A83,RPM_ProjectRecord!A:AB,8,FALSE)</f>
        <v/>
      </c>
      <c r="X83" s="38" t="str">
        <f t="shared" si="10"/>
        <v/>
      </c>
      <c r="Y83" s="38" t="str">
        <f t="shared" si="11"/>
        <v/>
      </c>
      <c r="Z83" s="38" t="str">
        <f t="shared" si="12"/>
        <v/>
      </c>
      <c r="AA83" s="38" t="str">
        <f t="shared" si="13"/>
        <v/>
      </c>
      <c r="AB83" s="38" t="str">
        <f t="shared" si="14"/>
        <v/>
      </c>
      <c r="AC83" s="38" t="str">
        <f>IF(VLOOKUP(A83,'3rdPhaseChipSeal'!A:L,12,FALSE)="","",VLOOKUP(A83,'3rdPhaseChipSeal'!A:L,12,FALSE))</f>
        <v/>
      </c>
      <c r="AD83" s="38">
        <f>IFERROR(IF(VLOOKUP(A83,RpmContracts!A:C,3,FALSE)="","",VLOOKUP(A83,RpmContracts!A:C,3,FALSE)),"")</f>
        <v>2026</v>
      </c>
      <c r="AE83" s="7" t="str">
        <f>IF(VLOOKUP(A83,'20yPlan'!A:B,2,FALSE)="","",VLOOKUP(A83,'20yPlan'!A:B,2,FALSE))</f>
        <v/>
      </c>
      <c r="AF83" s="7" t="str">
        <f>IF(VLOOKUP(A83,'20yPlan'!A:C,3,FALSE)="","",VLOOKUP(A83,'20yPlan'!A:C,3,FALSE))</f>
        <v/>
      </c>
      <c r="AG83" s="7" t="str">
        <f>IF(VLOOKUP(A83,'20yPlan'!A:D,4,FALSE)="","",VLOOKUP(A83,'20yPlan'!A:D,4,FALSE))</f>
        <v/>
      </c>
      <c r="AH83" s="7" t="str">
        <f>IF(VLOOKUP(A83,'20yPlan'!A:E,5,FALSE)="","",VLOOKUP(A83,'20yPlan'!A:E,5,FALSE))</f>
        <v/>
      </c>
      <c r="AI83" s="7" t="str">
        <f>IF(VLOOKUP(A83,'20yPlan'!A:F,6,FALSE)="","",VLOOKUP(A83,'20yPlan'!A:F,6,FALSE))</f>
        <v/>
      </c>
      <c r="AJ83" s="7" t="str">
        <f t="shared" si="15"/>
        <v/>
      </c>
      <c r="AK83" s="7" t="str">
        <f t="shared" si="16"/>
        <v>2026 RPM Replacement</v>
      </c>
      <c r="AL83" s="39">
        <f t="shared" ca="1" si="17"/>
        <v>2025</v>
      </c>
      <c r="AM83" s="7">
        <f t="shared" si="18"/>
        <v>2026</v>
      </c>
      <c r="AN83" s="7" t="str">
        <f t="shared" si="19"/>
        <v>2026 RPM Replacement</v>
      </c>
    </row>
    <row r="84" spans="1:40">
      <c r="A84" s="6">
        <v>60085</v>
      </c>
      <c r="B84" s="6" t="s">
        <v>354</v>
      </c>
      <c r="C84" s="6" t="s">
        <v>355</v>
      </c>
      <c r="D84" s="6">
        <v>0</v>
      </c>
      <c r="E84" s="6">
        <v>13.650121</v>
      </c>
      <c r="F84" s="6" t="s">
        <v>53</v>
      </c>
      <c r="G84" s="6" t="s">
        <v>356</v>
      </c>
      <c r="H84" s="35">
        <v>207269</v>
      </c>
      <c r="I84" s="6" t="s">
        <v>195</v>
      </c>
      <c r="J84" s="6">
        <v>4</v>
      </c>
      <c r="K84" s="6">
        <v>2028</v>
      </c>
      <c r="L84" s="6">
        <v>2</v>
      </c>
      <c r="M84" s="6" t="s">
        <v>45</v>
      </c>
      <c r="N84" s="6" t="s">
        <v>250</v>
      </c>
      <c r="O84" s="6" t="s">
        <v>121</v>
      </c>
      <c r="P84" s="6" t="s">
        <v>122</v>
      </c>
      <c r="Q84" s="6" t="s">
        <v>155</v>
      </c>
      <c r="R84" s="6">
        <v>289</v>
      </c>
      <c r="S84" s="6">
        <v>34</v>
      </c>
      <c r="T84" s="36" t="s">
        <v>253</v>
      </c>
      <c r="U84" s="46">
        <f>IF($L84&lt;=2,
IF($R84&lt;=RpmDesignStandard!$C$2,RpmDesignStandard!$D$2,
IF(AND($R84&gt;RpmDesignStandard!$B$3,$R84&lt;=RpmDesignStandard!$C$3),RpmDesignStandard!$D$3,RpmDesignStandard!$D$4)),
IF($R84&lt;=RpmDesignStandard!$C$5, RpmDesignStandard!$D$5,
IF(AND($R84&gt;RpmDesignStandard!$B$6,$R84&lt;=RpmDesignStandard!$C$6),RpmDesignStandard!$D$6,
IF(AND($R84&gt;RpmDesignStandard!$B$7,$R84&lt;=RpmDesignStandard!$C$7),RpmDesignStandard!$D$7,RpmDesignStandard!$D$8))))</f>
        <v>4</v>
      </c>
      <c r="V84" s="47">
        <f>U84*RpmDesignStandard!$H$1</f>
        <v>8</v>
      </c>
      <c r="W84" s="37" t="str">
        <f>VLOOKUP(A84,RPM_ProjectRecord!A:AB,8,FALSE)</f>
        <v/>
      </c>
      <c r="X84" s="38" t="str">
        <f t="shared" si="10"/>
        <v/>
      </c>
      <c r="Y84" s="38" t="str">
        <f t="shared" si="11"/>
        <v/>
      </c>
      <c r="Z84" s="38" t="str">
        <f t="shared" si="12"/>
        <v/>
      </c>
      <c r="AA84" s="38" t="str">
        <f t="shared" si="13"/>
        <v/>
      </c>
      <c r="AB84" s="38" t="str">
        <f t="shared" si="14"/>
        <v/>
      </c>
      <c r="AC84" s="38">
        <f>IF(VLOOKUP(A84,'3rdPhaseChipSeal'!A:L,12,FALSE)="","",VLOOKUP(A84,'3rdPhaseChipSeal'!A:L,12,FALSE))</f>
        <v>2042</v>
      </c>
      <c r="AD84" s="38" t="str">
        <f>IFERROR(IF(VLOOKUP(A84,RpmContracts!A:C,3,FALSE)="","",VLOOKUP(A84,RpmContracts!A:C,3,FALSE)),"")</f>
        <v/>
      </c>
      <c r="AE84" s="7" t="str">
        <f>IF(VLOOKUP(A84,'20yPlan'!A:B,2,FALSE)="","",VLOOKUP(A84,'20yPlan'!A:B,2,FALSE))</f>
        <v/>
      </c>
      <c r="AF84" s="7" t="str">
        <f>IF(VLOOKUP(A84,'20yPlan'!A:C,3,FALSE)="","",VLOOKUP(A84,'20yPlan'!A:C,3,FALSE))</f>
        <v/>
      </c>
      <c r="AG84" s="7" t="str">
        <f>IF(VLOOKUP(A84,'20yPlan'!A:D,4,FALSE)="","",VLOOKUP(A84,'20yPlan'!A:D,4,FALSE))</f>
        <v/>
      </c>
      <c r="AH84" s="7" t="str">
        <f>IF(VLOOKUP(A84,'20yPlan'!A:E,5,FALSE)="","",VLOOKUP(A84,'20yPlan'!A:E,5,FALSE))</f>
        <v/>
      </c>
      <c r="AI84" s="7" t="str">
        <f>IF(VLOOKUP(A84,'20yPlan'!A:F,6,FALSE)="","",VLOOKUP(A84,'20yPlan'!A:F,6,FALSE))</f>
        <v/>
      </c>
      <c r="AJ84" s="7" t="str">
        <f t="shared" si="15"/>
        <v>2042 Chip Seal</v>
      </c>
      <c r="AK84" s="7" t="str">
        <f t="shared" si="16"/>
        <v/>
      </c>
      <c r="AL84" s="39">
        <f t="shared" ca="1" si="17"/>
        <v>2025</v>
      </c>
      <c r="AM84" s="7" t="str">
        <f t="shared" si="18"/>
        <v/>
      </c>
      <c r="AN84" s="7" t="str">
        <f t="shared" si="19"/>
        <v/>
      </c>
    </row>
    <row r="85" spans="1:40">
      <c r="A85" s="6">
        <v>60086</v>
      </c>
      <c r="B85" s="6" t="s">
        <v>354</v>
      </c>
      <c r="C85" s="6" t="s">
        <v>357</v>
      </c>
      <c r="D85" s="6">
        <v>13.651121</v>
      </c>
      <c r="E85" s="6">
        <v>17.571005</v>
      </c>
      <c r="F85" s="6" t="s">
        <v>358</v>
      </c>
      <c r="G85" s="6" t="s">
        <v>359</v>
      </c>
      <c r="H85" s="35">
        <v>66929</v>
      </c>
      <c r="I85" s="6" t="s">
        <v>195</v>
      </c>
      <c r="J85" s="6">
        <v>17</v>
      </c>
      <c r="K85" s="6">
        <v>2027</v>
      </c>
      <c r="L85" s="6">
        <v>2</v>
      </c>
      <c r="M85" s="6" t="s">
        <v>45</v>
      </c>
      <c r="N85" s="6" t="s">
        <v>250</v>
      </c>
      <c r="O85" s="6" t="s">
        <v>121</v>
      </c>
      <c r="P85" s="6" t="s">
        <v>122</v>
      </c>
      <c r="Q85" s="6" t="s">
        <v>162</v>
      </c>
      <c r="R85" s="35">
        <v>1432</v>
      </c>
      <c r="S85" s="6">
        <v>171</v>
      </c>
      <c r="T85" s="36" t="s">
        <v>253</v>
      </c>
      <c r="U85" s="46">
        <f>IF($L85&lt;=2,
IF($R85&lt;=RpmDesignStandard!$C$2,RpmDesignStandard!$D$2,
IF(AND($R85&gt;RpmDesignStandard!$B$3,$R85&lt;=RpmDesignStandard!$C$3),RpmDesignStandard!$D$3,RpmDesignStandard!$D$4)),
IF($R85&lt;=RpmDesignStandard!$C$5, RpmDesignStandard!$D$5,
IF(AND($R85&gt;RpmDesignStandard!$B$6,$R85&lt;=RpmDesignStandard!$C$6),RpmDesignStandard!$D$6,
IF(AND($R85&gt;RpmDesignStandard!$B$7,$R85&lt;=RpmDesignStandard!$C$7),RpmDesignStandard!$D$7,RpmDesignStandard!$D$8))))</f>
        <v>4</v>
      </c>
      <c r="V85" s="47">
        <f>U85*RpmDesignStandard!$H$1</f>
        <v>8</v>
      </c>
      <c r="W85" s="37" t="str">
        <f>VLOOKUP(A85,RPM_ProjectRecord!A:AB,8,FALSE)</f>
        <v/>
      </c>
      <c r="X85" s="38" t="str">
        <f t="shared" si="10"/>
        <v/>
      </c>
      <c r="Y85" s="38" t="str">
        <f t="shared" si="11"/>
        <v/>
      </c>
      <c r="Z85" s="38" t="str">
        <f t="shared" si="12"/>
        <v/>
      </c>
      <c r="AA85" s="38" t="str">
        <f t="shared" si="13"/>
        <v/>
      </c>
      <c r="AB85" s="38" t="str">
        <f t="shared" si="14"/>
        <v/>
      </c>
      <c r="AC85" s="38">
        <f>IF(VLOOKUP(A85,'3rdPhaseChipSeal'!A:L,12,FALSE)="","",VLOOKUP(A85,'3rdPhaseChipSeal'!A:L,12,FALSE))</f>
        <v>2027</v>
      </c>
      <c r="AD85" s="38" t="str">
        <f>IFERROR(IF(VLOOKUP(A85,RpmContracts!A:C,3,FALSE)="","",VLOOKUP(A85,RpmContracts!A:C,3,FALSE)),"")</f>
        <v/>
      </c>
      <c r="AE85" s="7" t="str">
        <f>IF(VLOOKUP(A85,'20yPlan'!A:B,2,FALSE)="","",VLOOKUP(A85,'20yPlan'!A:B,2,FALSE))</f>
        <v/>
      </c>
      <c r="AF85" s="7" t="str">
        <f>IF(VLOOKUP(A85,'20yPlan'!A:C,3,FALSE)="","",VLOOKUP(A85,'20yPlan'!A:C,3,FALSE))</f>
        <v/>
      </c>
      <c r="AG85" s="7" t="str">
        <f>IF(VLOOKUP(A85,'20yPlan'!A:D,4,FALSE)="","",VLOOKUP(A85,'20yPlan'!A:D,4,FALSE))</f>
        <v/>
      </c>
      <c r="AH85" s="7" t="str">
        <f>IF(VLOOKUP(A85,'20yPlan'!A:E,5,FALSE)="","",VLOOKUP(A85,'20yPlan'!A:E,5,FALSE))</f>
        <v/>
      </c>
      <c r="AI85" s="7" t="str">
        <f>IF(VLOOKUP(A85,'20yPlan'!A:F,6,FALSE)="","",VLOOKUP(A85,'20yPlan'!A:F,6,FALSE))</f>
        <v/>
      </c>
      <c r="AJ85" s="7" t="str">
        <f t="shared" si="15"/>
        <v>2027 Chip Seal</v>
      </c>
      <c r="AK85" s="7" t="str">
        <f t="shared" si="16"/>
        <v/>
      </c>
      <c r="AL85" s="39">
        <f t="shared" ca="1" si="17"/>
        <v>2025</v>
      </c>
      <c r="AM85" s="7" t="str">
        <f t="shared" si="18"/>
        <v/>
      </c>
      <c r="AN85" s="7" t="str">
        <f t="shared" si="19"/>
        <v/>
      </c>
    </row>
    <row r="86" spans="1:40">
      <c r="A86" s="6">
        <v>60087</v>
      </c>
      <c r="B86" s="6" t="s">
        <v>360</v>
      </c>
      <c r="C86" s="6" t="s">
        <v>361</v>
      </c>
      <c r="D86" s="6">
        <v>0</v>
      </c>
      <c r="E86" s="6">
        <v>4.9249369999999999</v>
      </c>
      <c r="F86" s="6" t="s">
        <v>362</v>
      </c>
      <c r="G86" s="6" t="s">
        <v>363</v>
      </c>
      <c r="H86" s="35">
        <v>91856</v>
      </c>
      <c r="I86" s="6" t="s">
        <v>195</v>
      </c>
      <c r="J86" s="6">
        <v>13</v>
      </c>
      <c r="K86" s="6">
        <v>2027</v>
      </c>
      <c r="L86" s="6">
        <v>2</v>
      </c>
      <c r="M86" s="6" t="s">
        <v>45</v>
      </c>
      <c r="N86" s="6" t="s">
        <v>250</v>
      </c>
      <c r="O86" s="6" t="s">
        <v>79</v>
      </c>
      <c r="P86" s="6" t="s">
        <v>210</v>
      </c>
      <c r="Q86" s="6" t="s">
        <v>321</v>
      </c>
      <c r="R86" s="35">
        <v>1781</v>
      </c>
      <c r="S86" s="6">
        <v>193</v>
      </c>
      <c r="T86" s="36" t="s">
        <v>253</v>
      </c>
      <c r="U86" s="46">
        <f>IF($L86&lt;=2,
IF($R86&lt;=RpmDesignStandard!$C$2,RpmDesignStandard!$D$2,
IF(AND($R86&gt;RpmDesignStandard!$B$3,$R86&lt;=RpmDesignStandard!$C$3),RpmDesignStandard!$D$3,RpmDesignStandard!$D$4)),
IF($R86&lt;=RpmDesignStandard!$C$5, RpmDesignStandard!$D$5,
IF(AND($R86&gt;RpmDesignStandard!$B$6,$R86&lt;=RpmDesignStandard!$C$6),RpmDesignStandard!$D$6,
IF(AND($R86&gt;RpmDesignStandard!$B$7,$R86&lt;=RpmDesignStandard!$C$7),RpmDesignStandard!$D$7,RpmDesignStandard!$D$8))))</f>
        <v>4</v>
      </c>
      <c r="V86" s="47">
        <f>U86*RpmDesignStandard!$H$1</f>
        <v>8</v>
      </c>
      <c r="W86" s="37" t="str">
        <f>VLOOKUP(A86,RPM_ProjectRecord!A:AB,8,FALSE)</f>
        <v/>
      </c>
      <c r="X86" s="38" t="str">
        <f t="shared" si="10"/>
        <v/>
      </c>
      <c r="Y86" s="38" t="str">
        <f t="shared" si="11"/>
        <v/>
      </c>
      <c r="Z86" s="38" t="str">
        <f t="shared" si="12"/>
        <v/>
      </c>
      <c r="AA86" s="38" t="str">
        <f t="shared" si="13"/>
        <v/>
      </c>
      <c r="AB86" s="38" t="str">
        <f t="shared" si="14"/>
        <v/>
      </c>
      <c r="AC86" s="38">
        <f>IF(VLOOKUP(A86,'3rdPhaseChipSeal'!A:L,12,FALSE)="","",VLOOKUP(A86,'3rdPhaseChipSeal'!A:L,12,FALSE))</f>
        <v>2033</v>
      </c>
      <c r="AD86" s="38" t="str">
        <f>IFERROR(IF(VLOOKUP(A86,RpmContracts!A:C,3,FALSE)="","",VLOOKUP(A86,RpmContracts!A:C,3,FALSE)),"")</f>
        <v/>
      </c>
      <c r="AE86" s="7" t="str">
        <f>IF(VLOOKUP(A86,'20yPlan'!A:B,2,FALSE)="","",VLOOKUP(A86,'20yPlan'!A:B,2,FALSE))</f>
        <v/>
      </c>
      <c r="AF86" s="7" t="str">
        <f>IF(VLOOKUP(A86,'20yPlan'!A:C,3,FALSE)="","",VLOOKUP(A86,'20yPlan'!A:C,3,FALSE))</f>
        <v/>
      </c>
      <c r="AG86" s="7" t="str">
        <f>IF(VLOOKUP(A86,'20yPlan'!A:D,4,FALSE)="","",VLOOKUP(A86,'20yPlan'!A:D,4,FALSE))</f>
        <v/>
      </c>
      <c r="AH86" s="7" t="str">
        <f>IF(VLOOKUP(A86,'20yPlan'!A:E,5,FALSE)="","",VLOOKUP(A86,'20yPlan'!A:E,5,FALSE))</f>
        <v/>
      </c>
      <c r="AI86" s="7" t="str">
        <f>IF(VLOOKUP(A86,'20yPlan'!A:F,6,FALSE)="","",VLOOKUP(A86,'20yPlan'!A:F,6,FALSE))</f>
        <v/>
      </c>
      <c r="AJ86" s="7" t="str">
        <f t="shared" si="15"/>
        <v>2033 Chip Seal</v>
      </c>
      <c r="AK86" s="7" t="str">
        <f t="shared" si="16"/>
        <v/>
      </c>
      <c r="AL86" s="39">
        <f t="shared" ca="1" si="17"/>
        <v>2025</v>
      </c>
      <c r="AM86" s="7" t="str">
        <f t="shared" si="18"/>
        <v/>
      </c>
      <c r="AN86" s="7" t="str">
        <f t="shared" si="19"/>
        <v/>
      </c>
    </row>
    <row r="87" spans="1:40">
      <c r="A87" s="6">
        <v>60088</v>
      </c>
      <c r="B87" s="6" t="s">
        <v>360</v>
      </c>
      <c r="C87" s="6" t="s">
        <v>364</v>
      </c>
      <c r="D87" s="6">
        <v>8.1383430000000008</v>
      </c>
      <c r="E87" s="6">
        <v>12.731624</v>
      </c>
      <c r="F87" s="6" t="s">
        <v>365</v>
      </c>
      <c r="G87" s="6" t="s">
        <v>366</v>
      </c>
      <c r="H87" s="35">
        <v>67835</v>
      </c>
      <c r="I87" s="6" t="s">
        <v>195</v>
      </c>
      <c r="J87" s="6">
        <v>22</v>
      </c>
      <c r="K87" s="6">
        <v>2026</v>
      </c>
      <c r="L87" s="6">
        <v>2</v>
      </c>
      <c r="M87" s="6" t="s">
        <v>45</v>
      </c>
      <c r="N87" s="6" t="s">
        <v>250</v>
      </c>
      <c r="O87" s="6" t="s">
        <v>79</v>
      </c>
      <c r="P87" s="6" t="s">
        <v>314</v>
      </c>
      <c r="Q87" s="6" t="s">
        <v>321</v>
      </c>
      <c r="R87" s="6">
        <v>743</v>
      </c>
      <c r="S87" s="6">
        <v>40</v>
      </c>
      <c r="T87" s="36" t="s">
        <v>253</v>
      </c>
      <c r="U87" s="46">
        <f>IF($L87&lt;=2,
IF($R87&lt;=RpmDesignStandard!$C$2,RpmDesignStandard!$D$2,
IF(AND($R87&gt;RpmDesignStandard!$B$3,$R87&lt;=RpmDesignStandard!$C$3),RpmDesignStandard!$D$3,RpmDesignStandard!$D$4)),
IF($R87&lt;=RpmDesignStandard!$C$5, RpmDesignStandard!$D$5,
IF(AND($R87&gt;RpmDesignStandard!$B$6,$R87&lt;=RpmDesignStandard!$C$6),RpmDesignStandard!$D$6,
IF(AND($R87&gt;RpmDesignStandard!$B$7,$R87&lt;=RpmDesignStandard!$C$7),RpmDesignStandard!$D$7,RpmDesignStandard!$D$8))))</f>
        <v>4</v>
      </c>
      <c r="V87" s="47">
        <f>U87*RpmDesignStandard!$H$1</f>
        <v>8</v>
      </c>
      <c r="W87" s="37" t="str">
        <f>VLOOKUP(A87,RPM_ProjectRecord!A:AB,8,FALSE)</f>
        <v/>
      </c>
      <c r="X87" s="38" t="str">
        <f t="shared" si="10"/>
        <v/>
      </c>
      <c r="Y87" s="38" t="str">
        <f t="shared" si="11"/>
        <v/>
      </c>
      <c r="Z87" s="38" t="str">
        <f t="shared" si="12"/>
        <v/>
      </c>
      <c r="AA87" s="38" t="str">
        <f t="shared" si="13"/>
        <v/>
      </c>
      <c r="AB87" s="38" t="str">
        <f t="shared" si="14"/>
        <v/>
      </c>
      <c r="AC87" s="38">
        <f>IF(VLOOKUP(A87,'3rdPhaseChipSeal'!A:L,12,FALSE)="","",VLOOKUP(A87,'3rdPhaseChipSeal'!A:L,12,FALSE))</f>
        <v>2026</v>
      </c>
      <c r="AD87" s="38" t="str">
        <f>IFERROR(IF(VLOOKUP(A87,RpmContracts!A:C,3,FALSE)="","",VLOOKUP(A87,RpmContracts!A:C,3,FALSE)),"")</f>
        <v/>
      </c>
      <c r="AE87" s="7" t="str">
        <f>IF(VLOOKUP(A87,'20yPlan'!A:B,2,FALSE)="","",VLOOKUP(A87,'20yPlan'!A:B,2,FALSE))</f>
        <v/>
      </c>
      <c r="AF87" s="7" t="str">
        <f>IF(VLOOKUP(A87,'20yPlan'!A:C,3,FALSE)="","",VLOOKUP(A87,'20yPlan'!A:C,3,FALSE))</f>
        <v/>
      </c>
      <c r="AG87" s="7" t="str">
        <f>IF(VLOOKUP(A87,'20yPlan'!A:D,4,FALSE)="","",VLOOKUP(A87,'20yPlan'!A:D,4,FALSE))</f>
        <v/>
      </c>
      <c r="AH87" s="7" t="str">
        <f>IF(VLOOKUP(A87,'20yPlan'!A:E,5,FALSE)="","",VLOOKUP(A87,'20yPlan'!A:E,5,FALSE))</f>
        <v/>
      </c>
      <c r="AI87" s="7" t="str">
        <f>IF(VLOOKUP(A87,'20yPlan'!A:F,6,FALSE)="","",VLOOKUP(A87,'20yPlan'!A:F,6,FALSE))</f>
        <v/>
      </c>
      <c r="AJ87" s="7" t="str">
        <f t="shared" si="15"/>
        <v>2026 Chip Seal</v>
      </c>
      <c r="AK87" s="7" t="str">
        <f t="shared" si="16"/>
        <v/>
      </c>
      <c r="AL87" s="39">
        <f t="shared" ca="1" si="17"/>
        <v>2025</v>
      </c>
      <c r="AM87" s="7" t="str">
        <f t="shared" si="18"/>
        <v/>
      </c>
      <c r="AN87" s="7" t="str">
        <f t="shared" si="19"/>
        <v/>
      </c>
    </row>
    <row r="88" spans="1:40">
      <c r="A88" s="6">
        <v>60089</v>
      </c>
      <c r="B88" s="6" t="s">
        <v>367</v>
      </c>
      <c r="C88" s="6" t="s">
        <v>368</v>
      </c>
      <c r="D88" s="6">
        <v>0</v>
      </c>
      <c r="E88" s="6">
        <v>4.4627739999999996</v>
      </c>
      <c r="F88" s="6" t="s">
        <v>53</v>
      </c>
      <c r="G88" s="6" t="s">
        <v>369</v>
      </c>
      <c r="H88" s="35">
        <v>58948</v>
      </c>
      <c r="I88" s="6" t="s">
        <v>195</v>
      </c>
      <c r="J88" s="6">
        <v>20</v>
      </c>
      <c r="K88" s="6">
        <v>2031</v>
      </c>
      <c r="L88" s="6">
        <v>2</v>
      </c>
      <c r="M88" s="6" t="s">
        <v>45</v>
      </c>
      <c r="N88" s="6" t="s">
        <v>250</v>
      </c>
      <c r="O88" s="6" t="s">
        <v>215</v>
      </c>
      <c r="P88" s="6" t="s">
        <v>216</v>
      </c>
      <c r="Q88" s="6" t="s">
        <v>370</v>
      </c>
      <c r="R88" s="6">
        <v>167</v>
      </c>
      <c r="S88" s="6">
        <v>13</v>
      </c>
      <c r="T88" s="36" t="s">
        <v>253</v>
      </c>
      <c r="U88" s="46">
        <f>IF($L88&lt;=2,
IF($R88&lt;=RpmDesignStandard!$C$2,RpmDesignStandard!$D$2,
IF(AND($R88&gt;RpmDesignStandard!$B$3,$R88&lt;=RpmDesignStandard!$C$3),RpmDesignStandard!$D$3,RpmDesignStandard!$D$4)),
IF($R88&lt;=RpmDesignStandard!$C$5, RpmDesignStandard!$D$5,
IF(AND($R88&gt;RpmDesignStandard!$B$6,$R88&lt;=RpmDesignStandard!$C$6),RpmDesignStandard!$D$6,
IF(AND($R88&gt;RpmDesignStandard!$B$7,$R88&lt;=RpmDesignStandard!$C$7),RpmDesignStandard!$D$7,RpmDesignStandard!$D$8))))</f>
        <v>4</v>
      </c>
      <c r="V88" s="47">
        <f>U88*RpmDesignStandard!$H$1</f>
        <v>8</v>
      </c>
      <c r="W88" s="37">
        <f>VLOOKUP(A88,RPM_ProjectRecord!A:AB,8,FALSE)</f>
        <v>2022</v>
      </c>
      <c r="X88" s="38" t="str">
        <f t="shared" si="10"/>
        <v/>
      </c>
      <c r="Y88" s="38" t="str">
        <f t="shared" si="11"/>
        <v/>
      </c>
      <c r="Z88" s="38" t="str">
        <f t="shared" si="12"/>
        <v/>
      </c>
      <c r="AA88" s="38" t="str">
        <f t="shared" si="13"/>
        <v/>
      </c>
      <c r="AB88" s="38" t="str">
        <f t="shared" si="14"/>
        <v/>
      </c>
      <c r="AC88" s="38" t="str">
        <f>IF(VLOOKUP(A88,'3rdPhaseChipSeal'!A:L,12,FALSE)="","",VLOOKUP(A88,'3rdPhaseChipSeal'!A:L,12,FALSE))</f>
        <v/>
      </c>
      <c r="AD88" s="38" t="str">
        <f>IFERROR(IF(VLOOKUP(A88,RpmContracts!A:C,3,FALSE)="","",VLOOKUP(A88,RpmContracts!A:C,3,FALSE)),"")</f>
        <v/>
      </c>
      <c r="AE88" s="7" t="str">
        <f>IF(VLOOKUP(A88,'20yPlan'!A:B,2,FALSE)="","",VLOOKUP(A88,'20yPlan'!A:B,2,FALSE))</f>
        <v/>
      </c>
      <c r="AF88" s="7" t="str">
        <f>IF(VLOOKUP(A88,'20yPlan'!A:C,3,FALSE)="","",VLOOKUP(A88,'20yPlan'!A:C,3,FALSE))</f>
        <v/>
      </c>
      <c r="AG88" s="7" t="str">
        <f>IF(VLOOKUP(A88,'20yPlan'!A:D,4,FALSE)="","",VLOOKUP(A88,'20yPlan'!A:D,4,FALSE))</f>
        <v/>
      </c>
      <c r="AH88" s="7" t="str">
        <f>IF(VLOOKUP(A88,'20yPlan'!A:E,5,FALSE)="","",VLOOKUP(A88,'20yPlan'!A:E,5,FALSE))</f>
        <v/>
      </c>
      <c r="AI88" s="7" t="str">
        <f>IF(VLOOKUP(A88,'20yPlan'!A:F,6,FALSE)="","",VLOOKUP(A88,'20yPlan'!A:F,6,FALSE))</f>
        <v/>
      </c>
      <c r="AJ88" s="7" t="str">
        <f t="shared" si="15"/>
        <v/>
      </c>
      <c r="AK88" s="7" t="str">
        <f t="shared" si="16"/>
        <v/>
      </c>
      <c r="AL88" s="39">
        <f t="shared" ca="1" si="17"/>
        <v>2026</v>
      </c>
      <c r="AM88" s="7" t="str">
        <f t="shared" si="18"/>
        <v/>
      </c>
      <c r="AN88" s="7" t="str">
        <f t="shared" si="19"/>
        <v/>
      </c>
    </row>
    <row r="89" spans="1:40">
      <c r="A89" s="6">
        <v>60090</v>
      </c>
      <c r="B89" s="6" t="s">
        <v>367</v>
      </c>
      <c r="C89" s="6" t="s">
        <v>371</v>
      </c>
      <c r="D89" s="6">
        <v>4.4627739999999996</v>
      </c>
      <c r="E89" s="6">
        <v>17.25881</v>
      </c>
      <c r="F89" s="6" t="s">
        <v>369</v>
      </c>
      <c r="G89" s="6" t="s">
        <v>372</v>
      </c>
      <c r="H89" s="35">
        <v>209812</v>
      </c>
      <c r="I89" s="6" t="s">
        <v>195</v>
      </c>
      <c r="J89" s="6">
        <v>20</v>
      </c>
      <c r="K89" s="6">
        <v>2031</v>
      </c>
      <c r="L89" s="6">
        <v>2</v>
      </c>
      <c r="M89" s="6" t="s">
        <v>45</v>
      </c>
      <c r="N89" s="6" t="s">
        <v>250</v>
      </c>
      <c r="O89" s="6" t="s">
        <v>373</v>
      </c>
      <c r="P89" s="6" t="s">
        <v>374</v>
      </c>
      <c r="Q89" s="6" t="s">
        <v>123</v>
      </c>
      <c r="R89" s="35">
        <v>1021</v>
      </c>
      <c r="S89" s="6">
        <v>123</v>
      </c>
      <c r="T89" s="36" t="s">
        <v>253</v>
      </c>
      <c r="U89" s="46">
        <f>IF($L89&lt;=2,
IF($R89&lt;=RpmDesignStandard!$C$2,RpmDesignStandard!$D$2,
IF(AND($R89&gt;RpmDesignStandard!$B$3,$R89&lt;=RpmDesignStandard!$C$3),RpmDesignStandard!$D$3,RpmDesignStandard!$D$4)),
IF($R89&lt;=RpmDesignStandard!$C$5, RpmDesignStandard!$D$5,
IF(AND($R89&gt;RpmDesignStandard!$B$6,$R89&lt;=RpmDesignStandard!$C$6),RpmDesignStandard!$D$6,
IF(AND($R89&gt;RpmDesignStandard!$B$7,$R89&lt;=RpmDesignStandard!$C$7),RpmDesignStandard!$D$7,RpmDesignStandard!$D$8))))</f>
        <v>4</v>
      </c>
      <c r="V89" s="47">
        <f>U89*RpmDesignStandard!$H$1</f>
        <v>8</v>
      </c>
      <c r="W89" s="37">
        <f>VLOOKUP(A89,RPM_ProjectRecord!A:AB,8,FALSE)</f>
        <v>2024</v>
      </c>
      <c r="X89" s="38" t="str">
        <f t="shared" si="10"/>
        <v/>
      </c>
      <c r="Y89" s="38" t="str">
        <f t="shared" si="11"/>
        <v/>
      </c>
      <c r="Z89" s="38" t="str">
        <f t="shared" si="12"/>
        <v/>
      </c>
      <c r="AA89" s="38" t="str">
        <f t="shared" si="13"/>
        <v/>
      </c>
      <c r="AB89" s="38" t="str">
        <f t="shared" si="14"/>
        <v/>
      </c>
      <c r="AC89" s="38" t="str">
        <f>IF(VLOOKUP(A89,'3rdPhaseChipSeal'!A:L,12,FALSE)="","",VLOOKUP(A89,'3rdPhaseChipSeal'!A:L,12,FALSE))</f>
        <v/>
      </c>
      <c r="AD89" s="38" t="str">
        <f>IFERROR(IF(VLOOKUP(A89,RpmContracts!A:C,3,FALSE)="","",VLOOKUP(A89,RpmContracts!A:C,3,FALSE)),"")</f>
        <v/>
      </c>
      <c r="AE89" s="7" t="str">
        <f>IF(VLOOKUP(A89,'20yPlan'!A:B,2,FALSE)="","",VLOOKUP(A89,'20yPlan'!A:B,2,FALSE))</f>
        <v/>
      </c>
      <c r="AF89" s="7" t="str">
        <f>IF(VLOOKUP(A89,'20yPlan'!A:C,3,FALSE)="","",VLOOKUP(A89,'20yPlan'!A:C,3,FALSE))</f>
        <v/>
      </c>
      <c r="AG89" s="7" t="str">
        <f>IF(VLOOKUP(A89,'20yPlan'!A:D,4,FALSE)="","",VLOOKUP(A89,'20yPlan'!A:D,4,FALSE))</f>
        <v/>
      </c>
      <c r="AH89" s="7" t="str">
        <f>IF(VLOOKUP(A89,'20yPlan'!A:E,5,FALSE)="","",VLOOKUP(A89,'20yPlan'!A:E,5,FALSE))</f>
        <v/>
      </c>
      <c r="AI89" s="7" t="str">
        <f>IF(VLOOKUP(A89,'20yPlan'!A:F,6,FALSE)="","",VLOOKUP(A89,'20yPlan'!A:F,6,FALSE))</f>
        <v/>
      </c>
      <c r="AJ89" s="7" t="str">
        <f t="shared" si="15"/>
        <v/>
      </c>
      <c r="AK89" s="7" t="str">
        <f t="shared" si="16"/>
        <v/>
      </c>
      <c r="AL89" s="39">
        <f t="shared" ca="1" si="17"/>
        <v>2028</v>
      </c>
      <c r="AM89" s="7" t="str">
        <f t="shared" si="18"/>
        <v/>
      </c>
      <c r="AN89" s="7" t="str">
        <f t="shared" si="19"/>
        <v/>
      </c>
    </row>
    <row r="90" spans="1:40">
      <c r="A90" s="6">
        <v>60091</v>
      </c>
      <c r="B90" s="6" t="s">
        <v>367</v>
      </c>
      <c r="C90" s="6" t="s">
        <v>375</v>
      </c>
      <c r="D90" s="6">
        <v>17.25881</v>
      </c>
      <c r="E90" s="6">
        <v>30.237404000000002</v>
      </c>
      <c r="F90" s="6" t="s">
        <v>372</v>
      </c>
      <c r="G90" s="6" t="s">
        <v>376</v>
      </c>
      <c r="H90" s="35">
        <v>229203</v>
      </c>
      <c r="I90" s="6" t="s">
        <v>195</v>
      </c>
      <c r="J90" s="6">
        <v>7</v>
      </c>
      <c r="K90" s="6"/>
      <c r="L90" s="6">
        <v>2</v>
      </c>
      <c r="M90" s="6" t="s">
        <v>45</v>
      </c>
      <c r="N90" s="6" t="s">
        <v>250</v>
      </c>
      <c r="O90" s="6" t="s">
        <v>47</v>
      </c>
      <c r="P90" s="6" t="s">
        <v>377</v>
      </c>
      <c r="Q90" s="6" t="s">
        <v>127</v>
      </c>
      <c r="R90" s="35">
        <v>3585</v>
      </c>
      <c r="S90" s="6">
        <v>554</v>
      </c>
      <c r="T90" s="36" t="s">
        <v>304</v>
      </c>
      <c r="U90" s="46">
        <f>IF($L90&lt;=2,
IF($R90&lt;=RpmDesignStandard!$C$2,RpmDesignStandard!$D$2,
IF(AND($R90&gt;RpmDesignStandard!$B$3,$R90&lt;=RpmDesignStandard!$C$3),RpmDesignStandard!$D$3,RpmDesignStandard!$D$4)),
IF($R90&lt;=RpmDesignStandard!$C$5, RpmDesignStandard!$D$5,
IF(AND($R90&gt;RpmDesignStandard!$B$6,$R90&lt;=RpmDesignStandard!$C$6),RpmDesignStandard!$D$6,
IF(AND($R90&gt;RpmDesignStandard!$B$7,$R90&lt;=RpmDesignStandard!$C$7),RpmDesignStandard!$D$7,RpmDesignStandard!$D$8))))</f>
        <v>4</v>
      </c>
      <c r="V90" s="47">
        <f>U90*RpmDesignStandard!$H$1</f>
        <v>8</v>
      </c>
      <c r="W90" s="37" t="str">
        <f>VLOOKUP(A90,RPM_ProjectRecord!A:AB,8,FALSE)</f>
        <v/>
      </c>
      <c r="X90" s="38">
        <f t="shared" si="10"/>
        <v>2041</v>
      </c>
      <c r="Y90" s="38" t="str">
        <f t="shared" si="11"/>
        <v/>
      </c>
      <c r="Z90" s="38" t="str">
        <f t="shared" si="12"/>
        <v/>
      </c>
      <c r="AA90" s="38" t="str">
        <f t="shared" si="13"/>
        <v/>
      </c>
      <c r="AB90" s="38" t="str">
        <f t="shared" si="14"/>
        <v/>
      </c>
      <c r="AC90" s="38" t="str">
        <f>IF(VLOOKUP(A90,'3rdPhaseChipSeal'!A:L,12,FALSE)="","",VLOOKUP(A90,'3rdPhaseChipSeal'!A:L,12,FALSE))</f>
        <v/>
      </c>
      <c r="AD90" s="38">
        <f>IFERROR(IF(VLOOKUP(A90,RpmContracts!A:C,3,FALSE)="","",VLOOKUP(A90,RpmContracts!A:C,3,FALSE)),"")</f>
        <v>2026</v>
      </c>
      <c r="AE90" s="7" t="str">
        <f>IF(VLOOKUP(A90,'20yPlan'!A:B,2,FALSE)="","",VLOOKUP(A90,'20yPlan'!A:B,2,FALSE))</f>
        <v>2041 Preventive Maintenance</v>
      </c>
      <c r="AF90" s="7" t="str">
        <f>IF(VLOOKUP(A90,'20yPlan'!A:C,3,FALSE)="","",VLOOKUP(A90,'20yPlan'!A:C,3,FALSE))</f>
        <v/>
      </c>
      <c r="AG90" s="7" t="str">
        <f>IF(VLOOKUP(A90,'20yPlan'!A:D,4,FALSE)="","",VLOOKUP(A90,'20yPlan'!A:D,4,FALSE))</f>
        <v/>
      </c>
      <c r="AH90" s="7" t="str">
        <f>IF(VLOOKUP(A90,'20yPlan'!A:E,5,FALSE)="","",VLOOKUP(A90,'20yPlan'!A:E,5,FALSE))</f>
        <v/>
      </c>
      <c r="AI90" s="7" t="str">
        <f>IF(VLOOKUP(A90,'20yPlan'!A:F,6,FALSE)="","",VLOOKUP(A90,'20yPlan'!A:F,6,FALSE))</f>
        <v/>
      </c>
      <c r="AJ90" s="7" t="str">
        <f t="shared" si="15"/>
        <v/>
      </c>
      <c r="AK90" s="7" t="str">
        <f t="shared" si="16"/>
        <v>2026 RPM Replacement</v>
      </c>
      <c r="AL90" s="39">
        <f t="shared" ca="1" si="17"/>
        <v>2025</v>
      </c>
      <c r="AM90" s="7">
        <f t="shared" si="18"/>
        <v>2026</v>
      </c>
      <c r="AN90" s="7" t="str">
        <f t="shared" si="19"/>
        <v>2026 RPM Replacement</v>
      </c>
    </row>
    <row r="91" spans="1:40">
      <c r="A91" s="6">
        <v>60092</v>
      </c>
      <c r="B91" s="6" t="s">
        <v>378</v>
      </c>
      <c r="C91" s="6" t="s">
        <v>379</v>
      </c>
      <c r="D91" s="6">
        <v>0</v>
      </c>
      <c r="E91" s="6">
        <v>2.9840100000000001</v>
      </c>
      <c r="F91" s="6" t="s">
        <v>53</v>
      </c>
      <c r="G91" s="6" t="s">
        <v>380</v>
      </c>
      <c r="H91" s="35">
        <v>90770</v>
      </c>
      <c r="I91" s="6" t="s">
        <v>141</v>
      </c>
      <c r="J91" s="6">
        <v>9</v>
      </c>
      <c r="K91" s="6">
        <v>2030</v>
      </c>
      <c r="L91" s="6">
        <v>2</v>
      </c>
      <c r="M91" s="6" t="s">
        <v>45</v>
      </c>
      <c r="N91" s="6" t="s">
        <v>250</v>
      </c>
      <c r="O91" s="6" t="s">
        <v>61</v>
      </c>
      <c r="P91" s="6" t="s">
        <v>381</v>
      </c>
      <c r="Q91" s="6" t="s">
        <v>382</v>
      </c>
      <c r="R91" s="35">
        <v>12797</v>
      </c>
      <c r="S91" s="6">
        <v>973</v>
      </c>
      <c r="T91" s="36" t="s">
        <v>50</v>
      </c>
      <c r="U91" s="46">
        <f>IF($L91&lt;=2,
IF($R91&lt;=RpmDesignStandard!$C$2,RpmDesignStandard!$D$2,
IF(AND($R91&gt;RpmDesignStandard!$B$3,$R91&lt;=RpmDesignStandard!$C$3),RpmDesignStandard!$D$3,RpmDesignStandard!$D$4)),
IF($R91&lt;=RpmDesignStandard!$C$5, RpmDesignStandard!$D$5,
IF(AND($R91&gt;RpmDesignStandard!$B$6,$R91&lt;=RpmDesignStandard!$C$6),RpmDesignStandard!$D$6,
IF(AND($R91&gt;RpmDesignStandard!$B$7,$R91&lt;=RpmDesignStandard!$C$7),RpmDesignStandard!$D$7,RpmDesignStandard!$D$8))))</f>
        <v>3</v>
      </c>
      <c r="V91" s="47">
        <f>U91*RpmDesignStandard!$H$1</f>
        <v>6</v>
      </c>
      <c r="W91" s="37" t="str">
        <f>VLOOKUP(A91,RPM_ProjectRecord!A:AB,8,FALSE)</f>
        <v/>
      </c>
      <c r="X91" s="38">
        <f t="shared" si="10"/>
        <v>2030</v>
      </c>
      <c r="Y91" s="38" t="str">
        <f t="shared" si="11"/>
        <v/>
      </c>
      <c r="Z91" s="38" t="str">
        <f t="shared" si="12"/>
        <v/>
      </c>
      <c r="AA91" s="38" t="str">
        <f t="shared" si="13"/>
        <v/>
      </c>
      <c r="AB91" s="38" t="str">
        <f t="shared" si="14"/>
        <v/>
      </c>
      <c r="AC91" s="38" t="str">
        <f>IF(VLOOKUP(A91,'3rdPhaseChipSeal'!A:L,12,FALSE)="","",VLOOKUP(A91,'3rdPhaseChipSeal'!A:L,12,FALSE))</f>
        <v/>
      </c>
      <c r="AD91" s="38" t="str">
        <f>IFERROR(IF(VLOOKUP(A91,RpmContracts!A:C,3,FALSE)="","",VLOOKUP(A91,RpmContracts!A:C,3,FALSE)),"")</f>
        <v/>
      </c>
      <c r="AE91" s="7" t="str">
        <f>IF(VLOOKUP(A91,'20yPlan'!A:B,2,FALSE)="","",VLOOKUP(A91,'20yPlan'!A:B,2,FALSE))</f>
        <v>2030 Preventive Maintenance</v>
      </c>
      <c r="AF91" s="7" t="str">
        <f>IF(VLOOKUP(A91,'20yPlan'!A:C,3,FALSE)="","",VLOOKUP(A91,'20yPlan'!A:C,3,FALSE))</f>
        <v/>
      </c>
      <c r="AG91" s="7" t="str">
        <f>IF(VLOOKUP(A91,'20yPlan'!A:D,4,FALSE)="","",VLOOKUP(A91,'20yPlan'!A:D,4,FALSE))</f>
        <v/>
      </c>
      <c r="AH91" s="7" t="str">
        <f>IF(VLOOKUP(A91,'20yPlan'!A:E,5,FALSE)="","",VLOOKUP(A91,'20yPlan'!A:E,5,FALSE))</f>
        <v/>
      </c>
      <c r="AI91" s="7" t="str">
        <f>IF(VLOOKUP(A91,'20yPlan'!A:F,6,FALSE)="","",VLOOKUP(A91,'20yPlan'!A:F,6,FALSE))</f>
        <v/>
      </c>
      <c r="AJ91" s="7" t="str">
        <f t="shared" si="15"/>
        <v/>
      </c>
      <c r="AK91" s="7" t="str">
        <f t="shared" si="16"/>
        <v/>
      </c>
      <c r="AL91" s="39">
        <f t="shared" ca="1" si="17"/>
        <v>2025</v>
      </c>
      <c r="AM91" s="7" t="str">
        <f t="shared" si="18"/>
        <v/>
      </c>
      <c r="AN91" s="7" t="str">
        <f t="shared" si="19"/>
        <v/>
      </c>
    </row>
    <row r="92" spans="1:40">
      <c r="A92" s="6">
        <v>60093</v>
      </c>
      <c r="B92" s="6" t="s">
        <v>383</v>
      </c>
      <c r="C92" s="6" t="s">
        <v>384</v>
      </c>
      <c r="D92" s="6">
        <v>0</v>
      </c>
      <c r="E92" s="6">
        <v>4.8586130000000001</v>
      </c>
      <c r="F92" s="6" t="s">
        <v>53</v>
      </c>
      <c r="G92" s="6" t="s">
        <v>385</v>
      </c>
      <c r="H92" s="35">
        <v>67290</v>
      </c>
      <c r="I92" s="6" t="s">
        <v>195</v>
      </c>
      <c r="J92" s="6">
        <v>3</v>
      </c>
      <c r="K92" s="6">
        <v>2028</v>
      </c>
      <c r="L92" s="6">
        <v>2</v>
      </c>
      <c r="M92" s="6" t="s">
        <v>45</v>
      </c>
      <c r="N92" s="6" t="s">
        <v>250</v>
      </c>
      <c r="O92" s="6" t="s">
        <v>215</v>
      </c>
      <c r="P92" s="6" t="s">
        <v>216</v>
      </c>
      <c r="Q92" s="6" t="s">
        <v>269</v>
      </c>
      <c r="R92" s="6">
        <v>802</v>
      </c>
      <c r="S92" s="6">
        <v>25</v>
      </c>
      <c r="T92" s="36" t="s">
        <v>253</v>
      </c>
      <c r="U92" s="46">
        <f>IF($L92&lt;=2,
IF($R92&lt;=RpmDesignStandard!$C$2,RpmDesignStandard!$D$2,
IF(AND($R92&gt;RpmDesignStandard!$B$3,$R92&lt;=RpmDesignStandard!$C$3),RpmDesignStandard!$D$3,RpmDesignStandard!$D$4)),
IF($R92&lt;=RpmDesignStandard!$C$5, RpmDesignStandard!$D$5,
IF(AND($R92&gt;RpmDesignStandard!$B$6,$R92&lt;=RpmDesignStandard!$C$6),RpmDesignStandard!$D$6,
IF(AND($R92&gt;RpmDesignStandard!$B$7,$R92&lt;=RpmDesignStandard!$C$7),RpmDesignStandard!$D$7,RpmDesignStandard!$D$8))))</f>
        <v>4</v>
      </c>
      <c r="V92" s="47">
        <f>U92*RpmDesignStandard!$H$1</f>
        <v>8</v>
      </c>
      <c r="W92" s="37" t="str">
        <f>VLOOKUP(A92,RPM_ProjectRecord!A:AB,8,FALSE)</f>
        <v/>
      </c>
      <c r="X92" s="38" t="str">
        <f t="shared" si="10"/>
        <v/>
      </c>
      <c r="Y92" s="38" t="str">
        <f t="shared" si="11"/>
        <v/>
      </c>
      <c r="Z92" s="38" t="str">
        <f t="shared" si="12"/>
        <v/>
      </c>
      <c r="AA92" s="38" t="str">
        <f t="shared" si="13"/>
        <v/>
      </c>
      <c r="AB92" s="38" t="str">
        <f t="shared" si="14"/>
        <v/>
      </c>
      <c r="AC92" s="38">
        <f>IF(VLOOKUP(A92,'3rdPhaseChipSeal'!A:L,12,FALSE)="","",VLOOKUP(A92,'3rdPhaseChipSeal'!A:L,12,FALSE))</f>
        <v>2042</v>
      </c>
      <c r="AD92" s="38">
        <f>IFERROR(IF(VLOOKUP(A92,RpmContracts!A:C,3,FALSE)="","",VLOOKUP(A92,RpmContracts!A:C,3,FALSE)),"")</f>
        <v>2026</v>
      </c>
      <c r="AE92" s="7" t="str">
        <f>IF(VLOOKUP(A92,'20yPlan'!A:B,2,FALSE)="","",VLOOKUP(A92,'20yPlan'!A:B,2,FALSE))</f>
        <v/>
      </c>
      <c r="AF92" s="7" t="str">
        <f>IF(VLOOKUP(A92,'20yPlan'!A:C,3,FALSE)="","",VLOOKUP(A92,'20yPlan'!A:C,3,FALSE))</f>
        <v/>
      </c>
      <c r="AG92" s="7" t="str">
        <f>IF(VLOOKUP(A92,'20yPlan'!A:D,4,FALSE)="","",VLOOKUP(A92,'20yPlan'!A:D,4,FALSE))</f>
        <v/>
      </c>
      <c r="AH92" s="7" t="str">
        <f>IF(VLOOKUP(A92,'20yPlan'!A:E,5,FALSE)="","",VLOOKUP(A92,'20yPlan'!A:E,5,FALSE))</f>
        <v/>
      </c>
      <c r="AI92" s="7" t="str">
        <f>IF(VLOOKUP(A92,'20yPlan'!A:F,6,FALSE)="","",VLOOKUP(A92,'20yPlan'!A:F,6,FALSE))</f>
        <v/>
      </c>
      <c r="AJ92" s="7" t="str">
        <f t="shared" si="15"/>
        <v>2042 Chip Seal</v>
      </c>
      <c r="AK92" s="7" t="str">
        <f t="shared" si="16"/>
        <v>2026 RPM Replacement</v>
      </c>
      <c r="AL92" s="39">
        <f t="shared" ca="1" si="17"/>
        <v>2025</v>
      </c>
      <c r="AM92" s="7">
        <f t="shared" si="18"/>
        <v>2026</v>
      </c>
      <c r="AN92" s="7" t="str">
        <f t="shared" si="19"/>
        <v>2026 RPM Replacement</v>
      </c>
    </row>
    <row r="93" spans="1:40">
      <c r="A93" s="6">
        <v>60094</v>
      </c>
      <c r="B93" s="6" t="s">
        <v>386</v>
      </c>
      <c r="C93" s="6" t="s">
        <v>387</v>
      </c>
      <c r="D93" s="6">
        <v>0</v>
      </c>
      <c r="E93" s="6">
        <v>0.88983400000000001</v>
      </c>
      <c r="F93" s="6" t="s">
        <v>53</v>
      </c>
      <c r="G93" s="6" t="s">
        <v>388</v>
      </c>
      <c r="H93" s="35">
        <v>14049</v>
      </c>
      <c r="I93" s="6" t="s">
        <v>195</v>
      </c>
      <c r="J93" s="6">
        <v>20</v>
      </c>
      <c r="K93" s="6">
        <v>2026</v>
      </c>
      <c r="L93" s="6">
        <v>2</v>
      </c>
      <c r="M93" s="6" t="s">
        <v>45</v>
      </c>
      <c r="N93" s="6" t="s">
        <v>250</v>
      </c>
      <c r="O93" s="6" t="s">
        <v>61</v>
      </c>
      <c r="P93" s="6" t="s">
        <v>338</v>
      </c>
      <c r="Q93" s="6" t="s">
        <v>339</v>
      </c>
      <c r="R93" s="6">
        <v>105</v>
      </c>
      <c r="S93" s="6">
        <v>5</v>
      </c>
      <c r="T93" s="36" t="s">
        <v>253</v>
      </c>
      <c r="U93" s="46">
        <f>IF($L93&lt;=2,
IF($R93&lt;=RpmDesignStandard!$C$2,RpmDesignStandard!$D$2,
IF(AND($R93&gt;RpmDesignStandard!$B$3,$R93&lt;=RpmDesignStandard!$C$3),RpmDesignStandard!$D$3,RpmDesignStandard!$D$4)),
IF($R93&lt;=RpmDesignStandard!$C$5, RpmDesignStandard!$D$5,
IF(AND($R93&gt;RpmDesignStandard!$B$6,$R93&lt;=RpmDesignStandard!$C$6),RpmDesignStandard!$D$6,
IF(AND($R93&gt;RpmDesignStandard!$B$7,$R93&lt;=RpmDesignStandard!$C$7),RpmDesignStandard!$D$7,RpmDesignStandard!$D$8))))</f>
        <v>4</v>
      </c>
      <c r="V93" s="47">
        <f>U93*RpmDesignStandard!$H$1</f>
        <v>8</v>
      </c>
      <c r="W93" s="37" t="str">
        <f>VLOOKUP(A93,RPM_ProjectRecord!A:AB,8,FALSE)</f>
        <v/>
      </c>
      <c r="X93" s="38">
        <f t="shared" si="10"/>
        <v>2038</v>
      </c>
      <c r="Y93" s="38" t="str">
        <f t="shared" si="11"/>
        <v/>
      </c>
      <c r="Z93" s="38" t="str">
        <f t="shared" si="12"/>
        <v/>
      </c>
      <c r="AA93" s="38" t="str">
        <f t="shared" si="13"/>
        <v/>
      </c>
      <c r="AB93" s="38" t="str">
        <f t="shared" si="14"/>
        <v/>
      </c>
      <c r="AC93" s="38" t="str">
        <f>IF(VLOOKUP(A93,'3rdPhaseChipSeal'!A:L,12,FALSE)="","",VLOOKUP(A93,'3rdPhaseChipSeal'!A:L,12,FALSE))</f>
        <v/>
      </c>
      <c r="AD93" s="38" t="str">
        <f>IFERROR(IF(VLOOKUP(A93,RpmContracts!A:C,3,FALSE)="","",VLOOKUP(A93,RpmContracts!A:C,3,FALSE)),"")</f>
        <v/>
      </c>
      <c r="AE93" s="7" t="str">
        <f>IF(VLOOKUP(A93,'20yPlan'!A:B,2,FALSE)="","",VLOOKUP(A93,'20yPlan'!A:B,2,FALSE))</f>
        <v>2038 Preventive Maintenance</v>
      </c>
      <c r="AF93" s="7" t="str">
        <f>IF(VLOOKUP(A93,'20yPlan'!A:C,3,FALSE)="","",VLOOKUP(A93,'20yPlan'!A:C,3,FALSE))</f>
        <v/>
      </c>
      <c r="AG93" s="7" t="str">
        <f>IF(VLOOKUP(A93,'20yPlan'!A:D,4,FALSE)="","",VLOOKUP(A93,'20yPlan'!A:D,4,FALSE))</f>
        <v/>
      </c>
      <c r="AH93" s="7" t="str">
        <f>IF(VLOOKUP(A93,'20yPlan'!A:E,5,FALSE)="","",VLOOKUP(A93,'20yPlan'!A:E,5,FALSE))</f>
        <v/>
      </c>
      <c r="AI93" s="7" t="str">
        <f>IF(VLOOKUP(A93,'20yPlan'!A:F,6,FALSE)="","",VLOOKUP(A93,'20yPlan'!A:F,6,FALSE))</f>
        <v/>
      </c>
      <c r="AJ93" s="7" t="str">
        <f t="shared" si="15"/>
        <v/>
      </c>
      <c r="AK93" s="7" t="str">
        <f t="shared" si="16"/>
        <v/>
      </c>
      <c r="AL93" s="39">
        <f t="shared" ca="1" si="17"/>
        <v>2025</v>
      </c>
      <c r="AM93" s="7" t="str">
        <f t="shared" si="18"/>
        <v/>
      </c>
      <c r="AN93" s="7" t="str">
        <f t="shared" si="19"/>
        <v/>
      </c>
    </row>
    <row r="94" spans="1:40">
      <c r="A94" s="6">
        <v>60095</v>
      </c>
      <c r="B94" s="6" t="s">
        <v>389</v>
      </c>
      <c r="C94" s="6" t="s">
        <v>390</v>
      </c>
      <c r="D94" s="6">
        <v>12.303644999999999</v>
      </c>
      <c r="E94" s="6">
        <v>23.766701999999999</v>
      </c>
      <c r="F94" s="6" t="s">
        <v>391</v>
      </c>
      <c r="G94" s="6" t="s">
        <v>392</v>
      </c>
      <c r="H94" s="35">
        <v>168687</v>
      </c>
      <c r="I94" s="6" t="s">
        <v>195</v>
      </c>
      <c r="J94" s="6">
        <v>2</v>
      </c>
      <c r="K94" s="6">
        <v>2028</v>
      </c>
      <c r="L94" s="6">
        <v>2</v>
      </c>
      <c r="M94" s="6" t="s">
        <v>45</v>
      </c>
      <c r="N94" s="6" t="s">
        <v>250</v>
      </c>
      <c r="O94" s="6" t="s">
        <v>196</v>
      </c>
      <c r="P94" s="6" t="s">
        <v>251</v>
      </c>
      <c r="Q94" s="6" t="s">
        <v>260</v>
      </c>
      <c r="R94" s="6">
        <v>763</v>
      </c>
      <c r="S94" s="6">
        <v>46</v>
      </c>
      <c r="T94" s="36" t="s">
        <v>304</v>
      </c>
      <c r="U94" s="46">
        <f>IF($L94&lt;=2,
IF($R94&lt;=RpmDesignStandard!$C$2,RpmDesignStandard!$D$2,
IF(AND($R94&gt;RpmDesignStandard!$B$3,$R94&lt;=RpmDesignStandard!$C$3),RpmDesignStandard!$D$3,RpmDesignStandard!$D$4)),
IF($R94&lt;=RpmDesignStandard!$C$5, RpmDesignStandard!$D$5,
IF(AND($R94&gt;RpmDesignStandard!$B$6,$R94&lt;=RpmDesignStandard!$C$6),RpmDesignStandard!$D$6,
IF(AND($R94&gt;RpmDesignStandard!$B$7,$R94&lt;=RpmDesignStandard!$C$7),RpmDesignStandard!$D$7,RpmDesignStandard!$D$8))))</f>
        <v>4</v>
      </c>
      <c r="V94" s="47">
        <f>U94*RpmDesignStandard!$H$1</f>
        <v>8</v>
      </c>
      <c r="W94" s="37">
        <f>VLOOKUP(A94,RPM_ProjectRecord!A:AB,8,FALSE)</f>
        <v>2021</v>
      </c>
      <c r="X94" s="38" t="str">
        <f t="shared" si="10"/>
        <v/>
      </c>
      <c r="Y94" s="38" t="str">
        <f t="shared" si="11"/>
        <v/>
      </c>
      <c r="Z94" s="38" t="str">
        <f t="shared" si="12"/>
        <v/>
      </c>
      <c r="AA94" s="38" t="str">
        <f t="shared" si="13"/>
        <v/>
      </c>
      <c r="AB94" s="38" t="str">
        <f t="shared" si="14"/>
        <v/>
      </c>
      <c r="AC94" s="38" t="str">
        <f>IF(VLOOKUP(A94,'3rdPhaseChipSeal'!A:L,12,FALSE)="","",VLOOKUP(A94,'3rdPhaseChipSeal'!A:L,12,FALSE))</f>
        <v/>
      </c>
      <c r="AD94" s="38">
        <f>IFERROR(IF(VLOOKUP(A94,RpmContracts!A:C,3,FALSE)="","",VLOOKUP(A94,RpmContracts!A:C,3,FALSE)),"")</f>
        <v>2026</v>
      </c>
      <c r="AE94" s="7" t="str">
        <f>IF(VLOOKUP(A94,'20yPlan'!A:B,2,FALSE)="","",VLOOKUP(A94,'20yPlan'!A:B,2,FALSE))</f>
        <v/>
      </c>
      <c r="AF94" s="7" t="str">
        <f>IF(VLOOKUP(A94,'20yPlan'!A:C,3,FALSE)="","",VLOOKUP(A94,'20yPlan'!A:C,3,FALSE))</f>
        <v/>
      </c>
      <c r="AG94" s="7" t="str">
        <f>IF(VLOOKUP(A94,'20yPlan'!A:D,4,FALSE)="","",VLOOKUP(A94,'20yPlan'!A:D,4,FALSE))</f>
        <v/>
      </c>
      <c r="AH94" s="7" t="str">
        <f>IF(VLOOKUP(A94,'20yPlan'!A:E,5,FALSE)="","",VLOOKUP(A94,'20yPlan'!A:E,5,FALSE))</f>
        <v/>
      </c>
      <c r="AI94" s="7" t="str">
        <f>IF(VLOOKUP(A94,'20yPlan'!A:F,6,FALSE)="","",VLOOKUP(A94,'20yPlan'!A:F,6,FALSE))</f>
        <v/>
      </c>
      <c r="AJ94" s="7" t="str">
        <f t="shared" si="15"/>
        <v/>
      </c>
      <c r="AK94" s="7" t="str">
        <f t="shared" si="16"/>
        <v>2026 RPM Replacement</v>
      </c>
      <c r="AL94" s="39">
        <f t="shared" ca="1" si="17"/>
        <v>2025</v>
      </c>
      <c r="AM94" s="7">
        <f t="shared" si="18"/>
        <v>2026</v>
      </c>
      <c r="AN94" s="7" t="str">
        <f t="shared" si="19"/>
        <v>2026 RPM Replacement</v>
      </c>
    </row>
    <row r="95" spans="1:40">
      <c r="A95" s="6">
        <v>60096</v>
      </c>
      <c r="B95" s="6" t="s">
        <v>393</v>
      </c>
      <c r="C95" s="6" t="s">
        <v>394</v>
      </c>
      <c r="D95" s="6">
        <v>0.85148699999999999</v>
      </c>
      <c r="E95" s="6">
        <v>9.9106470000000009</v>
      </c>
      <c r="F95" s="6" t="s">
        <v>395</v>
      </c>
      <c r="G95" s="6" t="s">
        <v>396</v>
      </c>
      <c r="H95" s="35">
        <v>145986</v>
      </c>
      <c r="I95" s="6" t="s">
        <v>195</v>
      </c>
      <c r="J95" s="6">
        <v>25</v>
      </c>
      <c r="K95" s="6">
        <v>2028</v>
      </c>
      <c r="L95" s="6">
        <v>2</v>
      </c>
      <c r="M95" s="6" t="s">
        <v>45</v>
      </c>
      <c r="N95" s="6" t="s">
        <v>250</v>
      </c>
      <c r="O95" s="6" t="s">
        <v>47</v>
      </c>
      <c r="P95" s="6" t="s">
        <v>377</v>
      </c>
      <c r="Q95" s="6" t="s">
        <v>123</v>
      </c>
      <c r="R95" s="35">
        <v>1699</v>
      </c>
      <c r="S95" s="6">
        <v>185</v>
      </c>
      <c r="T95" s="36" t="s">
        <v>253</v>
      </c>
      <c r="U95" s="46">
        <f>IF($L95&lt;=2,
IF($R95&lt;=RpmDesignStandard!$C$2,RpmDesignStandard!$D$2,
IF(AND($R95&gt;RpmDesignStandard!$B$3,$R95&lt;=RpmDesignStandard!$C$3),RpmDesignStandard!$D$3,RpmDesignStandard!$D$4)),
IF($R95&lt;=RpmDesignStandard!$C$5, RpmDesignStandard!$D$5,
IF(AND($R95&gt;RpmDesignStandard!$B$6,$R95&lt;=RpmDesignStandard!$C$6),RpmDesignStandard!$D$6,
IF(AND($R95&gt;RpmDesignStandard!$B$7,$R95&lt;=RpmDesignStandard!$C$7),RpmDesignStandard!$D$7,RpmDesignStandard!$D$8))))</f>
        <v>4</v>
      </c>
      <c r="V95" s="47">
        <f>U95*RpmDesignStandard!$H$1</f>
        <v>8</v>
      </c>
      <c r="W95" s="37">
        <f>VLOOKUP(A95,RPM_ProjectRecord!A:AB,8,FALSE)</f>
        <v>2022</v>
      </c>
      <c r="X95" s="38" t="str">
        <f t="shared" si="10"/>
        <v/>
      </c>
      <c r="Y95" s="38" t="str">
        <f t="shared" si="11"/>
        <v/>
      </c>
      <c r="Z95" s="38" t="str">
        <f t="shared" si="12"/>
        <v/>
      </c>
      <c r="AA95" s="38" t="str">
        <f t="shared" si="13"/>
        <v/>
      </c>
      <c r="AB95" s="38" t="str">
        <f t="shared" si="14"/>
        <v/>
      </c>
      <c r="AC95" s="38">
        <f>IF(VLOOKUP(A95,'3rdPhaseChipSeal'!A:L,12,FALSE)="","",VLOOKUP(A95,'3rdPhaseChipSeal'!A:L,12,FALSE))</f>
        <v>2042</v>
      </c>
      <c r="AD95" s="38">
        <f>IFERROR(IF(VLOOKUP(A95,RpmContracts!A:C,3,FALSE)="","",VLOOKUP(A95,RpmContracts!A:C,3,FALSE)),"")</f>
        <v>2026</v>
      </c>
      <c r="AE95" s="7" t="str">
        <f>IF(VLOOKUP(A95,'20yPlan'!A:B,2,FALSE)="","",VLOOKUP(A95,'20yPlan'!A:B,2,FALSE))</f>
        <v/>
      </c>
      <c r="AF95" s="7" t="str">
        <f>IF(VLOOKUP(A95,'20yPlan'!A:C,3,FALSE)="","",VLOOKUP(A95,'20yPlan'!A:C,3,FALSE))</f>
        <v/>
      </c>
      <c r="AG95" s="7" t="str">
        <f>IF(VLOOKUP(A95,'20yPlan'!A:D,4,FALSE)="","",VLOOKUP(A95,'20yPlan'!A:D,4,FALSE))</f>
        <v/>
      </c>
      <c r="AH95" s="7" t="str">
        <f>IF(VLOOKUP(A95,'20yPlan'!A:E,5,FALSE)="","",VLOOKUP(A95,'20yPlan'!A:E,5,FALSE))</f>
        <v/>
      </c>
      <c r="AI95" s="7" t="str">
        <f>IF(VLOOKUP(A95,'20yPlan'!A:F,6,FALSE)="","",VLOOKUP(A95,'20yPlan'!A:F,6,FALSE))</f>
        <v/>
      </c>
      <c r="AJ95" s="7" t="str">
        <f t="shared" si="15"/>
        <v>2042 Chip Seal</v>
      </c>
      <c r="AK95" s="7" t="str">
        <f t="shared" si="16"/>
        <v>2026 RPM Replacement</v>
      </c>
      <c r="AL95" s="39">
        <f t="shared" ca="1" si="17"/>
        <v>2026</v>
      </c>
      <c r="AM95" s="7">
        <f t="shared" si="18"/>
        <v>2026</v>
      </c>
      <c r="AN95" s="7" t="str">
        <f t="shared" si="19"/>
        <v>2026 RPM Replacement</v>
      </c>
    </row>
    <row r="96" spans="1:40">
      <c r="A96" s="6">
        <v>60097</v>
      </c>
      <c r="B96" s="6" t="s">
        <v>397</v>
      </c>
      <c r="C96" s="6" t="s">
        <v>398</v>
      </c>
      <c r="D96" s="6">
        <v>0</v>
      </c>
      <c r="E96" s="6">
        <v>1.238426</v>
      </c>
      <c r="F96" s="6" t="s">
        <v>53</v>
      </c>
      <c r="G96" s="6" t="s">
        <v>399</v>
      </c>
      <c r="H96" s="35">
        <v>24901</v>
      </c>
      <c r="I96" s="6" t="s">
        <v>44</v>
      </c>
      <c r="J96" s="6">
        <v>6</v>
      </c>
      <c r="K96" s="6"/>
      <c r="L96" s="6">
        <v>2</v>
      </c>
      <c r="M96" s="6" t="s">
        <v>45</v>
      </c>
      <c r="N96" s="6" t="s">
        <v>250</v>
      </c>
      <c r="O96" s="6" t="s">
        <v>84</v>
      </c>
      <c r="P96" s="6" t="s">
        <v>85</v>
      </c>
      <c r="Q96" s="6" t="s">
        <v>116</v>
      </c>
      <c r="R96" s="35">
        <v>1020</v>
      </c>
      <c r="S96" s="6">
        <v>121</v>
      </c>
      <c r="T96" s="36" t="s">
        <v>50</v>
      </c>
      <c r="U96" s="46">
        <f>IF($L96&lt;=2,
IF($R96&lt;=RpmDesignStandard!$C$2,RpmDesignStandard!$D$2,
IF(AND($R96&gt;RpmDesignStandard!$B$3,$R96&lt;=RpmDesignStandard!$C$3),RpmDesignStandard!$D$3,RpmDesignStandard!$D$4)),
IF($R96&lt;=RpmDesignStandard!$C$5, RpmDesignStandard!$D$5,
IF(AND($R96&gt;RpmDesignStandard!$B$6,$R96&lt;=RpmDesignStandard!$C$6),RpmDesignStandard!$D$6,
IF(AND($R96&gt;RpmDesignStandard!$B$7,$R96&lt;=RpmDesignStandard!$C$7),RpmDesignStandard!$D$7,RpmDesignStandard!$D$8))))</f>
        <v>4</v>
      </c>
      <c r="V96" s="47">
        <f>U96*RpmDesignStandard!$H$1</f>
        <v>8</v>
      </c>
      <c r="W96" s="37" t="str">
        <f>VLOOKUP(A96,RPM_ProjectRecord!A:AB,8,FALSE)</f>
        <v/>
      </c>
      <c r="X96" s="38" t="str">
        <f t="shared" si="10"/>
        <v/>
      </c>
      <c r="Y96" s="38" t="str">
        <f t="shared" si="11"/>
        <v/>
      </c>
      <c r="Z96" s="38" t="str">
        <f t="shared" si="12"/>
        <v/>
      </c>
      <c r="AA96" s="38" t="str">
        <f t="shared" si="13"/>
        <v/>
      </c>
      <c r="AB96" s="38" t="str">
        <f t="shared" si="14"/>
        <v/>
      </c>
      <c r="AC96" s="38" t="str">
        <f>IF(VLOOKUP(A96,'3rdPhaseChipSeal'!A:L,12,FALSE)="","",VLOOKUP(A96,'3rdPhaseChipSeal'!A:L,12,FALSE))</f>
        <v/>
      </c>
      <c r="AD96" s="38" t="str">
        <f>IFERROR(IF(VLOOKUP(A96,RpmContracts!A:C,3,FALSE)="","",VLOOKUP(A96,RpmContracts!A:C,3,FALSE)),"")</f>
        <v/>
      </c>
      <c r="AE96" s="7" t="str">
        <f>IF(VLOOKUP(A96,'20yPlan'!A:B,2,FALSE)="","",VLOOKUP(A96,'20yPlan'!A:B,2,FALSE))</f>
        <v/>
      </c>
      <c r="AF96" s="7" t="str">
        <f>IF(VLOOKUP(A96,'20yPlan'!A:C,3,FALSE)="","",VLOOKUP(A96,'20yPlan'!A:C,3,FALSE))</f>
        <v/>
      </c>
      <c r="AG96" s="7" t="str">
        <f>IF(VLOOKUP(A96,'20yPlan'!A:D,4,FALSE)="","",VLOOKUP(A96,'20yPlan'!A:D,4,FALSE))</f>
        <v/>
      </c>
      <c r="AH96" s="7" t="str">
        <f>IF(VLOOKUP(A96,'20yPlan'!A:E,5,FALSE)="","",VLOOKUP(A96,'20yPlan'!A:E,5,FALSE))</f>
        <v/>
      </c>
      <c r="AI96" s="7" t="str">
        <f>IF(VLOOKUP(A96,'20yPlan'!A:F,6,FALSE)="","",VLOOKUP(A96,'20yPlan'!A:F,6,FALSE))</f>
        <v/>
      </c>
      <c r="AJ96" s="7" t="str">
        <f t="shared" si="15"/>
        <v/>
      </c>
      <c r="AK96" s="7" t="str">
        <f t="shared" si="16"/>
        <v/>
      </c>
      <c r="AL96" s="39">
        <f t="shared" ca="1" si="17"/>
        <v>2025</v>
      </c>
      <c r="AM96" s="7" t="str">
        <f t="shared" si="18"/>
        <v/>
      </c>
      <c r="AN96" s="7" t="str">
        <f t="shared" si="19"/>
        <v/>
      </c>
    </row>
    <row r="97" spans="1:40">
      <c r="A97" s="6">
        <v>60098</v>
      </c>
      <c r="B97" s="6" t="s">
        <v>400</v>
      </c>
      <c r="C97" s="6" t="s">
        <v>401</v>
      </c>
      <c r="D97" s="6">
        <v>0</v>
      </c>
      <c r="E97" s="6">
        <v>6.412299</v>
      </c>
      <c r="F97" s="6" t="s">
        <v>53</v>
      </c>
      <c r="G97" s="6" t="s">
        <v>402</v>
      </c>
      <c r="H97" s="35">
        <v>99093</v>
      </c>
      <c r="I97" s="6" t="s">
        <v>195</v>
      </c>
      <c r="J97" s="6">
        <v>16</v>
      </c>
      <c r="K97" s="6">
        <v>2027</v>
      </c>
      <c r="L97" s="6">
        <v>2</v>
      </c>
      <c r="M97" s="6" t="s">
        <v>45</v>
      </c>
      <c r="N97" s="6" t="s">
        <v>250</v>
      </c>
      <c r="O97" s="6" t="s">
        <v>130</v>
      </c>
      <c r="P97" s="6" t="s">
        <v>161</v>
      </c>
      <c r="Q97" s="6" t="s">
        <v>132</v>
      </c>
      <c r="R97" s="35">
        <v>1365</v>
      </c>
      <c r="S97" s="6">
        <v>164</v>
      </c>
      <c r="T97" s="36" t="s">
        <v>253</v>
      </c>
      <c r="U97" s="46">
        <f>IF($L97&lt;=2,
IF($R97&lt;=RpmDesignStandard!$C$2,RpmDesignStandard!$D$2,
IF(AND($R97&gt;RpmDesignStandard!$B$3,$R97&lt;=RpmDesignStandard!$C$3),RpmDesignStandard!$D$3,RpmDesignStandard!$D$4)),
IF($R97&lt;=RpmDesignStandard!$C$5, RpmDesignStandard!$D$5,
IF(AND($R97&gt;RpmDesignStandard!$B$6,$R97&lt;=RpmDesignStandard!$C$6),RpmDesignStandard!$D$6,
IF(AND($R97&gt;RpmDesignStandard!$B$7,$R97&lt;=RpmDesignStandard!$C$7),RpmDesignStandard!$D$7,RpmDesignStandard!$D$8))))</f>
        <v>4</v>
      </c>
      <c r="V97" s="47">
        <f>U97*RpmDesignStandard!$H$1</f>
        <v>8</v>
      </c>
      <c r="W97" s="37" t="str">
        <f>VLOOKUP(A97,RPM_ProjectRecord!A:AB,8,FALSE)</f>
        <v/>
      </c>
      <c r="X97" s="38" t="str">
        <f t="shared" si="10"/>
        <v/>
      </c>
      <c r="Y97" s="38" t="str">
        <f t="shared" si="11"/>
        <v/>
      </c>
      <c r="Z97" s="38" t="str">
        <f t="shared" si="12"/>
        <v/>
      </c>
      <c r="AA97" s="38" t="str">
        <f t="shared" si="13"/>
        <v/>
      </c>
      <c r="AB97" s="38" t="str">
        <f t="shared" si="14"/>
        <v/>
      </c>
      <c r="AC97" s="38">
        <f>IF(VLOOKUP(A97,'3rdPhaseChipSeal'!A:L,12,FALSE)="","",VLOOKUP(A97,'3rdPhaseChipSeal'!A:L,12,FALSE))</f>
        <v>2041</v>
      </c>
      <c r="AD97" s="38" t="str">
        <f>IFERROR(IF(VLOOKUP(A97,RpmContracts!A:C,3,FALSE)="","",VLOOKUP(A97,RpmContracts!A:C,3,FALSE)),"")</f>
        <v/>
      </c>
      <c r="AE97" s="7" t="str">
        <f>IF(VLOOKUP(A97,'20yPlan'!A:B,2,FALSE)="","",VLOOKUP(A97,'20yPlan'!A:B,2,FALSE))</f>
        <v/>
      </c>
      <c r="AF97" s="7" t="str">
        <f>IF(VLOOKUP(A97,'20yPlan'!A:C,3,FALSE)="","",VLOOKUP(A97,'20yPlan'!A:C,3,FALSE))</f>
        <v/>
      </c>
      <c r="AG97" s="7" t="str">
        <f>IF(VLOOKUP(A97,'20yPlan'!A:D,4,FALSE)="","",VLOOKUP(A97,'20yPlan'!A:D,4,FALSE))</f>
        <v/>
      </c>
      <c r="AH97" s="7" t="str">
        <f>IF(VLOOKUP(A97,'20yPlan'!A:E,5,FALSE)="","",VLOOKUP(A97,'20yPlan'!A:E,5,FALSE))</f>
        <v/>
      </c>
      <c r="AI97" s="7" t="str">
        <f>IF(VLOOKUP(A97,'20yPlan'!A:F,6,FALSE)="","",VLOOKUP(A97,'20yPlan'!A:F,6,FALSE))</f>
        <v/>
      </c>
      <c r="AJ97" s="7" t="str">
        <f t="shared" si="15"/>
        <v>2041 Chip Seal</v>
      </c>
      <c r="AK97" s="7" t="str">
        <f t="shared" si="16"/>
        <v/>
      </c>
      <c r="AL97" s="39">
        <f t="shared" ca="1" si="17"/>
        <v>2025</v>
      </c>
      <c r="AM97" s="7" t="str">
        <f t="shared" si="18"/>
        <v/>
      </c>
      <c r="AN97" s="7" t="str">
        <f t="shared" si="19"/>
        <v/>
      </c>
    </row>
    <row r="98" spans="1:40">
      <c r="A98" s="6">
        <v>60099</v>
      </c>
      <c r="B98" s="6" t="s">
        <v>400</v>
      </c>
      <c r="C98" s="6" t="s">
        <v>403</v>
      </c>
      <c r="D98" s="6">
        <v>6.4132990000000003</v>
      </c>
      <c r="E98" s="6">
        <v>8.2200190000000006</v>
      </c>
      <c r="F98" s="6" t="s">
        <v>404</v>
      </c>
      <c r="G98" s="6" t="s">
        <v>405</v>
      </c>
      <c r="H98" s="35">
        <v>26498</v>
      </c>
      <c r="I98" s="6" t="s">
        <v>195</v>
      </c>
      <c r="J98" s="6">
        <v>22</v>
      </c>
      <c r="K98" s="6">
        <v>2031</v>
      </c>
      <c r="L98" s="6">
        <v>2</v>
      </c>
      <c r="M98" s="6" t="s">
        <v>45</v>
      </c>
      <c r="N98" s="6" t="s">
        <v>250</v>
      </c>
      <c r="O98" s="6" t="s">
        <v>165</v>
      </c>
      <c r="P98" s="6" t="s">
        <v>236</v>
      </c>
      <c r="Q98" s="6" t="s">
        <v>132</v>
      </c>
      <c r="R98" s="35">
        <v>1243</v>
      </c>
      <c r="S98" s="6">
        <v>149</v>
      </c>
      <c r="T98" s="36" t="s">
        <v>253</v>
      </c>
      <c r="U98" s="46">
        <f>IF($L98&lt;=2,
IF($R98&lt;=RpmDesignStandard!$C$2,RpmDesignStandard!$D$2,
IF(AND($R98&gt;RpmDesignStandard!$B$3,$R98&lt;=RpmDesignStandard!$C$3),RpmDesignStandard!$D$3,RpmDesignStandard!$D$4)),
IF($R98&lt;=RpmDesignStandard!$C$5, RpmDesignStandard!$D$5,
IF(AND($R98&gt;RpmDesignStandard!$B$6,$R98&lt;=RpmDesignStandard!$C$6),RpmDesignStandard!$D$6,
IF(AND($R98&gt;RpmDesignStandard!$B$7,$R98&lt;=RpmDesignStandard!$C$7),RpmDesignStandard!$D$7,RpmDesignStandard!$D$8))))</f>
        <v>4</v>
      </c>
      <c r="V98" s="47">
        <f>U98*RpmDesignStandard!$H$1</f>
        <v>8</v>
      </c>
      <c r="W98" s="37">
        <f>VLOOKUP(A98,RPM_ProjectRecord!A:AB,8,FALSE)</f>
        <v>2024</v>
      </c>
      <c r="X98" s="38" t="str">
        <f t="shared" si="10"/>
        <v/>
      </c>
      <c r="Y98" s="38" t="str">
        <f t="shared" si="11"/>
        <v/>
      </c>
      <c r="Z98" s="38" t="str">
        <f t="shared" si="12"/>
        <v/>
      </c>
      <c r="AA98" s="38" t="str">
        <f t="shared" si="13"/>
        <v/>
      </c>
      <c r="AB98" s="38" t="str">
        <f t="shared" si="14"/>
        <v/>
      </c>
      <c r="AC98" s="38">
        <f>IF(VLOOKUP(A98,'3rdPhaseChipSeal'!A:L,12,FALSE)="","",VLOOKUP(A98,'3rdPhaseChipSeal'!A:L,12,FALSE))</f>
        <v>2031</v>
      </c>
      <c r="AD98" s="38" t="str">
        <f>IFERROR(IF(VLOOKUP(A98,RpmContracts!A:C,3,FALSE)="","",VLOOKUP(A98,RpmContracts!A:C,3,FALSE)),"")</f>
        <v/>
      </c>
      <c r="AE98" s="7" t="str">
        <f>IF(VLOOKUP(A98,'20yPlan'!A:B,2,FALSE)="","",VLOOKUP(A98,'20yPlan'!A:B,2,FALSE))</f>
        <v/>
      </c>
      <c r="AF98" s="7" t="str">
        <f>IF(VLOOKUP(A98,'20yPlan'!A:C,3,FALSE)="","",VLOOKUP(A98,'20yPlan'!A:C,3,FALSE))</f>
        <v/>
      </c>
      <c r="AG98" s="7" t="str">
        <f>IF(VLOOKUP(A98,'20yPlan'!A:D,4,FALSE)="","",VLOOKUP(A98,'20yPlan'!A:D,4,FALSE))</f>
        <v/>
      </c>
      <c r="AH98" s="7" t="str">
        <f>IF(VLOOKUP(A98,'20yPlan'!A:E,5,FALSE)="","",VLOOKUP(A98,'20yPlan'!A:E,5,FALSE))</f>
        <v/>
      </c>
      <c r="AI98" s="7" t="str">
        <f>IF(VLOOKUP(A98,'20yPlan'!A:F,6,FALSE)="","",VLOOKUP(A98,'20yPlan'!A:F,6,FALSE))</f>
        <v/>
      </c>
      <c r="AJ98" s="7" t="str">
        <f t="shared" si="15"/>
        <v>2031 Chip Seal</v>
      </c>
      <c r="AK98" s="7" t="str">
        <f t="shared" si="16"/>
        <v/>
      </c>
      <c r="AL98" s="39">
        <f t="shared" ca="1" si="17"/>
        <v>2028</v>
      </c>
      <c r="AM98" s="7">
        <f t="shared" si="18"/>
        <v>2031</v>
      </c>
      <c r="AN98" s="7" t="str">
        <f t="shared" si="19"/>
        <v>2031 Chip Seal</v>
      </c>
    </row>
    <row r="99" spans="1:40">
      <c r="A99" s="6">
        <v>60100</v>
      </c>
      <c r="B99" s="6" t="s">
        <v>406</v>
      </c>
      <c r="C99" s="6" t="s">
        <v>407</v>
      </c>
      <c r="D99" s="6">
        <v>0</v>
      </c>
      <c r="E99" s="6">
        <v>4.1751550000000002</v>
      </c>
      <c r="F99" s="6" t="s">
        <v>53</v>
      </c>
      <c r="G99" s="6" t="s">
        <v>408</v>
      </c>
      <c r="H99" s="35">
        <v>51927</v>
      </c>
      <c r="I99" s="6" t="s">
        <v>195</v>
      </c>
      <c r="J99" s="6">
        <v>27</v>
      </c>
      <c r="K99" s="6">
        <v>2028</v>
      </c>
      <c r="L99" s="6">
        <v>2</v>
      </c>
      <c r="M99" s="6" t="s">
        <v>45</v>
      </c>
      <c r="N99" s="6" t="s">
        <v>250</v>
      </c>
      <c r="O99" s="6" t="s">
        <v>47</v>
      </c>
      <c r="P99" s="6" t="s">
        <v>409</v>
      </c>
      <c r="Q99" s="6" t="s">
        <v>370</v>
      </c>
      <c r="R99" s="6">
        <v>115</v>
      </c>
      <c r="S99" s="6">
        <v>15</v>
      </c>
      <c r="T99" s="36" t="s">
        <v>253</v>
      </c>
      <c r="U99" s="46">
        <f>IF($L99&lt;=2,
IF($R99&lt;=RpmDesignStandard!$C$2,RpmDesignStandard!$D$2,
IF(AND($R99&gt;RpmDesignStandard!$B$3,$R99&lt;=RpmDesignStandard!$C$3),RpmDesignStandard!$D$3,RpmDesignStandard!$D$4)),
IF($R99&lt;=RpmDesignStandard!$C$5, RpmDesignStandard!$D$5,
IF(AND($R99&gt;RpmDesignStandard!$B$6,$R99&lt;=RpmDesignStandard!$C$6),RpmDesignStandard!$D$6,
IF(AND($R99&gt;RpmDesignStandard!$B$7,$R99&lt;=RpmDesignStandard!$C$7),RpmDesignStandard!$D$7,RpmDesignStandard!$D$8))))</f>
        <v>4</v>
      </c>
      <c r="V99" s="47">
        <f>U99*RpmDesignStandard!$H$1</f>
        <v>8</v>
      </c>
      <c r="W99" s="37" t="str">
        <f>VLOOKUP(A99,RPM_ProjectRecord!A:AB,8,FALSE)</f>
        <v/>
      </c>
      <c r="X99" s="38" t="str">
        <f t="shared" si="10"/>
        <v/>
      </c>
      <c r="Y99" s="38" t="str">
        <f t="shared" si="11"/>
        <v/>
      </c>
      <c r="Z99" s="38" t="str">
        <f t="shared" si="12"/>
        <v/>
      </c>
      <c r="AA99" s="38" t="str">
        <f t="shared" si="13"/>
        <v/>
      </c>
      <c r="AB99" s="38" t="str">
        <f t="shared" si="14"/>
        <v/>
      </c>
      <c r="AC99" s="38">
        <f>IF(VLOOKUP(A99,'3rdPhaseChipSeal'!A:L,12,FALSE)="","",VLOOKUP(A99,'3rdPhaseChipSeal'!A:L,12,FALSE))</f>
        <v>2042</v>
      </c>
      <c r="AD99" s="38" t="str">
        <f>IFERROR(IF(VLOOKUP(A99,RpmContracts!A:C,3,FALSE)="","",VLOOKUP(A99,RpmContracts!A:C,3,FALSE)),"")</f>
        <v/>
      </c>
      <c r="AE99" s="7" t="str">
        <f>IF(VLOOKUP(A99,'20yPlan'!A:B,2,FALSE)="","",VLOOKUP(A99,'20yPlan'!A:B,2,FALSE))</f>
        <v/>
      </c>
      <c r="AF99" s="7" t="str">
        <f>IF(VLOOKUP(A99,'20yPlan'!A:C,3,FALSE)="","",VLOOKUP(A99,'20yPlan'!A:C,3,FALSE))</f>
        <v/>
      </c>
      <c r="AG99" s="7" t="str">
        <f>IF(VLOOKUP(A99,'20yPlan'!A:D,4,FALSE)="","",VLOOKUP(A99,'20yPlan'!A:D,4,FALSE))</f>
        <v/>
      </c>
      <c r="AH99" s="7" t="str">
        <f>IF(VLOOKUP(A99,'20yPlan'!A:E,5,FALSE)="","",VLOOKUP(A99,'20yPlan'!A:E,5,FALSE))</f>
        <v/>
      </c>
      <c r="AI99" s="7" t="str">
        <f>IF(VLOOKUP(A99,'20yPlan'!A:F,6,FALSE)="","",VLOOKUP(A99,'20yPlan'!A:F,6,FALSE))</f>
        <v/>
      </c>
      <c r="AJ99" s="7" t="str">
        <f t="shared" si="15"/>
        <v>2042 Chip Seal</v>
      </c>
      <c r="AK99" s="7" t="str">
        <f t="shared" si="16"/>
        <v/>
      </c>
      <c r="AL99" s="39">
        <f t="shared" ca="1" si="17"/>
        <v>2025</v>
      </c>
      <c r="AM99" s="7" t="str">
        <f t="shared" si="18"/>
        <v/>
      </c>
      <c r="AN99" s="7" t="str">
        <f t="shared" si="19"/>
        <v/>
      </c>
    </row>
    <row r="100" spans="1:40">
      <c r="A100" s="6">
        <v>60102</v>
      </c>
      <c r="B100" s="6" t="s">
        <v>410</v>
      </c>
      <c r="C100" s="6" t="s">
        <v>411</v>
      </c>
      <c r="D100" s="6">
        <v>10.915065</v>
      </c>
      <c r="E100" s="6">
        <v>22.46621</v>
      </c>
      <c r="F100" s="6" t="s">
        <v>412</v>
      </c>
      <c r="G100" s="6" t="s">
        <v>413</v>
      </c>
      <c r="H100" s="35">
        <v>299239</v>
      </c>
      <c r="I100" s="6" t="s">
        <v>44</v>
      </c>
      <c r="J100" s="6">
        <v>8</v>
      </c>
      <c r="K100" s="6"/>
      <c r="L100" s="6">
        <v>2</v>
      </c>
      <c r="M100" s="6" t="s">
        <v>45</v>
      </c>
      <c r="N100" s="6" t="s">
        <v>250</v>
      </c>
      <c r="O100" s="6" t="s">
        <v>79</v>
      </c>
      <c r="P100" s="6" t="s">
        <v>346</v>
      </c>
      <c r="Q100" s="6" t="s">
        <v>96</v>
      </c>
      <c r="R100" s="35">
        <v>3161</v>
      </c>
      <c r="S100" s="6">
        <v>852</v>
      </c>
      <c r="T100" s="36" t="s">
        <v>50</v>
      </c>
      <c r="U100" s="46">
        <f>IF($L100&lt;=2,
IF($R100&lt;=RpmDesignStandard!$C$2,RpmDesignStandard!$D$2,
IF(AND($R100&gt;RpmDesignStandard!$B$3,$R100&lt;=RpmDesignStandard!$C$3),RpmDesignStandard!$D$3,RpmDesignStandard!$D$4)),
IF($R100&lt;=RpmDesignStandard!$C$5, RpmDesignStandard!$D$5,
IF(AND($R100&gt;RpmDesignStandard!$B$6,$R100&lt;=RpmDesignStandard!$C$6),RpmDesignStandard!$D$6,
IF(AND($R100&gt;RpmDesignStandard!$B$7,$R100&lt;=RpmDesignStandard!$C$7),RpmDesignStandard!$D$7,RpmDesignStandard!$D$8))))</f>
        <v>4</v>
      </c>
      <c r="V100" s="47">
        <f>U100*RpmDesignStandard!$H$1</f>
        <v>8</v>
      </c>
      <c r="W100" s="37" t="str">
        <f>VLOOKUP(A100,RPM_ProjectRecord!A:AB,8,FALSE)</f>
        <v/>
      </c>
      <c r="X100" s="38" t="str">
        <f t="shared" si="10"/>
        <v/>
      </c>
      <c r="Y100" s="38" t="str">
        <f t="shared" si="11"/>
        <v/>
      </c>
      <c r="Z100" s="38" t="str">
        <f t="shared" si="12"/>
        <v/>
      </c>
      <c r="AA100" s="38" t="str">
        <f t="shared" si="13"/>
        <v/>
      </c>
      <c r="AB100" s="38" t="str">
        <f t="shared" si="14"/>
        <v/>
      </c>
      <c r="AC100" s="38" t="str">
        <f>IF(VLOOKUP(A100,'3rdPhaseChipSeal'!A:L,12,FALSE)="","",VLOOKUP(A100,'3rdPhaseChipSeal'!A:L,12,FALSE))</f>
        <v/>
      </c>
      <c r="AD100" s="38" t="str">
        <f>IFERROR(IF(VLOOKUP(A100,RpmContracts!A:C,3,FALSE)="","",VLOOKUP(A100,RpmContracts!A:C,3,FALSE)),"")</f>
        <v/>
      </c>
      <c r="AE100" s="7" t="str">
        <f>IF(VLOOKUP(A100,'20yPlan'!A:B,2,FALSE)="","",VLOOKUP(A100,'20yPlan'!A:B,2,FALSE))</f>
        <v/>
      </c>
      <c r="AF100" s="7" t="str">
        <f>IF(VLOOKUP(A100,'20yPlan'!A:C,3,FALSE)="","",VLOOKUP(A100,'20yPlan'!A:C,3,FALSE))</f>
        <v/>
      </c>
      <c r="AG100" s="7" t="str">
        <f>IF(VLOOKUP(A100,'20yPlan'!A:D,4,FALSE)="","",VLOOKUP(A100,'20yPlan'!A:D,4,FALSE))</f>
        <v/>
      </c>
      <c r="AH100" s="7" t="str">
        <f>IF(VLOOKUP(A100,'20yPlan'!A:E,5,FALSE)="","",VLOOKUP(A100,'20yPlan'!A:E,5,FALSE))</f>
        <v/>
      </c>
      <c r="AI100" s="7" t="str">
        <f>IF(VLOOKUP(A100,'20yPlan'!A:F,6,FALSE)="","",VLOOKUP(A100,'20yPlan'!A:F,6,FALSE))</f>
        <v/>
      </c>
      <c r="AJ100" s="7" t="str">
        <f t="shared" si="15"/>
        <v/>
      </c>
      <c r="AK100" s="7" t="str">
        <f t="shared" si="16"/>
        <v/>
      </c>
      <c r="AL100" s="39">
        <f t="shared" ca="1" si="17"/>
        <v>2025</v>
      </c>
      <c r="AM100" s="7" t="str">
        <f t="shared" si="18"/>
        <v/>
      </c>
      <c r="AN100" s="7" t="str">
        <f t="shared" si="19"/>
        <v/>
      </c>
    </row>
    <row r="101" spans="1:40">
      <c r="A101" s="6">
        <v>60103</v>
      </c>
      <c r="B101" s="6" t="s">
        <v>410</v>
      </c>
      <c r="C101" s="6" t="s">
        <v>414</v>
      </c>
      <c r="D101" s="6">
        <v>22.46621</v>
      </c>
      <c r="E101" s="6">
        <v>29.569134999999999</v>
      </c>
      <c r="F101" s="6" t="s">
        <v>413</v>
      </c>
      <c r="G101" s="6" t="s">
        <v>415</v>
      </c>
      <c r="H101" s="35">
        <v>195655</v>
      </c>
      <c r="I101" s="6" t="s">
        <v>195</v>
      </c>
      <c r="J101" s="6">
        <v>2</v>
      </c>
      <c r="K101" s="6">
        <v>2028</v>
      </c>
      <c r="L101" s="6">
        <v>2</v>
      </c>
      <c r="M101" s="6" t="s">
        <v>45</v>
      </c>
      <c r="N101" s="6" t="s">
        <v>250</v>
      </c>
      <c r="O101" s="6" t="s">
        <v>79</v>
      </c>
      <c r="P101" s="6" t="s">
        <v>92</v>
      </c>
      <c r="Q101" s="6" t="s">
        <v>96</v>
      </c>
      <c r="R101" s="35">
        <v>2450</v>
      </c>
      <c r="S101" s="6">
        <v>560</v>
      </c>
      <c r="T101" s="36" t="s">
        <v>50</v>
      </c>
      <c r="U101" s="46">
        <f>IF($L101&lt;=2,
IF($R101&lt;=RpmDesignStandard!$C$2,RpmDesignStandard!$D$2,
IF(AND($R101&gt;RpmDesignStandard!$B$3,$R101&lt;=RpmDesignStandard!$C$3),RpmDesignStandard!$D$3,RpmDesignStandard!$D$4)),
IF($R101&lt;=RpmDesignStandard!$C$5, RpmDesignStandard!$D$5,
IF(AND($R101&gt;RpmDesignStandard!$B$6,$R101&lt;=RpmDesignStandard!$C$6),RpmDesignStandard!$D$6,
IF(AND($R101&gt;RpmDesignStandard!$B$7,$R101&lt;=RpmDesignStandard!$C$7),RpmDesignStandard!$D$7,RpmDesignStandard!$D$8))))</f>
        <v>4</v>
      </c>
      <c r="V101" s="47">
        <f>U101*RpmDesignStandard!$H$1</f>
        <v>8</v>
      </c>
      <c r="W101" s="37">
        <f>VLOOKUP(A101,RPM_ProjectRecord!A:AB,8,FALSE)</f>
        <v>2021</v>
      </c>
      <c r="X101" s="38" t="str">
        <f t="shared" si="10"/>
        <v/>
      </c>
      <c r="Y101" s="38" t="str">
        <f t="shared" si="11"/>
        <v/>
      </c>
      <c r="Z101" s="38" t="str">
        <f t="shared" si="12"/>
        <v/>
      </c>
      <c r="AA101" s="38" t="str">
        <f t="shared" si="13"/>
        <v/>
      </c>
      <c r="AB101" s="38" t="str">
        <f t="shared" si="14"/>
        <v/>
      </c>
      <c r="AC101" s="38">
        <f>IF(VLOOKUP(A101,'3rdPhaseChipSeal'!A:L,12,FALSE)="","",VLOOKUP(A101,'3rdPhaseChipSeal'!A:L,12,FALSE))</f>
        <v>2028</v>
      </c>
      <c r="AD101" s="38">
        <f>IFERROR(IF(VLOOKUP(A101,RpmContracts!A:C,3,FALSE)="","",VLOOKUP(A101,RpmContracts!A:C,3,FALSE)),"")</f>
        <v>2026</v>
      </c>
      <c r="AE101" s="7" t="str">
        <f>IF(VLOOKUP(A101,'20yPlan'!A:B,2,FALSE)="","",VLOOKUP(A101,'20yPlan'!A:B,2,FALSE))</f>
        <v/>
      </c>
      <c r="AF101" s="7" t="str">
        <f>IF(VLOOKUP(A101,'20yPlan'!A:C,3,FALSE)="","",VLOOKUP(A101,'20yPlan'!A:C,3,FALSE))</f>
        <v/>
      </c>
      <c r="AG101" s="7" t="str">
        <f>IF(VLOOKUP(A101,'20yPlan'!A:D,4,FALSE)="","",VLOOKUP(A101,'20yPlan'!A:D,4,FALSE))</f>
        <v/>
      </c>
      <c r="AH101" s="7" t="str">
        <f>IF(VLOOKUP(A101,'20yPlan'!A:E,5,FALSE)="","",VLOOKUP(A101,'20yPlan'!A:E,5,FALSE))</f>
        <v/>
      </c>
      <c r="AI101" s="7" t="str">
        <f>IF(VLOOKUP(A101,'20yPlan'!A:F,6,FALSE)="","",VLOOKUP(A101,'20yPlan'!A:F,6,FALSE))</f>
        <v/>
      </c>
      <c r="AJ101" s="7" t="str">
        <f t="shared" si="15"/>
        <v>2028 Chip Seal</v>
      </c>
      <c r="AK101" s="7" t="str">
        <f t="shared" si="16"/>
        <v>2026 RPM Replacement</v>
      </c>
      <c r="AL101" s="39">
        <f t="shared" ca="1" si="17"/>
        <v>2025</v>
      </c>
      <c r="AM101" s="7">
        <f t="shared" si="18"/>
        <v>2026</v>
      </c>
      <c r="AN101" s="7" t="str">
        <f t="shared" si="19"/>
        <v>2026 RPM Replacement</v>
      </c>
    </row>
    <row r="102" spans="1:40">
      <c r="A102" s="6">
        <v>60104</v>
      </c>
      <c r="B102" s="6" t="s">
        <v>410</v>
      </c>
      <c r="C102" s="6" t="s">
        <v>416</v>
      </c>
      <c r="D102" s="6">
        <v>29.569134999999999</v>
      </c>
      <c r="E102" s="6">
        <v>37.883834999999998</v>
      </c>
      <c r="F102" s="6" t="s">
        <v>415</v>
      </c>
      <c r="G102" s="6" t="s">
        <v>417</v>
      </c>
      <c r="H102" s="35">
        <v>166039</v>
      </c>
      <c r="I102" s="6" t="s">
        <v>195</v>
      </c>
      <c r="J102" s="6">
        <v>2</v>
      </c>
      <c r="K102" s="6">
        <v>2029</v>
      </c>
      <c r="L102" s="6">
        <v>2</v>
      </c>
      <c r="M102" s="6" t="s">
        <v>45</v>
      </c>
      <c r="N102" s="6" t="s">
        <v>250</v>
      </c>
      <c r="O102" s="6" t="s">
        <v>196</v>
      </c>
      <c r="P102" s="6" t="s">
        <v>251</v>
      </c>
      <c r="Q102" s="6" t="s">
        <v>418</v>
      </c>
      <c r="R102" s="35">
        <v>2611</v>
      </c>
      <c r="S102" s="6">
        <v>549</v>
      </c>
      <c r="T102" s="36" t="s">
        <v>253</v>
      </c>
      <c r="U102" s="46">
        <f>IF($L102&lt;=2,
IF($R102&lt;=RpmDesignStandard!$C$2,RpmDesignStandard!$D$2,
IF(AND($R102&gt;RpmDesignStandard!$B$3,$R102&lt;=RpmDesignStandard!$C$3),RpmDesignStandard!$D$3,RpmDesignStandard!$D$4)),
IF($R102&lt;=RpmDesignStandard!$C$5, RpmDesignStandard!$D$5,
IF(AND($R102&gt;RpmDesignStandard!$B$6,$R102&lt;=RpmDesignStandard!$C$6),RpmDesignStandard!$D$6,
IF(AND($R102&gt;RpmDesignStandard!$B$7,$R102&lt;=RpmDesignStandard!$C$7),RpmDesignStandard!$D$7,RpmDesignStandard!$D$8))))</f>
        <v>4</v>
      </c>
      <c r="V102" s="47">
        <f>U102*RpmDesignStandard!$H$1</f>
        <v>8</v>
      </c>
      <c r="W102" s="37">
        <f>VLOOKUP(A102,RPM_ProjectRecord!A:AB,8,FALSE)</f>
        <v>2021</v>
      </c>
      <c r="X102" s="38" t="str">
        <f t="shared" si="10"/>
        <v/>
      </c>
      <c r="Y102" s="38" t="str">
        <f t="shared" si="11"/>
        <v/>
      </c>
      <c r="Z102" s="38" t="str">
        <f t="shared" si="12"/>
        <v/>
      </c>
      <c r="AA102" s="38" t="str">
        <f t="shared" si="13"/>
        <v/>
      </c>
      <c r="AB102" s="38" t="str">
        <f t="shared" si="14"/>
        <v/>
      </c>
      <c r="AC102" s="38">
        <f>IF(VLOOKUP(A102,'3rdPhaseChipSeal'!A:L,12,FALSE)="","",VLOOKUP(A102,'3rdPhaseChipSeal'!A:L,12,FALSE))</f>
        <v>2043</v>
      </c>
      <c r="AD102" s="38">
        <f>IFERROR(IF(VLOOKUP(A102,RpmContracts!A:C,3,FALSE)="","",VLOOKUP(A102,RpmContracts!A:C,3,FALSE)),"")</f>
        <v>2026</v>
      </c>
      <c r="AE102" s="7" t="str">
        <f>IF(VLOOKUP(A102,'20yPlan'!A:B,2,FALSE)="","",VLOOKUP(A102,'20yPlan'!A:B,2,FALSE))</f>
        <v/>
      </c>
      <c r="AF102" s="7" t="str">
        <f>IF(VLOOKUP(A102,'20yPlan'!A:C,3,FALSE)="","",VLOOKUP(A102,'20yPlan'!A:C,3,FALSE))</f>
        <v/>
      </c>
      <c r="AG102" s="7" t="str">
        <f>IF(VLOOKUP(A102,'20yPlan'!A:D,4,FALSE)="","",VLOOKUP(A102,'20yPlan'!A:D,4,FALSE))</f>
        <v/>
      </c>
      <c r="AH102" s="7" t="str">
        <f>IF(VLOOKUP(A102,'20yPlan'!A:E,5,FALSE)="","",VLOOKUP(A102,'20yPlan'!A:E,5,FALSE))</f>
        <v/>
      </c>
      <c r="AI102" s="7" t="str">
        <f>IF(VLOOKUP(A102,'20yPlan'!A:F,6,FALSE)="","",VLOOKUP(A102,'20yPlan'!A:F,6,FALSE))</f>
        <v/>
      </c>
      <c r="AJ102" s="7" t="str">
        <f t="shared" si="15"/>
        <v>2043 Chip Seal</v>
      </c>
      <c r="AK102" s="7" t="str">
        <f t="shared" si="16"/>
        <v>2026 RPM Replacement</v>
      </c>
      <c r="AL102" s="39">
        <f t="shared" ca="1" si="17"/>
        <v>2025</v>
      </c>
      <c r="AM102" s="7">
        <f t="shared" si="18"/>
        <v>2026</v>
      </c>
      <c r="AN102" s="7" t="str">
        <f t="shared" si="19"/>
        <v>2026 RPM Replacement</v>
      </c>
    </row>
    <row r="103" spans="1:40">
      <c r="A103" s="6">
        <v>60105</v>
      </c>
      <c r="B103" s="6" t="s">
        <v>410</v>
      </c>
      <c r="C103" s="6" t="s">
        <v>419</v>
      </c>
      <c r="D103" s="6">
        <v>37.883834999999998</v>
      </c>
      <c r="E103" s="6">
        <v>53.345289999999999</v>
      </c>
      <c r="F103" s="6" t="s">
        <v>417</v>
      </c>
      <c r="G103" s="6" t="s">
        <v>420</v>
      </c>
      <c r="H103" s="35">
        <v>287510</v>
      </c>
      <c r="I103" s="6" t="s">
        <v>195</v>
      </c>
      <c r="J103" s="6">
        <v>4</v>
      </c>
      <c r="K103" s="6">
        <v>2028</v>
      </c>
      <c r="L103" s="6">
        <v>2</v>
      </c>
      <c r="M103" s="6" t="s">
        <v>45</v>
      </c>
      <c r="N103" s="6" t="s">
        <v>250</v>
      </c>
      <c r="O103" s="6" t="s">
        <v>196</v>
      </c>
      <c r="P103" s="6" t="s">
        <v>251</v>
      </c>
      <c r="Q103" s="6" t="s">
        <v>274</v>
      </c>
      <c r="R103" s="35">
        <v>1333</v>
      </c>
      <c r="S103" s="6">
        <v>114</v>
      </c>
      <c r="T103" s="36" t="s">
        <v>253</v>
      </c>
      <c r="U103" s="46">
        <f>IF($L103&lt;=2,
IF($R103&lt;=RpmDesignStandard!$C$2,RpmDesignStandard!$D$2,
IF(AND($R103&gt;RpmDesignStandard!$B$3,$R103&lt;=RpmDesignStandard!$C$3),RpmDesignStandard!$D$3,RpmDesignStandard!$D$4)),
IF($R103&lt;=RpmDesignStandard!$C$5, RpmDesignStandard!$D$5,
IF(AND($R103&gt;RpmDesignStandard!$B$6,$R103&lt;=RpmDesignStandard!$C$6),RpmDesignStandard!$D$6,
IF(AND($R103&gt;RpmDesignStandard!$B$7,$R103&lt;=RpmDesignStandard!$C$7),RpmDesignStandard!$D$7,RpmDesignStandard!$D$8))))</f>
        <v>4</v>
      </c>
      <c r="V103" s="47">
        <f>U103*RpmDesignStandard!$H$1</f>
        <v>8</v>
      </c>
      <c r="W103" s="37" t="str">
        <f>VLOOKUP(A103,RPM_ProjectRecord!A:AB,8,FALSE)</f>
        <v/>
      </c>
      <c r="X103" s="38" t="str">
        <f t="shared" si="10"/>
        <v/>
      </c>
      <c r="Y103" s="38" t="str">
        <f t="shared" si="11"/>
        <v/>
      </c>
      <c r="Z103" s="38" t="str">
        <f t="shared" si="12"/>
        <v/>
      </c>
      <c r="AA103" s="38" t="str">
        <f t="shared" si="13"/>
        <v/>
      </c>
      <c r="AB103" s="38" t="str">
        <f t="shared" si="14"/>
        <v/>
      </c>
      <c r="AC103" s="38">
        <f>IF(VLOOKUP(A103,'3rdPhaseChipSeal'!A:L,12,FALSE)="","",VLOOKUP(A103,'3rdPhaseChipSeal'!A:L,12,FALSE))</f>
        <v>2042</v>
      </c>
      <c r="AD103" s="38">
        <f>IFERROR(IF(VLOOKUP(A103,RpmContracts!A:C,3,FALSE)="","",VLOOKUP(A103,RpmContracts!A:C,3,FALSE)),"")</f>
        <v>2027</v>
      </c>
      <c r="AE103" s="7" t="str">
        <f>IF(VLOOKUP(A103,'20yPlan'!A:B,2,FALSE)="","",VLOOKUP(A103,'20yPlan'!A:B,2,FALSE))</f>
        <v/>
      </c>
      <c r="AF103" s="7" t="str">
        <f>IF(VLOOKUP(A103,'20yPlan'!A:C,3,FALSE)="","",VLOOKUP(A103,'20yPlan'!A:C,3,FALSE))</f>
        <v/>
      </c>
      <c r="AG103" s="7" t="str">
        <f>IF(VLOOKUP(A103,'20yPlan'!A:D,4,FALSE)="","",VLOOKUP(A103,'20yPlan'!A:D,4,FALSE))</f>
        <v/>
      </c>
      <c r="AH103" s="7" t="str">
        <f>IF(VLOOKUP(A103,'20yPlan'!A:E,5,FALSE)="","",VLOOKUP(A103,'20yPlan'!A:E,5,FALSE))</f>
        <v/>
      </c>
      <c r="AI103" s="7" t="str">
        <f>IF(VLOOKUP(A103,'20yPlan'!A:F,6,FALSE)="","",VLOOKUP(A103,'20yPlan'!A:F,6,FALSE))</f>
        <v/>
      </c>
      <c r="AJ103" s="7" t="str">
        <f t="shared" si="15"/>
        <v>2042 Chip Seal</v>
      </c>
      <c r="AK103" s="7" t="str">
        <f t="shared" si="16"/>
        <v>2027 RPM Replacement</v>
      </c>
      <c r="AL103" s="39">
        <f t="shared" ca="1" si="17"/>
        <v>2025</v>
      </c>
      <c r="AM103" s="7">
        <f t="shared" si="18"/>
        <v>2027</v>
      </c>
      <c r="AN103" s="7" t="str">
        <f t="shared" si="19"/>
        <v>2027 RPM Replacement</v>
      </c>
    </row>
    <row r="104" spans="1:40">
      <c r="A104" s="6">
        <v>60106</v>
      </c>
      <c r="B104" s="6" t="s">
        <v>410</v>
      </c>
      <c r="C104" s="6" t="s">
        <v>421</v>
      </c>
      <c r="D104" s="6">
        <v>55.731310999999998</v>
      </c>
      <c r="E104" s="6">
        <v>60.840940000000003</v>
      </c>
      <c r="F104" s="6" t="s">
        <v>422</v>
      </c>
      <c r="G104" s="6" t="s">
        <v>423</v>
      </c>
      <c r="H104" s="35">
        <v>121321</v>
      </c>
      <c r="I104" s="6" t="s">
        <v>44</v>
      </c>
      <c r="J104" s="6">
        <v>9</v>
      </c>
      <c r="K104" s="6"/>
      <c r="L104" s="6">
        <v>2</v>
      </c>
      <c r="M104" s="6" t="s">
        <v>45</v>
      </c>
      <c r="N104" s="6" t="s">
        <v>250</v>
      </c>
      <c r="O104" s="6" t="s">
        <v>196</v>
      </c>
      <c r="P104" s="6" t="s">
        <v>251</v>
      </c>
      <c r="Q104" s="6" t="s">
        <v>256</v>
      </c>
      <c r="R104" s="35">
        <v>7339</v>
      </c>
      <c r="S104" s="6">
        <v>225</v>
      </c>
      <c r="T104" s="36" t="s">
        <v>50</v>
      </c>
      <c r="U104" s="46">
        <f>IF($L104&lt;=2,
IF($R104&lt;=RpmDesignStandard!$C$2,RpmDesignStandard!$D$2,
IF(AND($R104&gt;RpmDesignStandard!$B$3,$R104&lt;=RpmDesignStandard!$C$3),RpmDesignStandard!$D$3,RpmDesignStandard!$D$4)),
IF($R104&lt;=RpmDesignStandard!$C$5, RpmDesignStandard!$D$5,
IF(AND($R104&gt;RpmDesignStandard!$B$6,$R104&lt;=RpmDesignStandard!$C$6),RpmDesignStandard!$D$6,
IF(AND($R104&gt;RpmDesignStandard!$B$7,$R104&lt;=RpmDesignStandard!$C$7),RpmDesignStandard!$D$7,RpmDesignStandard!$D$8))))</f>
        <v>3</v>
      </c>
      <c r="V104" s="47">
        <f>U104*RpmDesignStandard!$H$1</f>
        <v>6</v>
      </c>
      <c r="W104" s="37" t="str">
        <f>VLOOKUP(A104,RPM_ProjectRecord!A:AB,8,FALSE)</f>
        <v/>
      </c>
      <c r="X104" s="38" t="str">
        <f t="shared" si="10"/>
        <v/>
      </c>
      <c r="Y104" s="38" t="str">
        <f t="shared" si="11"/>
        <v/>
      </c>
      <c r="Z104" s="38" t="str">
        <f t="shared" si="12"/>
        <v/>
      </c>
      <c r="AA104" s="38" t="str">
        <f t="shared" si="13"/>
        <v/>
      </c>
      <c r="AB104" s="38" t="str">
        <f t="shared" si="14"/>
        <v/>
      </c>
      <c r="AC104" s="38" t="str">
        <f>IF(VLOOKUP(A104,'3rdPhaseChipSeal'!A:L,12,FALSE)="","",VLOOKUP(A104,'3rdPhaseChipSeal'!A:L,12,FALSE))</f>
        <v/>
      </c>
      <c r="AD104" s="38" t="str">
        <f>IFERROR(IF(VLOOKUP(A104,RpmContracts!A:C,3,FALSE)="","",VLOOKUP(A104,RpmContracts!A:C,3,FALSE)),"")</f>
        <v/>
      </c>
      <c r="AE104" s="7" t="str">
        <f>IF(VLOOKUP(A104,'20yPlan'!A:B,2,FALSE)="","",VLOOKUP(A104,'20yPlan'!A:B,2,FALSE))</f>
        <v/>
      </c>
      <c r="AF104" s="7" t="str">
        <f>IF(VLOOKUP(A104,'20yPlan'!A:C,3,FALSE)="","",VLOOKUP(A104,'20yPlan'!A:C,3,FALSE))</f>
        <v/>
      </c>
      <c r="AG104" s="7" t="str">
        <f>IF(VLOOKUP(A104,'20yPlan'!A:D,4,FALSE)="","",VLOOKUP(A104,'20yPlan'!A:D,4,FALSE))</f>
        <v/>
      </c>
      <c r="AH104" s="7" t="str">
        <f>IF(VLOOKUP(A104,'20yPlan'!A:E,5,FALSE)="","",VLOOKUP(A104,'20yPlan'!A:E,5,FALSE))</f>
        <v/>
      </c>
      <c r="AI104" s="7" t="str">
        <f>IF(VLOOKUP(A104,'20yPlan'!A:F,6,FALSE)="","",VLOOKUP(A104,'20yPlan'!A:F,6,FALSE))</f>
        <v/>
      </c>
      <c r="AJ104" s="7" t="str">
        <f t="shared" si="15"/>
        <v/>
      </c>
      <c r="AK104" s="7" t="str">
        <f t="shared" si="16"/>
        <v/>
      </c>
      <c r="AL104" s="39">
        <f t="shared" ca="1" si="17"/>
        <v>2025</v>
      </c>
      <c r="AM104" s="7" t="str">
        <f t="shared" si="18"/>
        <v/>
      </c>
      <c r="AN104" s="7" t="str">
        <f t="shared" si="19"/>
        <v/>
      </c>
    </row>
    <row r="105" spans="1:40">
      <c r="A105" s="6">
        <v>60107</v>
      </c>
      <c r="B105" s="6" t="s">
        <v>410</v>
      </c>
      <c r="C105" s="6" t="s">
        <v>424</v>
      </c>
      <c r="D105" s="6">
        <v>66.267328000000006</v>
      </c>
      <c r="E105" s="6">
        <v>73.471753000000007</v>
      </c>
      <c r="F105" s="6" t="s">
        <v>425</v>
      </c>
      <c r="G105" s="6" t="s">
        <v>426</v>
      </c>
      <c r="H105" s="35">
        <v>350671</v>
      </c>
      <c r="I105" s="6" t="s">
        <v>154</v>
      </c>
      <c r="J105" s="6">
        <v>4</v>
      </c>
      <c r="K105" s="6"/>
      <c r="L105" s="6">
        <v>4</v>
      </c>
      <c r="M105" s="6" t="s">
        <v>111</v>
      </c>
      <c r="N105" s="6" t="s">
        <v>46</v>
      </c>
      <c r="O105" s="6" t="s">
        <v>196</v>
      </c>
      <c r="P105" s="6" t="s">
        <v>197</v>
      </c>
      <c r="Q105" s="6" t="s">
        <v>198</v>
      </c>
      <c r="R105" s="35">
        <v>15403</v>
      </c>
      <c r="S105" s="35">
        <v>1025</v>
      </c>
      <c r="T105" s="36" t="s">
        <v>50</v>
      </c>
      <c r="U105" s="46">
        <f>IF($L105&lt;=2,
IF($R105&lt;=RpmDesignStandard!$C$2,RpmDesignStandard!$D$2,
IF(AND($R105&gt;RpmDesignStandard!$B$3,$R105&lt;=RpmDesignStandard!$C$3),RpmDesignStandard!$D$3,RpmDesignStandard!$D$4)),
IF($R105&lt;=RpmDesignStandard!$C$5, RpmDesignStandard!$D$5,
IF(AND($R105&gt;RpmDesignStandard!$B$6,$R105&lt;=RpmDesignStandard!$C$6),RpmDesignStandard!$D$6,
IF(AND($R105&gt;RpmDesignStandard!$B$7,$R105&lt;=RpmDesignStandard!$C$7),RpmDesignStandard!$D$7,RpmDesignStandard!$D$8))))</f>
        <v>3</v>
      </c>
      <c r="V105" s="47">
        <f>U105*RpmDesignStandard!$H$1</f>
        <v>6</v>
      </c>
      <c r="W105" s="37">
        <f>VLOOKUP(A105,RPM_ProjectRecord!A:AB,8,FALSE)</f>
        <v>2024</v>
      </c>
      <c r="X105" s="38" t="str">
        <f t="shared" si="10"/>
        <v/>
      </c>
      <c r="Y105" s="38" t="str">
        <f t="shared" si="11"/>
        <v/>
      </c>
      <c r="Z105" s="38" t="str">
        <f t="shared" si="12"/>
        <v/>
      </c>
      <c r="AA105" s="38" t="str">
        <f t="shared" si="13"/>
        <v/>
      </c>
      <c r="AB105" s="38" t="str">
        <f t="shared" si="14"/>
        <v/>
      </c>
      <c r="AC105" s="38" t="str">
        <f>IF(VLOOKUP(A105,'3rdPhaseChipSeal'!A:L,12,FALSE)="","",VLOOKUP(A105,'3rdPhaseChipSeal'!A:L,12,FALSE))</f>
        <v/>
      </c>
      <c r="AD105" s="38" t="str">
        <f>IFERROR(IF(VLOOKUP(A105,RpmContracts!A:C,3,FALSE)="","",VLOOKUP(A105,RpmContracts!A:C,3,FALSE)),"")</f>
        <v/>
      </c>
      <c r="AE105" s="7" t="str">
        <f>IF(VLOOKUP(A105,'20yPlan'!A:B,2,FALSE)="","",VLOOKUP(A105,'20yPlan'!A:B,2,FALSE))</f>
        <v/>
      </c>
      <c r="AF105" s="7" t="str">
        <f>IF(VLOOKUP(A105,'20yPlan'!A:C,3,FALSE)="","",VLOOKUP(A105,'20yPlan'!A:C,3,FALSE))</f>
        <v/>
      </c>
      <c r="AG105" s="7" t="str">
        <f>IF(VLOOKUP(A105,'20yPlan'!A:D,4,FALSE)="","",VLOOKUP(A105,'20yPlan'!A:D,4,FALSE))</f>
        <v/>
      </c>
      <c r="AH105" s="7" t="str">
        <f>IF(VLOOKUP(A105,'20yPlan'!A:E,5,FALSE)="","",VLOOKUP(A105,'20yPlan'!A:E,5,FALSE))</f>
        <v/>
      </c>
      <c r="AI105" s="7" t="str">
        <f>IF(VLOOKUP(A105,'20yPlan'!A:F,6,FALSE)="","",VLOOKUP(A105,'20yPlan'!A:F,6,FALSE))</f>
        <v/>
      </c>
      <c r="AJ105" s="7" t="str">
        <f t="shared" si="15"/>
        <v/>
      </c>
      <c r="AK105" s="7" t="str">
        <f t="shared" si="16"/>
        <v/>
      </c>
      <c r="AL105" s="39">
        <f t="shared" ca="1" si="17"/>
        <v>2027</v>
      </c>
      <c r="AM105" s="7" t="str">
        <f t="shared" si="18"/>
        <v/>
      </c>
      <c r="AN105" s="7" t="str">
        <f t="shared" si="19"/>
        <v/>
      </c>
    </row>
    <row r="106" spans="1:40">
      <c r="A106" s="6">
        <v>60108</v>
      </c>
      <c r="B106" s="6" t="s">
        <v>410</v>
      </c>
      <c r="C106" s="6" t="s">
        <v>427</v>
      </c>
      <c r="D106" s="6">
        <v>73.472752999999997</v>
      </c>
      <c r="E106" s="6">
        <v>76.252447000000004</v>
      </c>
      <c r="F106" s="6" t="s">
        <v>428</v>
      </c>
      <c r="G106" s="6" t="s">
        <v>429</v>
      </c>
      <c r="H106" s="35">
        <v>131898</v>
      </c>
      <c r="I106" s="6" t="s">
        <v>141</v>
      </c>
      <c r="J106" s="6">
        <v>5</v>
      </c>
      <c r="K106" s="6"/>
      <c r="L106" s="6">
        <v>4</v>
      </c>
      <c r="M106" s="6" t="s">
        <v>45</v>
      </c>
      <c r="N106" s="6" t="s">
        <v>46</v>
      </c>
      <c r="O106" s="6" t="s">
        <v>196</v>
      </c>
      <c r="P106" s="6" t="s">
        <v>201</v>
      </c>
      <c r="Q106" s="6" t="s">
        <v>198</v>
      </c>
      <c r="R106" s="35">
        <v>21560</v>
      </c>
      <c r="S106" s="35">
        <v>1556</v>
      </c>
      <c r="T106" s="36" t="s">
        <v>50</v>
      </c>
      <c r="U106" s="46">
        <f>IF($L106&lt;=2,
IF($R106&lt;=RpmDesignStandard!$C$2,RpmDesignStandard!$D$2,
IF(AND($R106&gt;RpmDesignStandard!$B$3,$R106&lt;=RpmDesignStandard!$C$3),RpmDesignStandard!$D$3,RpmDesignStandard!$D$4)),
IF($R106&lt;=RpmDesignStandard!$C$5, RpmDesignStandard!$D$5,
IF(AND($R106&gt;RpmDesignStandard!$B$6,$R106&lt;=RpmDesignStandard!$C$6),RpmDesignStandard!$D$6,
IF(AND($R106&gt;RpmDesignStandard!$B$7,$R106&lt;=RpmDesignStandard!$C$7),RpmDesignStandard!$D$7,RpmDesignStandard!$D$8))))</f>
        <v>3</v>
      </c>
      <c r="V106" s="47">
        <f>U106*RpmDesignStandard!$H$1</f>
        <v>6</v>
      </c>
      <c r="W106" s="37" t="str">
        <f>VLOOKUP(A106,RPM_ProjectRecord!A:AB,8,FALSE)</f>
        <v/>
      </c>
      <c r="X106" s="38" t="str">
        <f t="shared" si="10"/>
        <v/>
      </c>
      <c r="Y106" s="38" t="str">
        <f t="shared" si="11"/>
        <v/>
      </c>
      <c r="Z106" s="38" t="str">
        <f t="shared" si="12"/>
        <v/>
      </c>
      <c r="AA106" s="38" t="str">
        <f t="shared" si="13"/>
        <v/>
      </c>
      <c r="AB106" s="38" t="str">
        <f t="shared" si="14"/>
        <v/>
      </c>
      <c r="AC106" s="38" t="str">
        <f>IF(VLOOKUP(A106,'3rdPhaseChipSeal'!A:L,12,FALSE)="","",VLOOKUP(A106,'3rdPhaseChipSeal'!A:L,12,FALSE))</f>
        <v/>
      </c>
      <c r="AD106" s="38">
        <f>IFERROR(IF(VLOOKUP(A106,RpmContracts!A:C,3,FALSE)="","",VLOOKUP(A106,RpmContracts!A:C,3,FALSE)),"")</f>
        <v>2027</v>
      </c>
      <c r="AE106" s="7" t="str">
        <f>IF(VLOOKUP(A106,'20yPlan'!A:B,2,FALSE)="","",VLOOKUP(A106,'20yPlan'!A:B,2,FALSE))</f>
        <v/>
      </c>
      <c r="AF106" s="7" t="str">
        <f>IF(VLOOKUP(A106,'20yPlan'!A:C,3,FALSE)="","",VLOOKUP(A106,'20yPlan'!A:C,3,FALSE))</f>
        <v/>
      </c>
      <c r="AG106" s="7" t="str">
        <f>IF(VLOOKUP(A106,'20yPlan'!A:D,4,FALSE)="","",VLOOKUP(A106,'20yPlan'!A:D,4,FALSE))</f>
        <v/>
      </c>
      <c r="AH106" s="7" t="str">
        <f>IF(VLOOKUP(A106,'20yPlan'!A:E,5,FALSE)="","",VLOOKUP(A106,'20yPlan'!A:E,5,FALSE))</f>
        <v/>
      </c>
      <c r="AI106" s="7" t="str">
        <f>IF(VLOOKUP(A106,'20yPlan'!A:F,6,FALSE)="","",VLOOKUP(A106,'20yPlan'!A:F,6,FALSE))</f>
        <v/>
      </c>
      <c r="AJ106" s="7" t="str">
        <f t="shared" si="15"/>
        <v/>
      </c>
      <c r="AK106" s="7" t="str">
        <f t="shared" si="16"/>
        <v>2027 RPM Replacement</v>
      </c>
      <c r="AL106" s="39">
        <f t="shared" ca="1" si="17"/>
        <v>2025</v>
      </c>
      <c r="AM106" s="7">
        <f t="shared" si="18"/>
        <v>2027</v>
      </c>
      <c r="AN106" s="7" t="str">
        <f t="shared" si="19"/>
        <v>2027 RPM Replacement</v>
      </c>
    </row>
    <row r="107" spans="1:40">
      <c r="A107" s="6">
        <v>60109</v>
      </c>
      <c r="B107" s="6" t="s">
        <v>430</v>
      </c>
      <c r="C107" s="6" t="s">
        <v>431</v>
      </c>
      <c r="D107" s="6">
        <v>0</v>
      </c>
      <c r="E107" s="6">
        <v>12.694697</v>
      </c>
      <c r="F107" s="6" t="s">
        <v>53</v>
      </c>
      <c r="G107" s="6" t="s">
        <v>432</v>
      </c>
      <c r="H107" s="35">
        <v>193933</v>
      </c>
      <c r="I107" s="6" t="s">
        <v>195</v>
      </c>
      <c r="J107" s="6">
        <v>14</v>
      </c>
      <c r="K107" s="6">
        <v>2028</v>
      </c>
      <c r="L107" s="6">
        <v>2</v>
      </c>
      <c r="M107" s="6" t="s">
        <v>45</v>
      </c>
      <c r="N107" s="6" t="s">
        <v>250</v>
      </c>
      <c r="O107" s="6" t="s">
        <v>165</v>
      </c>
      <c r="P107" s="6" t="s">
        <v>433</v>
      </c>
      <c r="Q107" s="6" t="s">
        <v>434</v>
      </c>
      <c r="R107" s="6">
        <v>999</v>
      </c>
      <c r="S107" s="6">
        <v>110</v>
      </c>
      <c r="T107" s="36" t="s">
        <v>253</v>
      </c>
      <c r="U107" s="46">
        <f>IF($L107&lt;=2,
IF($R107&lt;=RpmDesignStandard!$C$2,RpmDesignStandard!$D$2,
IF(AND($R107&gt;RpmDesignStandard!$B$3,$R107&lt;=RpmDesignStandard!$C$3),RpmDesignStandard!$D$3,RpmDesignStandard!$D$4)),
IF($R107&lt;=RpmDesignStandard!$C$5, RpmDesignStandard!$D$5,
IF(AND($R107&gt;RpmDesignStandard!$B$6,$R107&lt;=RpmDesignStandard!$C$6),RpmDesignStandard!$D$6,
IF(AND($R107&gt;RpmDesignStandard!$B$7,$R107&lt;=RpmDesignStandard!$C$7),RpmDesignStandard!$D$7,RpmDesignStandard!$D$8))))</f>
        <v>4</v>
      </c>
      <c r="V107" s="47">
        <f>U107*RpmDesignStandard!$H$1</f>
        <v>8</v>
      </c>
      <c r="W107" s="37" t="str">
        <f>VLOOKUP(A107,RPM_ProjectRecord!A:AB,8,FALSE)</f>
        <v/>
      </c>
      <c r="X107" s="38" t="str">
        <f t="shared" si="10"/>
        <v/>
      </c>
      <c r="Y107" s="38" t="str">
        <f t="shared" si="11"/>
        <v/>
      </c>
      <c r="Z107" s="38" t="str">
        <f t="shared" si="12"/>
        <v/>
      </c>
      <c r="AA107" s="38" t="str">
        <f t="shared" si="13"/>
        <v/>
      </c>
      <c r="AB107" s="38" t="str">
        <f t="shared" si="14"/>
        <v/>
      </c>
      <c r="AC107" s="38">
        <f>IF(VLOOKUP(A107,'3rdPhaseChipSeal'!A:L,12,FALSE)="","",VLOOKUP(A107,'3rdPhaseChipSeal'!A:L,12,FALSE))</f>
        <v>2041</v>
      </c>
      <c r="AD107" s="38" t="str">
        <f>IFERROR(IF(VLOOKUP(A107,RpmContracts!A:C,3,FALSE)="","",VLOOKUP(A107,RpmContracts!A:C,3,FALSE)),"")</f>
        <v/>
      </c>
      <c r="AE107" s="7" t="str">
        <f>IF(VLOOKUP(A107,'20yPlan'!A:B,2,FALSE)="","",VLOOKUP(A107,'20yPlan'!A:B,2,FALSE))</f>
        <v/>
      </c>
      <c r="AF107" s="7" t="str">
        <f>IF(VLOOKUP(A107,'20yPlan'!A:C,3,FALSE)="","",VLOOKUP(A107,'20yPlan'!A:C,3,FALSE))</f>
        <v/>
      </c>
      <c r="AG107" s="7" t="str">
        <f>IF(VLOOKUP(A107,'20yPlan'!A:D,4,FALSE)="","",VLOOKUP(A107,'20yPlan'!A:D,4,FALSE))</f>
        <v/>
      </c>
      <c r="AH107" s="7" t="str">
        <f>IF(VLOOKUP(A107,'20yPlan'!A:E,5,FALSE)="","",VLOOKUP(A107,'20yPlan'!A:E,5,FALSE))</f>
        <v/>
      </c>
      <c r="AI107" s="7" t="str">
        <f>IF(VLOOKUP(A107,'20yPlan'!A:F,6,FALSE)="","",VLOOKUP(A107,'20yPlan'!A:F,6,FALSE))</f>
        <v/>
      </c>
      <c r="AJ107" s="7" t="str">
        <f t="shared" si="15"/>
        <v>2041 Chip Seal</v>
      </c>
      <c r="AK107" s="7" t="str">
        <f t="shared" si="16"/>
        <v/>
      </c>
      <c r="AL107" s="39">
        <f t="shared" ca="1" si="17"/>
        <v>2025</v>
      </c>
      <c r="AM107" s="7" t="str">
        <f t="shared" si="18"/>
        <v/>
      </c>
      <c r="AN107" s="7" t="str">
        <f t="shared" si="19"/>
        <v/>
      </c>
    </row>
    <row r="108" spans="1:40">
      <c r="A108" s="6">
        <v>60110</v>
      </c>
      <c r="B108" s="6" t="s">
        <v>435</v>
      </c>
      <c r="C108" s="6" t="s">
        <v>436</v>
      </c>
      <c r="D108" s="6">
        <v>0</v>
      </c>
      <c r="E108" s="6">
        <v>2.7274419999999999</v>
      </c>
      <c r="F108" s="6" t="s">
        <v>437</v>
      </c>
      <c r="G108" s="6" t="s">
        <v>438</v>
      </c>
      <c r="H108" s="35">
        <v>63162</v>
      </c>
      <c r="I108" s="6" t="s">
        <v>44</v>
      </c>
      <c r="J108" s="6">
        <v>11</v>
      </c>
      <c r="K108" s="6">
        <v>2025</v>
      </c>
      <c r="L108" s="6">
        <v>2</v>
      </c>
      <c r="M108" s="6" t="s">
        <v>45</v>
      </c>
      <c r="N108" s="6" t="s">
        <v>250</v>
      </c>
      <c r="O108" s="6" t="s">
        <v>121</v>
      </c>
      <c r="P108" s="6" t="s">
        <v>122</v>
      </c>
      <c r="Q108" s="6" t="s">
        <v>162</v>
      </c>
      <c r="R108" s="35">
        <v>8843</v>
      </c>
      <c r="S108" s="6">
        <v>718</v>
      </c>
      <c r="T108" s="36" t="s">
        <v>50</v>
      </c>
      <c r="U108" s="46">
        <f>IF($L108&lt;=2,
IF($R108&lt;=RpmDesignStandard!$C$2,RpmDesignStandard!$D$2,
IF(AND($R108&gt;RpmDesignStandard!$B$3,$R108&lt;=RpmDesignStandard!$C$3),RpmDesignStandard!$D$3,RpmDesignStandard!$D$4)),
IF($R108&lt;=RpmDesignStandard!$C$5, RpmDesignStandard!$D$5,
IF(AND($R108&gt;RpmDesignStandard!$B$6,$R108&lt;=RpmDesignStandard!$C$6),RpmDesignStandard!$D$6,
IF(AND($R108&gt;RpmDesignStandard!$B$7,$R108&lt;=RpmDesignStandard!$C$7),RpmDesignStandard!$D$7,RpmDesignStandard!$D$8))))</f>
        <v>3</v>
      </c>
      <c r="V108" s="47">
        <f>U108*RpmDesignStandard!$H$1</f>
        <v>6</v>
      </c>
      <c r="W108" s="37" t="str">
        <f>VLOOKUP(A108,RPM_ProjectRecord!A:AB,8,FALSE)</f>
        <v/>
      </c>
      <c r="X108" s="38" t="str">
        <f t="shared" si="10"/>
        <v/>
      </c>
      <c r="Y108" s="38" t="str">
        <f t="shared" si="11"/>
        <v/>
      </c>
      <c r="Z108" s="38" t="str">
        <f t="shared" si="12"/>
        <v/>
      </c>
      <c r="AA108" s="38" t="str">
        <f t="shared" si="13"/>
        <v/>
      </c>
      <c r="AB108" s="38" t="str">
        <f t="shared" si="14"/>
        <v/>
      </c>
      <c r="AC108" s="38" t="str">
        <f>IF(VLOOKUP(A108,'3rdPhaseChipSeal'!A:L,12,FALSE)="","",VLOOKUP(A108,'3rdPhaseChipSeal'!A:L,12,FALSE))</f>
        <v/>
      </c>
      <c r="AD108" s="38" t="str">
        <f>IFERROR(IF(VLOOKUP(A108,RpmContracts!A:C,3,FALSE)="","",VLOOKUP(A108,RpmContracts!A:C,3,FALSE)),"")</f>
        <v/>
      </c>
      <c r="AE108" s="7" t="str">
        <f>IF(VLOOKUP(A108,'20yPlan'!A:B,2,FALSE)="","",VLOOKUP(A108,'20yPlan'!A:B,2,FALSE))</f>
        <v/>
      </c>
      <c r="AF108" s="7" t="str">
        <f>IF(VLOOKUP(A108,'20yPlan'!A:C,3,FALSE)="","",VLOOKUP(A108,'20yPlan'!A:C,3,FALSE))</f>
        <v/>
      </c>
      <c r="AG108" s="7" t="str">
        <f>IF(VLOOKUP(A108,'20yPlan'!A:D,4,FALSE)="","",VLOOKUP(A108,'20yPlan'!A:D,4,FALSE))</f>
        <v/>
      </c>
      <c r="AH108" s="7" t="str">
        <f>IF(VLOOKUP(A108,'20yPlan'!A:E,5,FALSE)="","",VLOOKUP(A108,'20yPlan'!A:E,5,FALSE))</f>
        <v/>
      </c>
      <c r="AI108" s="7" t="str">
        <f>IF(VLOOKUP(A108,'20yPlan'!A:F,6,FALSE)="","",VLOOKUP(A108,'20yPlan'!A:F,6,FALSE))</f>
        <v/>
      </c>
      <c r="AJ108" s="7" t="str">
        <f t="shared" si="15"/>
        <v/>
      </c>
      <c r="AK108" s="7" t="str">
        <f t="shared" si="16"/>
        <v/>
      </c>
      <c r="AL108" s="39">
        <f t="shared" ca="1" si="17"/>
        <v>2025</v>
      </c>
      <c r="AM108" s="7" t="str">
        <f t="shared" si="18"/>
        <v/>
      </c>
      <c r="AN108" s="7" t="str">
        <f t="shared" si="19"/>
        <v/>
      </c>
    </row>
    <row r="109" spans="1:40">
      <c r="A109" s="6">
        <v>60111</v>
      </c>
      <c r="B109" s="6" t="s">
        <v>439</v>
      </c>
      <c r="C109" s="6" t="s">
        <v>440</v>
      </c>
      <c r="D109" s="6">
        <v>0</v>
      </c>
      <c r="E109" s="6">
        <v>0.92720000000000002</v>
      </c>
      <c r="F109" s="6" t="s">
        <v>53</v>
      </c>
      <c r="G109" s="6" t="s">
        <v>441</v>
      </c>
      <c r="H109" s="35">
        <v>16022</v>
      </c>
      <c r="I109" s="6" t="s">
        <v>195</v>
      </c>
      <c r="J109" s="6">
        <v>6</v>
      </c>
      <c r="K109" s="6">
        <v>2030</v>
      </c>
      <c r="L109" s="6">
        <v>2</v>
      </c>
      <c r="M109" s="6" t="s">
        <v>45</v>
      </c>
      <c r="N109" s="6" t="s">
        <v>250</v>
      </c>
      <c r="O109" s="6" t="s">
        <v>165</v>
      </c>
      <c r="P109" s="6" t="s">
        <v>433</v>
      </c>
      <c r="Q109" s="6" t="s">
        <v>240</v>
      </c>
      <c r="R109" s="35">
        <v>3859</v>
      </c>
      <c r="S109" s="6">
        <v>467</v>
      </c>
      <c r="T109" s="36" t="s">
        <v>253</v>
      </c>
      <c r="U109" s="46">
        <f>IF($L109&lt;=2,
IF($R109&lt;=RpmDesignStandard!$C$2,RpmDesignStandard!$D$2,
IF(AND($R109&gt;RpmDesignStandard!$B$3,$R109&lt;=RpmDesignStandard!$C$3),RpmDesignStandard!$D$3,RpmDesignStandard!$D$4)),
IF($R109&lt;=RpmDesignStandard!$C$5, RpmDesignStandard!$D$5,
IF(AND($R109&gt;RpmDesignStandard!$B$6,$R109&lt;=RpmDesignStandard!$C$6),RpmDesignStandard!$D$6,
IF(AND($R109&gt;RpmDesignStandard!$B$7,$R109&lt;=RpmDesignStandard!$C$7),RpmDesignStandard!$D$7,RpmDesignStandard!$D$8))))</f>
        <v>4</v>
      </c>
      <c r="V109" s="47">
        <f>U109*RpmDesignStandard!$H$1</f>
        <v>8</v>
      </c>
      <c r="W109" s="37" t="str">
        <f>VLOOKUP(A109,RPM_ProjectRecord!A:AB,8,FALSE)</f>
        <v/>
      </c>
      <c r="X109" s="38" t="str">
        <f t="shared" si="10"/>
        <v/>
      </c>
      <c r="Y109" s="38" t="str">
        <f t="shared" si="11"/>
        <v/>
      </c>
      <c r="Z109" s="38" t="str">
        <f t="shared" si="12"/>
        <v/>
      </c>
      <c r="AA109" s="38" t="str">
        <f t="shared" si="13"/>
        <v/>
      </c>
      <c r="AB109" s="38" t="str">
        <f t="shared" si="14"/>
        <v/>
      </c>
      <c r="AC109" s="38">
        <f>IF(VLOOKUP(A109,'3rdPhaseChipSeal'!A:L,12,FALSE)="","",VLOOKUP(A109,'3rdPhaseChipSeal'!A:L,12,FALSE))</f>
        <v>2037</v>
      </c>
      <c r="AD109" s="38" t="str">
        <f>IFERROR(IF(VLOOKUP(A109,RpmContracts!A:C,3,FALSE)="","",VLOOKUP(A109,RpmContracts!A:C,3,FALSE)),"")</f>
        <v/>
      </c>
      <c r="AE109" s="7" t="str">
        <f>IF(VLOOKUP(A109,'20yPlan'!A:B,2,FALSE)="","",VLOOKUP(A109,'20yPlan'!A:B,2,FALSE))</f>
        <v/>
      </c>
      <c r="AF109" s="7" t="str">
        <f>IF(VLOOKUP(A109,'20yPlan'!A:C,3,FALSE)="","",VLOOKUP(A109,'20yPlan'!A:C,3,FALSE))</f>
        <v/>
      </c>
      <c r="AG109" s="7" t="str">
        <f>IF(VLOOKUP(A109,'20yPlan'!A:D,4,FALSE)="","",VLOOKUP(A109,'20yPlan'!A:D,4,FALSE))</f>
        <v/>
      </c>
      <c r="AH109" s="7" t="str">
        <f>IF(VLOOKUP(A109,'20yPlan'!A:E,5,FALSE)="","",VLOOKUP(A109,'20yPlan'!A:E,5,FALSE))</f>
        <v/>
      </c>
      <c r="AI109" s="7" t="str">
        <f>IF(VLOOKUP(A109,'20yPlan'!A:F,6,FALSE)="","",VLOOKUP(A109,'20yPlan'!A:F,6,FALSE))</f>
        <v/>
      </c>
      <c r="AJ109" s="7" t="str">
        <f t="shared" si="15"/>
        <v>2037 Chip Seal</v>
      </c>
      <c r="AK109" s="7" t="str">
        <f t="shared" si="16"/>
        <v/>
      </c>
      <c r="AL109" s="39">
        <f t="shared" ca="1" si="17"/>
        <v>2025</v>
      </c>
      <c r="AM109" s="7" t="str">
        <f t="shared" si="18"/>
        <v/>
      </c>
      <c r="AN109" s="7" t="str">
        <f t="shared" si="19"/>
        <v/>
      </c>
    </row>
    <row r="110" spans="1:40">
      <c r="A110" s="6">
        <v>60112</v>
      </c>
      <c r="B110" s="6" t="s">
        <v>442</v>
      </c>
      <c r="C110" s="6" t="s">
        <v>443</v>
      </c>
      <c r="D110" s="6">
        <v>0</v>
      </c>
      <c r="E110" s="6">
        <v>9.1981889999999993</v>
      </c>
      <c r="F110" s="6" t="s">
        <v>444</v>
      </c>
      <c r="G110" s="6" t="s">
        <v>445</v>
      </c>
      <c r="H110" s="35">
        <v>171322</v>
      </c>
      <c r="I110" s="6" t="s">
        <v>195</v>
      </c>
      <c r="J110" s="6">
        <v>16</v>
      </c>
      <c r="K110" s="6">
        <v>2028</v>
      </c>
      <c r="L110" s="6">
        <v>2</v>
      </c>
      <c r="M110" s="6" t="s">
        <v>45</v>
      </c>
      <c r="N110" s="6" t="s">
        <v>250</v>
      </c>
      <c r="O110" s="6" t="s">
        <v>165</v>
      </c>
      <c r="P110" s="6" t="s">
        <v>236</v>
      </c>
      <c r="Q110" s="6" t="s">
        <v>240</v>
      </c>
      <c r="R110" s="35">
        <v>2119</v>
      </c>
      <c r="S110" s="6">
        <v>271</v>
      </c>
      <c r="T110" s="36" t="s">
        <v>253</v>
      </c>
      <c r="U110" s="46">
        <f>IF($L110&lt;=2,
IF($R110&lt;=RpmDesignStandard!$C$2,RpmDesignStandard!$D$2,
IF(AND($R110&gt;RpmDesignStandard!$B$3,$R110&lt;=RpmDesignStandard!$C$3),RpmDesignStandard!$D$3,RpmDesignStandard!$D$4)),
IF($R110&lt;=RpmDesignStandard!$C$5, RpmDesignStandard!$D$5,
IF(AND($R110&gt;RpmDesignStandard!$B$6,$R110&lt;=RpmDesignStandard!$C$6),RpmDesignStandard!$D$6,
IF(AND($R110&gt;RpmDesignStandard!$B$7,$R110&lt;=RpmDesignStandard!$C$7),RpmDesignStandard!$D$7,RpmDesignStandard!$D$8))))</f>
        <v>4</v>
      </c>
      <c r="V110" s="47">
        <f>U110*RpmDesignStandard!$H$1</f>
        <v>8</v>
      </c>
      <c r="W110" s="37" t="str">
        <f>VLOOKUP(A110,RPM_ProjectRecord!A:AB,8,FALSE)</f>
        <v/>
      </c>
      <c r="X110" s="38" t="str">
        <f t="shared" si="10"/>
        <v/>
      </c>
      <c r="Y110" s="38" t="str">
        <f t="shared" si="11"/>
        <v/>
      </c>
      <c r="Z110" s="38" t="str">
        <f t="shared" si="12"/>
        <v/>
      </c>
      <c r="AA110" s="38" t="str">
        <f t="shared" si="13"/>
        <v/>
      </c>
      <c r="AB110" s="38" t="str">
        <f t="shared" si="14"/>
        <v/>
      </c>
      <c r="AC110" s="38">
        <f>IF(VLOOKUP(A110,'3rdPhaseChipSeal'!A:L,12,FALSE)="","",VLOOKUP(A110,'3rdPhaseChipSeal'!A:L,12,FALSE))</f>
        <v>2035</v>
      </c>
      <c r="AD110" s="38" t="str">
        <f>IFERROR(IF(VLOOKUP(A110,RpmContracts!A:C,3,FALSE)="","",VLOOKUP(A110,RpmContracts!A:C,3,FALSE)),"")</f>
        <v/>
      </c>
      <c r="AE110" s="7" t="str">
        <f>IF(VLOOKUP(A110,'20yPlan'!A:B,2,FALSE)="","",VLOOKUP(A110,'20yPlan'!A:B,2,FALSE))</f>
        <v/>
      </c>
      <c r="AF110" s="7" t="str">
        <f>IF(VLOOKUP(A110,'20yPlan'!A:C,3,FALSE)="","",VLOOKUP(A110,'20yPlan'!A:C,3,FALSE))</f>
        <v/>
      </c>
      <c r="AG110" s="7" t="str">
        <f>IF(VLOOKUP(A110,'20yPlan'!A:D,4,FALSE)="","",VLOOKUP(A110,'20yPlan'!A:D,4,FALSE))</f>
        <v/>
      </c>
      <c r="AH110" s="7" t="str">
        <f>IF(VLOOKUP(A110,'20yPlan'!A:E,5,FALSE)="","",VLOOKUP(A110,'20yPlan'!A:E,5,FALSE))</f>
        <v/>
      </c>
      <c r="AI110" s="7" t="str">
        <f>IF(VLOOKUP(A110,'20yPlan'!A:F,6,FALSE)="","",VLOOKUP(A110,'20yPlan'!A:F,6,FALSE))</f>
        <v/>
      </c>
      <c r="AJ110" s="7" t="str">
        <f t="shared" si="15"/>
        <v>2035 Chip Seal</v>
      </c>
      <c r="AK110" s="7" t="str">
        <f t="shared" si="16"/>
        <v/>
      </c>
      <c r="AL110" s="39">
        <f t="shared" ca="1" si="17"/>
        <v>2025</v>
      </c>
      <c r="AM110" s="7" t="str">
        <f t="shared" si="18"/>
        <v/>
      </c>
      <c r="AN110" s="7" t="str">
        <f t="shared" si="19"/>
        <v/>
      </c>
    </row>
    <row r="111" spans="1:40">
      <c r="A111" s="6">
        <v>60113</v>
      </c>
      <c r="B111" s="6" t="s">
        <v>442</v>
      </c>
      <c r="C111" s="6" t="s">
        <v>446</v>
      </c>
      <c r="D111" s="6">
        <v>9.1981889999999993</v>
      </c>
      <c r="E111" s="6">
        <v>18.615214999999999</v>
      </c>
      <c r="F111" s="6" t="s">
        <v>445</v>
      </c>
      <c r="G111" s="6" t="s">
        <v>447</v>
      </c>
      <c r="H111" s="35">
        <v>177021</v>
      </c>
      <c r="I111" s="6" t="s">
        <v>195</v>
      </c>
      <c r="J111" s="6">
        <v>14</v>
      </c>
      <c r="K111" s="6">
        <v>2026</v>
      </c>
      <c r="L111" s="6">
        <v>2</v>
      </c>
      <c r="M111" s="6" t="s">
        <v>45</v>
      </c>
      <c r="N111" s="6" t="s">
        <v>250</v>
      </c>
      <c r="O111" s="6" t="s">
        <v>285</v>
      </c>
      <c r="P111" s="6" t="s">
        <v>286</v>
      </c>
      <c r="Q111" s="6" t="s">
        <v>240</v>
      </c>
      <c r="R111" s="35">
        <v>3069</v>
      </c>
      <c r="S111" s="6">
        <v>369</v>
      </c>
      <c r="T111" s="36" t="s">
        <v>253</v>
      </c>
      <c r="U111" s="46">
        <f>IF($L111&lt;=2,
IF($R111&lt;=RpmDesignStandard!$C$2,RpmDesignStandard!$D$2,
IF(AND($R111&gt;RpmDesignStandard!$B$3,$R111&lt;=RpmDesignStandard!$C$3),RpmDesignStandard!$D$3,RpmDesignStandard!$D$4)),
IF($R111&lt;=RpmDesignStandard!$C$5, RpmDesignStandard!$D$5,
IF(AND($R111&gt;RpmDesignStandard!$B$6,$R111&lt;=RpmDesignStandard!$C$6),RpmDesignStandard!$D$6,
IF(AND($R111&gt;RpmDesignStandard!$B$7,$R111&lt;=RpmDesignStandard!$C$7),RpmDesignStandard!$D$7,RpmDesignStandard!$D$8))))</f>
        <v>4</v>
      </c>
      <c r="V111" s="47">
        <f>U111*RpmDesignStandard!$H$1</f>
        <v>8</v>
      </c>
      <c r="W111" s="37">
        <f>VLOOKUP(A111,RPM_ProjectRecord!A:AB,8,FALSE)</f>
        <v>2021</v>
      </c>
      <c r="X111" s="38" t="str">
        <f t="shared" si="10"/>
        <v/>
      </c>
      <c r="Y111" s="38" t="str">
        <f t="shared" si="11"/>
        <v/>
      </c>
      <c r="Z111" s="38" t="str">
        <f t="shared" si="12"/>
        <v/>
      </c>
      <c r="AA111" s="38" t="str">
        <f t="shared" si="13"/>
        <v/>
      </c>
      <c r="AB111" s="38" t="str">
        <f t="shared" si="14"/>
        <v/>
      </c>
      <c r="AC111" s="38">
        <f>IF(VLOOKUP(A111,'3rdPhaseChipSeal'!A:L,12,FALSE)="","",VLOOKUP(A111,'3rdPhaseChipSeal'!A:L,12,FALSE))</f>
        <v>2034</v>
      </c>
      <c r="AD111" s="38">
        <f>IFERROR(IF(VLOOKUP(A111,RpmContracts!A:C,3,FALSE)="","",VLOOKUP(A111,RpmContracts!A:C,3,FALSE)),"")</f>
        <v>2026</v>
      </c>
      <c r="AE111" s="7" t="str">
        <f>IF(VLOOKUP(A111,'20yPlan'!A:B,2,FALSE)="","",VLOOKUP(A111,'20yPlan'!A:B,2,FALSE))</f>
        <v/>
      </c>
      <c r="AF111" s="7" t="str">
        <f>IF(VLOOKUP(A111,'20yPlan'!A:C,3,FALSE)="","",VLOOKUP(A111,'20yPlan'!A:C,3,FALSE))</f>
        <v/>
      </c>
      <c r="AG111" s="7" t="str">
        <f>IF(VLOOKUP(A111,'20yPlan'!A:D,4,FALSE)="","",VLOOKUP(A111,'20yPlan'!A:D,4,FALSE))</f>
        <v/>
      </c>
      <c r="AH111" s="7" t="str">
        <f>IF(VLOOKUP(A111,'20yPlan'!A:E,5,FALSE)="","",VLOOKUP(A111,'20yPlan'!A:E,5,FALSE))</f>
        <v/>
      </c>
      <c r="AI111" s="7" t="str">
        <f>IF(VLOOKUP(A111,'20yPlan'!A:F,6,FALSE)="","",VLOOKUP(A111,'20yPlan'!A:F,6,FALSE))</f>
        <v/>
      </c>
      <c r="AJ111" s="7" t="str">
        <f t="shared" si="15"/>
        <v>2034 Chip Seal</v>
      </c>
      <c r="AK111" s="7" t="str">
        <f t="shared" si="16"/>
        <v>2026 RPM Replacement</v>
      </c>
      <c r="AL111" s="39">
        <f t="shared" ca="1" si="17"/>
        <v>2025</v>
      </c>
      <c r="AM111" s="7">
        <f t="shared" si="18"/>
        <v>2026</v>
      </c>
      <c r="AN111" s="7" t="str">
        <f t="shared" si="19"/>
        <v>2026 RPM Replacement</v>
      </c>
    </row>
    <row r="112" spans="1:40">
      <c r="A112" s="6">
        <v>60114</v>
      </c>
      <c r="B112" s="6" t="s">
        <v>448</v>
      </c>
      <c r="C112" s="6" t="s">
        <v>449</v>
      </c>
      <c r="D112" s="6">
        <v>0</v>
      </c>
      <c r="E112" s="6">
        <v>13.562580000000001</v>
      </c>
      <c r="F112" s="6" t="s">
        <v>53</v>
      </c>
      <c r="G112" s="6" t="s">
        <v>450</v>
      </c>
      <c r="H112" s="35">
        <v>210326</v>
      </c>
      <c r="I112" s="6" t="s">
        <v>195</v>
      </c>
      <c r="J112" s="6">
        <v>2</v>
      </c>
      <c r="K112" s="6">
        <v>2029</v>
      </c>
      <c r="L112" s="6">
        <v>2</v>
      </c>
      <c r="M112" s="6" t="s">
        <v>45</v>
      </c>
      <c r="N112" s="6" t="s">
        <v>250</v>
      </c>
      <c r="O112" s="6" t="s">
        <v>196</v>
      </c>
      <c r="P112" s="6" t="s">
        <v>197</v>
      </c>
      <c r="Q112" s="6" t="s">
        <v>287</v>
      </c>
      <c r="R112" s="6">
        <v>493</v>
      </c>
      <c r="S112" s="6">
        <v>17</v>
      </c>
      <c r="T112" s="36" t="s">
        <v>253</v>
      </c>
      <c r="U112" s="46">
        <f>IF($L112&lt;=2,
IF($R112&lt;=RpmDesignStandard!$C$2,RpmDesignStandard!$D$2,
IF(AND($R112&gt;RpmDesignStandard!$B$3,$R112&lt;=RpmDesignStandard!$C$3),RpmDesignStandard!$D$3,RpmDesignStandard!$D$4)),
IF($R112&lt;=RpmDesignStandard!$C$5, RpmDesignStandard!$D$5,
IF(AND($R112&gt;RpmDesignStandard!$B$6,$R112&lt;=RpmDesignStandard!$C$6),RpmDesignStandard!$D$6,
IF(AND($R112&gt;RpmDesignStandard!$B$7,$R112&lt;=RpmDesignStandard!$C$7),RpmDesignStandard!$D$7,RpmDesignStandard!$D$8))))</f>
        <v>4</v>
      </c>
      <c r="V112" s="47">
        <f>U112*RpmDesignStandard!$H$1</f>
        <v>8</v>
      </c>
      <c r="W112" s="37">
        <f>VLOOKUP(A112,RPM_ProjectRecord!A:AB,8,FALSE)</f>
        <v>2021</v>
      </c>
      <c r="X112" s="38" t="str">
        <f t="shared" si="10"/>
        <v/>
      </c>
      <c r="Y112" s="38" t="str">
        <f t="shared" si="11"/>
        <v/>
      </c>
      <c r="Z112" s="38" t="str">
        <f t="shared" si="12"/>
        <v/>
      </c>
      <c r="AA112" s="38" t="str">
        <f t="shared" si="13"/>
        <v/>
      </c>
      <c r="AB112" s="38" t="str">
        <f t="shared" si="14"/>
        <v/>
      </c>
      <c r="AC112" s="38">
        <f>IF(VLOOKUP(A112,'3rdPhaseChipSeal'!A:L,12,FALSE)="","",VLOOKUP(A112,'3rdPhaseChipSeal'!A:L,12,FALSE))</f>
        <v>2035</v>
      </c>
      <c r="AD112" s="38">
        <f>IFERROR(IF(VLOOKUP(A112,RpmContracts!A:C,3,FALSE)="","",VLOOKUP(A112,RpmContracts!A:C,3,FALSE)),"")</f>
        <v>2026</v>
      </c>
      <c r="AE112" s="7" t="str">
        <f>IF(VLOOKUP(A112,'20yPlan'!A:B,2,FALSE)="","",VLOOKUP(A112,'20yPlan'!A:B,2,FALSE))</f>
        <v/>
      </c>
      <c r="AF112" s="7" t="str">
        <f>IF(VLOOKUP(A112,'20yPlan'!A:C,3,FALSE)="","",VLOOKUP(A112,'20yPlan'!A:C,3,FALSE))</f>
        <v/>
      </c>
      <c r="AG112" s="7" t="str">
        <f>IF(VLOOKUP(A112,'20yPlan'!A:D,4,FALSE)="","",VLOOKUP(A112,'20yPlan'!A:D,4,FALSE))</f>
        <v/>
      </c>
      <c r="AH112" s="7" t="str">
        <f>IF(VLOOKUP(A112,'20yPlan'!A:E,5,FALSE)="","",VLOOKUP(A112,'20yPlan'!A:E,5,FALSE))</f>
        <v/>
      </c>
      <c r="AI112" s="7" t="str">
        <f>IF(VLOOKUP(A112,'20yPlan'!A:F,6,FALSE)="","",VLOOKUP(A112,'20yPlan'!A:F,6,FALSE))</f>
        <v/>
      </c>
      <c r="AJ112" s="7" t="str">
        <f t="shared" si="15"/>
        <v>2035 Chip Seal</v>
      </c>
      <c r="AK112" s="7" t="str">
        <f t="shared" si="16"/>
        <v>2026 RPM Replacement</v>
      </c>
      <c r="AL112" s="39">
        <f t="shared" ca="1" si="17"/>
        <v>2025</v>
      </c>
      <c r="AM112" s="7">
        <f t="shared" si="18"/>
        <v>2026</v>
      </c>
      <c r="AN112" s="7" t="str">
        <f t="shared" si="19"/>
        <v>2026 RPM Replacement</v>
      </c>
    </row>
    <row r="113" spans="1:40">
      <c r="A113" s="6">
        <v>60115</v>
      </c>
      <c r="B113" s="6" t="s">
        <v>451</v>
      </c>
      <c r="C113" s="6" t="s">
        <v>452</v>
      </c>
      <c r="D113" s="6">
        <v>0</v>
      </c>
      <c r="E113" s="6">
        <v>1.1337379999999999</v>
      </c>
      <c r="F113" s="6" t="s">
        <v>53</v>
      </c>
      <c r="G113" s="6" t="s">
        <v>453</v>
      </c>
      <c r="H113" s="35">
        <v>13755</v>
      </c>
      <c r="I113" s="6" t="s">
        <v>195</v>
      </c>
      <c r="J113" s="6">
        <v>20</v>
      </c>
      <c r="K113" s="6">
        <v>2027</v>
      </c>
      <c r="L113" s="6">
        <v>2</v>
      </c>
      <c r="M113" s="6" t="s">
        <v>45</v>
      </c>
      <c r="N113" s="6" t="s">
        <v>250</v>
      </c>
      <c r="O113" s="6" t="s">
        <v>196</v>
      </c>
      <c r="P113" s="6" t="s">
        <v>201</v>
      </c>
      <c r="Q113" s="6" t="s">
        <v>198</v>
      </c>
      <c r="R113" s="6">
        <v>289</v>
      </c>
      <c r="S113" s="6">
        <v>10</v>
      </c>
      <c r="T113" s="36" t="s">
        <v>253</v>
      </c>
      <c r="U113" s="46">
        <f>IF($L113&lt;=2,
IF($R113&lt;=RpmDesignStandard!$C$2,RpmDesignStandard!$D$2,
IF(AND($R113&gt;RpmDesignStandard!$B$3,$R113&lt;=RpmDesignStandard!$C$3),RpmDesignStandard!$D$3,RpmDesignStandard!$D$4)),
IF($R113&lt;=RpmDesignStandard!$C$5, RpmDesignStandard!$D$5,
IF(AND($R113&gt;RpmDesignStandard!$B$6,$R113&lt;=RpmDesignStandard!$C$6),RpmDesignStandard!$D$6,
IF(AND($R113&gt;RpmDesignStandard!$B$7,$R113&lt;=RpmDesignStandard!$C$7),RpmDesignStandard!$D$7,RpmDesignStandard!$D$8))))</f>
        <v>4</v>
      </c>
      <c r="V113" s="47">
        <f>U113*RpmDesignStandard!$H$1</f>
        <v>8</v>
      </c>
      <c r="W113" s="37">
        <f>VLOOKUP(A113,RPM_ProjectRecord!A:AB,8,FALSE)</f>
        <v>2021</v>
      </c>
      <c r="X113" s="38" t="str">
        <f t="shared" si="10"/>
        <v/>
      </c>
      <c r="Y113" s="38" t="str">
        <f t="shared" si="11"/>
        <v/>
      </c>
      <c r="Z113" s="38" t="str">
        <f t="shared" si="12"/>
        <v/>
      </c>
      <c r="AA113" s="38" t="str">
        <f t="shared" si="13"/>
        <v/>
      </c>
      <c r="AB113" s="38" t="str">
        <f t="shared" si="14"/>
        <v/>
      </c>
      <c r="AC113" s="38">
        <f>IF(VLOOKUP(A113,'3rdPhaseChipSeal'!A:L,12,FALSE)="","",VLOOKUP(A113,'3rdPhaseChipSeal'!A:L,12,FALSE))</f>
        <v>2041</v>
      </c>
      <c r="AD113" s="38" t="str">
        <f>IFERROR(IF(VLOOKUP(A113,RpmContracts!A:C,3,FALSE)="","",VLOOKUP(A113,RpmContracts!A:C,3,FALSE)),"")</f>
        <v/>
      </c>
      <c r="AE113" s="7" t="str">
        <f>IF(VLOOKUP(A113,'20yPlan'!A:B,2,FALSE)="","",VLOOKUP(A113,'20yPlan'!A:B,2,FALSE))</f>
        <v/>
      </c>
      <c r="AF113" s="7" t="str">
        <f>IF(VLOOKUP(A113,'20yPlan'!A:C,3,FALSE)="","",VLOOKUP(A113,'20yPlan'!A:C,3,FALSE))</f>
        <v/>
      </c>
      <c r="AG113" s="7" t="str">
        <f>IF(VLOOKUP(A113,'20yPlan'!A:D,4,FALSE)="","",VLOOKUP(A113,'20yPlan'!A:D,4,FALSE))</f>
        <v/>
      </c>
      <c r="AH113" s="7" t="str">
        <f>IF(VLOOKUP(A113,'20yPlan'!A:E,5,FALSE)="","",VLOOKUP(A113,'20yPlan'!A:E,5,FALSE))</f>
        <v/>
      </c>
      <c r="AI113" s="7" t="str">
        <f>IF(VLOOKUP(A113,'20yPlan'!A:F,6,FALSE)="","",VLOOKUP(A113,'20yPlan'!A:F,6,FALSE))</f>
        <v/>
      </c>
      <c r="AJ113" s="7" t="str">
        <f t="shared" si="15"/>
        <v>2041 Chip Seal</v>
      </c>
      <c r="AK113" s="7" t="str">
        <f t="shared" si="16"/>
        <v/>
      </c>
      <c r="AL113" s="39">
        <f t="shared" ca="1" si="17"/>
        <v>2025</v>
      </c>
      <c r="AM113" s="7" t="str">
        <f t="shared" si="18"/>
        <v/>
      </c>
      <c r="AN113" s="7" t="str">
        <f t="shared" si="19"/>
        <v/>
      </c>
    </row>
    <row r="114" spans="1:40">
      <c r="A114" s="6">
        <v>60116</v>
      </c>
      <c r="B114" s="6" t="s">
        <v>454</v>
      </c>
      <c r="C114" s="6" t="s">
        <v>455</v>
      </c>
      <c r="D114" s="6">
        <v>0</v>
      </c>
      <c r="E114" s="6">
        <v>7.0001749999999996</v>
      </c>
      <c r="F114" s="6" t="s">
        <v>456</v>
      </c>
      <c r="G114" s="6" t="s">
        <v>457</v>
      </c>
      <c r="H114" s="35">
        <v>114275</v>
      </c>
      <c r="I114" s="6" t="s">
        <v>195</v>
      </c>
      <c r="J114" s="6">
        <v>1</v>
      </c>
      <c r="K114" s="6">
        <v>2030</v>
      </c>
      <c r="L114" s="6">
        <v>2</v>
      </c>
      <c r="M114" s="6" t="s">
        <v>45</v>
      </c>
      <c r="N114" s="6" t="s">
        <v>250</v>
      </c>
      <c r="O114" s="6" t="s">
        <v>165</v>
      </c>
      <c r="P114" s="6" t="s">
        <v>166</v>
      </c>
      <c r="Q114" s="6" t="s">
        <v>172</v>
      </c>
      <c r="R114" s="6">
        <v>874</v>
      </c>
      <c r="S114" s="6">
        <v>96</v>
      </c>
      <c r="T114" s="36" t="s">
        <v>253</v>
      </c>
      <c r="U114" s="46">
        <f>IF($L114&lt;=2,
IF($R114&lt;=RpmDesignStandard!$C$2,RpmDesignStandard!$D$2,
IF(AND($R114&gt;RpmDesignStandard!$B$3,$R114&lt;=RpmDesignStandard!$C$3),RpmDesignStandard!$D$3,RpmDesignStandard!$D$4)),
IF($R114&lt;=RpmDesignStandard!$C$5, RpmDesignStandard!$D$5,
IF(AND($R114&gt;RpmDesignStandard!$B$6,$R114&lt;=RpmDesignStandard!$C$6),RpmDesignStandard!$D$6,
IF(AND($R114&gt;RpmDesignStandard!$B$7,$R114&lt;=RpmDesignStandard!$C$7),RpmDesignStandard!$D$7,RpmDesignStandard!$D$8))))</f>
        <v>4</v>
      </c>
      <c r="V114" s="47">
        <f>U114*RpmDesignStandard!$H$1</f>
        <v>8</v>
      </c>
      <c r="W114" s="37">
        <f>VLOOKUP(A114,RPM_ProjectRecord!A:AB,8,FALSE)</f>
        <v>2022</v>
      </c>
      <c r="X114" s="38" t="str">
        <f t="shared" si="10"/>
        <v/>
      </c>
      <c r="Y114" s="38" t="str">
        <f t="shared" si="11"/>
        <v/>
      </c>
      <c r="Z114" s="38" t="str">
        <f t="shared" si="12"/>
        <v/>
      </c>
      <c r="AA114" s="38" t="str">
        <f t="shared" si="13"/>
        <v/>
      </c>
      <c r="AB114" s="38" t="str">
        <f t="shared" si="14"/>
        <v/>
      </c>
      <c r="AC114" s="38">
        <f>IF(VLOOKUP(A114,'3rdPhaseChipSeal'!A:L,12,FALSE)="","",VLOOKUP(A114,'3rdPhaseChipSeal'!A:L,12,FALSE))</f>
        <v>2044</v>
      </c>
      <c r="AD114" s="38" t="str">
        <f>IFERROR(IF(VLOOKUP(A114,RpmContracts!A:C,3,FALSE)="","",VLOOKUP(A114,RpmContracts!A:C,3,FALSE)),"")</f>
        <v/>
      </c>
      <c r="AE114" s="7" t="str">
        <f>IF(VLOOKUP(A114,'20yPlan'!A:B,2,FALSE)="","",VLOOKUP(A114,'20yPlan'!A:B,2,FALSE))</f>
        <v/>
      </c>
      <c r="AF114" s="7" t="str">
        <f>IF(VLOOKUP(A114,'20yPlan'!A:C,3,FALSE)="","",VLOOKUP(A114,'20yPlan'!A:C,3,FALSE))</f>
        <v/>
      </c>
      <c r="AG114" s="7" t="str">
        <f>IF(VLOOKUP(A114,'20yPlan'!A:D,4,FALSE)="","",VLOOKUP(A114,'20yPlan'!A:D,4,FALSE))</f>
        <v/>
      </c>
      <c r="AH114" s="7" t="str">
        <f>IF(VLOOKUP(A114,'20yPlan'!A:E,5,FALSE)="","",VLOOKUP(A114,'20yPlan'!A:E,5,FALSE))</f>
        <v/>
      </c>
      <c r="AI114" s="7" t="str">
        <f>IF(VLOOKUP(A114,'20yPlan'!A:F,6,FALSE)="","",VLOOKUP(A114,'20yPlan'!A:F,6,FALSE))</f>
        <v/>
      </c>
      <c r="AJ114" s="7" t="str">
        <f t="shared" si="15"/>
        <v>2044 Chip Seal</v>
      </c>
      <c r="AK114" s="7" t="str">
        <f t="shared" si="16"/>
        <v/>
      </c>
      <c r="AL114" s="39">
        <f t="shared" ca="1" si="17"/>
        <v>2026</v>
      </c>
      <c r="AM114" s="7" t="str">
        <f t="shared" si="18"/>
        <v/>
      </c>
      <c r="AN114" s="7" t="str">
        <f t="shared" si="19"/>
        <v/>
      </c>
    </row>
    <row r="115" spans="1:40">
      <c r="A115" s="6">
        <v>60117</v>
      </c>
      <c r="B115" s="6" t="s">
        <v>454</v>
      </c>
      <c r="C115" s="6" t="s">
        <v>458</v>
      </c>
      <c r="D115" s="6">
        <v>7.0001749999999996</v>
      </c>
      <c r="E115" s="6">
        <v>11.800844</v>
      </c>
      <c r="F115" s="6" t="s">
        <v>457</v>
      </c>
      <c r="G115" s="6" t="s">
        <v>459</v>
      </c>
      <c r="H115" s="35">
        <v>89715</v>
      </c>
      <c r="I115" s="6" t="s">
        <v>195</v>
      </c>
      <c r="J115" s="6">
        <v>20</v>
      </c>
      <c r="K115" s="6">
        <v>2028</v>
      </c>
      <c r="L115" s="6">
        <v>2</v>
      </c>
      <c r="M115" s="6" t="s">
        <v>45</v>
      </c>
      <c r="N115" s="6" t="s">
        <v>250</v>
      </c>
      <c r="O115" s="6" t="s">
        <v>165</v>
      </c>
      <c r="P115" s="6" t="s">
        <v>291</v>
      </c>
      <c r="Q115" s="6" t="s">
        <v>172</v>
      </c>
      <c r="R115" s="35">
        <v>3666</v>
      </c>
      <c r="S115" s="6">
        <v>434</v>
      </c>
      <c r="T115" s="36" t="s">
        <v>253</v>
      </c>
      <c r="U115" s="46">
        <f>IF($L115&lt;=2,
IF($R115&lt;=RpmDesignStandard!$C$2,RpmDesignStandard!$D$2,
IF(AND($R115&gt;RpmDesignStandard!$B$3,$R115&lt;=RpmDesignStandard!$C$3),RpmDesignStandard!$D$3,RpmDesignStandard!$D$4)),
IF($R115&lt;=RpmDesignStandard!$C$5, RpmDesignStandard!$D$5,
IF(AND($R115&gt;RpmDesignStandard!$B$6,$R115&lt;=RpmDesignStandard!$C$6),RpmDesignStandard!$D$6,
IF(AND($R115&gt;RpmDesignStandard!$B$7,$R115&lt;=RpmDesignStandard!$C$7),RpmDesignStandard!$D$7,RpmDesignStandard!$D$8))))</f>
        <v>4</v>
      </c>
      <c r="V115" s="47">
        <f>U115*RpmDesignStandard!$H$1</f>
        <v>8</v>
      </c>
      <c r="W115" s="37" t="str">
        <f>VLOOKUP(A115,RPM_ProjectRecord!A:AB,8,FALSE)</f>
        <v/>
      </c>
      <c r="X115" s="38" t="str">
        <f t="shared" si="10"/>
        <v/>
      </c>
      <c r="Y115" s="38" t="str">
        <f t="shared" si="11"/>
        <v/>
      </c>
      <c r="Z115" s="38" t="str">
        <f t="shared" si="12"/>
        <v/>
      </c>
      <c r="AA115" s="38" t="str">
        <f t="shared" si="13"/>
        <v/>
      </c>
      <c r="AB115" s="38" t="str">
        <f t="shared" si="14"/>
        <v/>
      </c>
      <c r="AC115" s="38">
        <f>IF(VLOOKUP(A115,'3rdPhaseChipSeal'!A:L,12,FALSE)="","",VLOOKUP(A115,'3rdPhaseChipSeal'!A:L,12,FALSE))</f>
        <v>2042</v>
      </c>
      <c r="AD115" s="38" t="str">
        <f>IFERROR(IF(VLOOKUP(A115,RpmContracts!A:C,3,FALSE)="","",VLOOKUP(A115,RpmContracts!A:C,3,FALSE)),"")</f>
        <v/>
      </c>
      <c r="AE115" s="7" t="str">
        <f>IF(VLOOKUP(A115,'20yPlan'!A:B,2,FALSE)="","",VLOOKUP(A115,'20yPlan'!A:B,2,FALSE))</f>
        <v/>
      </c>
      <c r="AF115" s="7" t="str">
        <f>IF(VLOOKUP(A115,'20yPlan'!A:C,3,FALSE)="","",VLOOKUP(A115,'20yPlan'!A:C,3,FALSE))</f>
        <v/>
      </c>
      <c r="AG115" s="7" t="str">
        <f>IF(VLOOKUP(A115,'20yPlan'!A:D,4,FALSE)="","",VLOOKUP(A115,'20yPlan'!A:D,4,FALSE))</f>
        <v/>
      </c>
      <c r="AH115" s="7" t="str">
        <f>IF(VLOOKUP(A115,'20yPlan'!A:E,5,FALSE)="","",VLOOKUP(A115,'20yPlan'!A:E,5,FALSE))</f>
        <v/>
      </c>
      <c r="AI115" s="7" t="str">
        <f>IF(VLOOKUP(A115,'20yPlan'!A:F,6,FALSE)="","",VLOOKUP(A115,'20yPlan'!A:F,6,FALSE))</f>
        <v/>
      </c>
      <c r="AJ115" s="7" t="str">
        <f t="shared" si="15"/>
        <v>2042 Chip Seal</v>
      </c>
      <c r="AK115" s="7" t="str">
        <f t="shared" si="16"/>
        <v/>
      </c>
      <c r="AL115" s="39">
        <f t="shared" ca="1" si="17"/>
        <v>2025</v>
      </c>
      <c r="AM115" s="7" t="str">
        <f t="shared" si="18"/>
        <v/>
      </c>
      <c r="AN115" s="7" t="str">
        <f t="shared" si="19"/>
        <v/>
      </c>
    </row>
    <row r="116" spans="1:40">
      <c r="A116" s="6">
        <v>60118</v>
      </c>
      <c r="B116" s="6" t="s">
        <v>454</v>
      </c>
      <c r="C116" s="6" t="s">
        <v>460</v>
      </c>
      <c r="D116" s="6">
        <v>19.579007000000001</v>
      </c>
      <c r="E116" s="6">
        <v>29.963315999999999</v>
      </c>
      <c r="F116" s="6" t="s">
        <v>461</v>
      </c>
      <c r="G116" s="6" t="s">
        <v>462</v>
      </c>
      <c r="H116" s="35">
        <v>166914</v>
      </c>
      <c r="I116" s="6" t="s">
        <v>195</v>
      </c>
      <c r="J116" s="6">
        <v>20</v>
      </c>
      <c r="K116" s="6">
        <v>2030</v>
      </c>
      <c r="L116" s="6">
        <v>2</v>
      </c>
      <c r="M116" s="6" t="s">
        <v>45</v>
      </c>
      <c r="N116" s="6" t="s">
        <v>250</v>
      </c>
      <c r="O116" s="6" t="s">
        <v>165</v>
      </c>
      <c r="P116" s="6" t="s">
        <v>236</v>
      </c>
      <c r="Q116" s="6" t="s">
        <v>240</v>
      </c>
      <c r="R116" s="35">
        <v>1240</v>
      </c>
      <c r="S116" s="6">
        <v>147</v>
      </c>
      <c r="T116" s="36" t="s">
        <v>253</v>
      </c>
      <c r="U116" s="46">
        <f>IF($L116&lt;=2,
IF($R116&lt;=RpmDesignStandard!$C$2,RpmDesignStandard!$D$2,
IF(AND($R116&gt;RpmDesignStandard!$B$3,$R116&lt;=RpmDesignStandard!$C$3),RpmDesignStandard!$D$3,RpmDesignStandard!$D$4)),
IF($R116&lt;=RpmDesignStandard!$C$5, RpmDesignStandard!$D$5,
IF(AND($R116&gt;RpmDesignStandard!$B$6,$R116&lt;=RpmDesignStandard!$C$6),RpmDesignStandard!$D$6,
IF(AND($R116&gt;RpmDesignStandard!$B$7,$R116&lt;=RpmDesignStandard!$C$7),RpmDesignStandard!$D$7,RpmDesignStandard!$D$8))))</f>
        <v>4</v>
      </c>
      <c r="V116" s="47">
        <f>U116*RpmDesignStandard!$H$1</f>
        <v>8</v>
      </c>
      <c r="W116" s="37">
        <f>VLOOKUP(A116,RPM_ProjectRecord!A:AB,8,FALSE)</f>
        <v>2024</v>
      </c>
      <c r="X116" s="38" t="str">
        <f t="shared" si="10"/>
        <v/>
      </c>
      <c r="Y116" s="38" t="str">
        <f t="shared" si="11"/>
        <v/>
      </c>
      <c r="Z116" s="38" t="str">
        <f t="shared" si="12"/>
        <v/>
      </c>
      <c r="AA116" s="38" t="str">
        <f t="shared" si="13"/>
        <v/>
      </c>
      <c r="AB116" s="38" t="str">
        <f t="shared" si="14"/>
        <v/>
      </c>
      <c r="AC116" s="38">
        <f>IF(VLOOKUP(A116,'3rdPhaseChipSeal'!A:L,12,FALSE)="","",VLOOKUP(A116,'3rdPhaseChipSeal'!A:L,12,FALSE))</f>
        <v>2033</v>
      </c>
      <c r="AD116" s="38" t="str">
        <f>IFERROR(IF(VLOOKUP(A116,RpmContracts!A:C,3,FALSE)="","",VLOOKUP(A116,RpmContracts!A:C,3,FALSE)),"")</f>
        <v/>
      </c>
      <c r="AE116" s="7" t="str">
        <f>IF(VLOOKUP(A116,'20yPlan'!A:B,2,FALSE)="","",VLOOKUP(A116,'20yPlan'!A:B,2,FALSE))</f>
        <v/>
      </c>
      <c r="AF116" s="7" t="str">
        <f>IF(VLOOKUP(A116,'20yPlan'!A:C,3,FALSE)="","",VLOOKUP(A116,'20yPlan'!A:C,3,FALSE))</f>
        <v/>
      </c>
      <c r="AG116" s="7" t="str">
        <f>IF(VLOOKUP(A116,'20yPlan'!A:D,4,FALSE)="","",VLOOKUP(A116,'20yPlan'!A:D,4,FALSE))</f>
        <v/>
      </c>
      <c r="AH116" s="7" t="str">
        <f>IF(VLOOKUP(A116,'20yPlan'!A:E,5,FALSE)="","",VLOOKUP(A116,'20yPlan'!A:E,5,FALSE))</f>
        <v/>
      </c>
      <c r="AI116" s="7" t="str">
        <f>IF(VLOOKUP(A116,'20yPlan'!A:F,6,FALSE)="","",VLOOKUP(A116,'20yPlan'!A:F,6,FALSE))</f>
        <v/>
      </c>
      <c r="AJ116" s="7" t="str">
        <f t="shared" si="15"/>
        <v>2033 Chip Seal</v>
      </c>
      <c r="AK116" s="7" t="str">
        <f t="shared" si="16"/>
        <v/>
      </c>
      <c r="AL116" s="39">
        <f t="shared" ca="1" si="17"/>
        <v>2028</v>
      </c>
      <c r="AM116" s="7" t="str">
        <f t="shared" si="18"/>
        <v/>
      </c>
      <c r="AN116" s="7" t="str">
        <f t="shared" si="19"/>
        <v/>
      </c>
    </row>
    <row r="117" spans="1:40">
      <c r="A117" s="6">
        <v>60119</v>
      </c>
      <c r="B117" s="6" t="s">
        <v>463</v>
      </c>
      <c r="C117" s="6" t="s">
        <v>464</v>
      </c>
      <c r="D117" s="6">
        <v>0</v>
      </c>
      <c r="E117" s="6">
        <v>7.9611960000000002</v>
      </c>
      <c r="F117" s="6" t="s">
        <v>465</v>
      </c>
      <c r="G117" s="6" t="s">
        <v>466</v>
      </c>
      <c r="H117" s="35">
        <v>166610</v>
      </c>
      <c r="I117" s="6" t="s">
        <v>195</v>
      </c>
      <c r="J117" s="6">
        <v>9</v>
      </c>
      <c r="K117" s="6">
        <v>2031</v>
      </c>
      <c r="L117" s="6">
        <v>2</v>
      </c>
      <c r="M117" s="6" t="s">
        <v>45</v>
      </c>
      <c r="N117" s="6" t="s">
        <v>250</v>
      </c>
      <c r="O117" s="6" t="s">
        <v>165</v>
      </c>
      <c r="P117" s="6" t="s">
        <v>291</v>
      </c>
      <c r="Q117" s="6" t="s">
        <v>172</v>
      </c>
      <c r="R117" s="35">
        <v>4711</v>
      </c>
      <c r="S117" s="6">
        <v>684</v>
      </c>
      <c r="T117" s="36" t="s">
        <v>50</v>
      </c>
      <c r="U117" s="46">
        <f>IF($L117&lt;=2,
IF($R117&lt;=RpmDesignStandard!$C$2,RpmDesignStandard!$D$2,
IF(AND($R117&gt;RpmDesignStandard!$B$3,$R117&lt;=RpmDesignStandard!$C$3),RpmDesignStandard!$D$3,RpmDesignStandard!$D$4)),
IF($R117&lt;=RpmDesignStandard!$C$5, RpmDesignStandard!$D$5,
IF(AND($R117&gt;RpmDesignStandard!$B$6,$R117&lt;=RpmDesignStandard!$C$6),RpmDesignStandard!$D$6,
IF(AND($R117&gt;RpmDesignStandard!$B$7,$R117&lt;=RpmDesignStandard!$C$7),RpmDesignStandard!$D$7,RpmDesignStandard!$D$8))))</f>
        <v>4</v>
      </c>
      <c r="V117" s="47">
        <f>U117*RpmDesignStandard!$H$1</f>
        <v>8</v>
      </c>
      <c r="W117" s="37">
        <f>VLOOKUP(A117,RPM_ProjectRecord!A:AB,8,FALSE)</f>
        <v>2025</v>
      </c>
      <c r="X117" s="38" t="str">
        <f t="shared" si="10"/>
        <v/>
      </c>
      <c r="Y117" s="38" t="str">
        <f t="shared" si="11"/>
        <v/>
      </c>
      <c r="Z117" s="38" t="str">
        <f t="shared" si="12"/>
        <v/>
      </c>
      <c r="AA117" s="38" t="str">
        <f t="shared" si="13"/>
        <v/>
      </c>
      <c r="AB117" s="38" t="str">
        <f t="shared" si="14"/>
        <v/>
      </c>
      <c r="AC117" s="38" t="str">
        <f>IF(VLOOKUP(A117,'3rdPhaseChipSeal'!A:L,12,FALSE)="","",VLOOKUP(A117,'3rdPhaseChipSeal'!A:L,12,FALSE))</f>
        <v/>
      </c>
      <c r="AD117" s="38" t="str">
        <f>IFERROR(IF(VLOOKUP(A117,RpmContracts!A:C,3,FALSE)="","",VLOOKUP(A117,RpmContracts!A:C,3,FALSE)),"")</f>
        <v/>
      </c>
      <c r="AE117" s="7" t="str">
        <f>IF(VLOOKUP(A117,'20yPlan'!A:B,2,FALSE)="","",VLOOKUP(A117,'20yPlan'!A:B,2,FALSE))</f>
        <v/>
      </c>
      <c r="AF117" s="7" t="str">
        <f>IF(VLOOKUP(A117,'20yPlan'!A:C,3,FALSE)="","",VLOOKUP(A117,'20yPlan'!A:C,3,FALSE))</f>
        <v/>
      </c>
      <c r="AG117" s="7" t="str">
        <f>IF(VLOOKUP(A117,'20yPlan'!A:D,4,FALSE)="","",VLOOKUP(A117,'20yPlan'!A:D,4,FALSE))</f>
        <v/>
      </c>
      <c r="AH117" s="7" t="str">
        <f>IF(VLOOKUP(A117,'20yPlan'!A:E,5,FALSE)="","",VLOOKUP(A117,'20yPlan'!A:E,5,FALSE))</f>
        <v/>
      </c>
      <c r="AI117" s="7" t="str">
        <f>IF(VLOOKUP(A117,'20yPlan'!A:F,6,FALSE)="","",VLOOKUP(A117,'20yPlan'!A:F,6,FALSE))</f>
        <v/>
      </c>
      <c r="AJ117" s="7" t="str">
        <f t="shared" si="15"/>
        <v/>
      </c>
      <c r="AK117" s="7" t="str">
        <f t="shared" si="16"/>
        <v/>
      </c>
      <c r="AL117" s="39">
        <f t="shared" ca="1" si="17"/>
        <v>2029</v>
      </c>
      <c r="AM117" s="7" t="str">
        <f t="shared" si="18"/>
        <v/>
      </c>
      <c r="AN117" s="7" t="str">
        <f t="shared" si="19"/>
        <v/>
      </c>
    </row>
    <row r="118" spans="1:40">
      <c r="A118" s="6">
        <v>60120</v>
      </c>
      <c r="B118" s="6" t="s">
        <v>463</v>
      </c>
      <c r="C118" s="6" t="s">
        <v>467</v>
      </c>
      <c r="D118" s="6">
        <v>8.975759</v>
      </c>
      <c r="E118" s="6">
        <v>13.857602</v>
      </c>
      <c r="F118" s="6" t="s">
        <v>468</v>
      </c>
      <c r="G118" s="6" t="s">
        <v>469</v>
      </c>
      <c r="H118" s="35">
        <v>97247</v>
      </c>
      <c r="I118" s="6" t="s">
        <v>44</v>
      </c>
      <c r="J118" s="6">
        <v>9</v>
      </c>
      <c r="K118" s="6">
        <v>2027</v>
      </c>
      <c r="L118" s="6">
        <v>2</v>
      </c>
      <c r="M118" s="6" t="s">
        <v>45</v>
      </c>
      <c r="N118" s="6" t="s">
        <v>250</v>
      </c>
      <c r="O118" s="6" t="s">
        <v>165</v>
      </c>
      <c r="P118" s="6" t="s">
        <v>291</v>
      </c>
      <c r="Q118" s="6" t="s">
        <v>470</v>
      </c>
      <c r="R118" s="35">
        <v>6119</v>
      </c>
      <c r="S118" s="6">
        <v>892</v>
      </c>
      <c r="T118" s="36" t="s">
        <v>50</v>
      </c>
      <c r="U118" s="46">
        <f>IF($L118&lt;=2,
IF($R118&lt;=RpmDesignStandard!$C$2,RpmDesignStandard!$D$2,
IF(AND($R118&gt;RpmDesignStandard!$B$3,$R118&lt;=RpmDesignStandard!$C$3),RpmDesignStandard!$D$3,RpmDesignStandard!$D$4)),
IF($R118&lt;=RpmDesignStandard!$C$5, RpmDesignStandard!$D$5,
IF(AND($R118&gt;RpmDesignStandard!$B$6,$R118&lt;=RpmDesignStandard!$C$6),RpmDesignStandard!$D$6,
IF(AND($R118&gt;RpmDesignStandard!$B$7,$R118&lt;=RpmDesignStandard!$C$7),RpmDesignStandard!$D$7,RpmDesignStandard!$D$8))))</f>
        <v>3</v>
      </c>
      <c r="V118" s="47">
        <f>U118*RpmDesignStandard!$H$1</f>
        <v>6</v>
      </c>
      <c r="W118" s="37">
        <f>VLOOKUP(A118,RPM_ProjectRecord!A:AB,8,FALSE)</f>
        <v>2025</v>
      </c>
      <c r="X118" s="38" t="str">
        <f t="shared" si="10"/>
        <v/>
      </c>
      <c r="Y118" s="38" t="str">
        <f t="shared" si="11"/>
        <v/>
      </c>
      <c r="Z118" s="38" t="str">
        <f t="shared" si="12"/>
        <v/>
      </c>
      <c r="AA118" s="38" t="str">
        <f t="shared" si="13"/>
        <v/>
      </c>
      <c r="AB118" s="38" t="str">
        <f t="shared" si="14"/>
        <v/>
      </c>
      <c r="AC118" s="38" t="str">
        <f>IF(VLOOKUP(A118,'3rdPhaseChipSeal'!A:L,12,FALSE)="","",VLOOKUP(A118,'3rdPhaseChipSeal'!A:L,12,FALSE))</f>
        <v/>
      </c>
      <c r="AD118" s="38" t="str">
        <f>IFERROR(IF(VLOOKUP(A118,RpmContracts!A:C,3,FALSE)="","",VLOOKUP(A118,RpmContracts!A:C,3,FALSE)),"")</f>
        <v/>
      </c>
      <c r="AE118" s="7" t="str">
        <f>IF(VLOOKUP(A118,'20yPlan'!A:B,2,FALSE)="","",VLOOKUP(A118,'20yPlan'!A:B,2,FALSE))</f>
        <v/>
      </c>
      <c r="AF118" s="7" t="str">
        <f>IF(VLOOKUP(A118,'20yPlan'!A:C,3,FALSE)="","",VLOOKUP(A118,'20yPlan'!A:C,3,FALSE))</f>
        <v/>
      </c>
      <c r="AG118" s="7" t="str">
        <f>IF(VLOOKUP(A118,'20yPlan'!A:D,4,FALSE)="","",VLOOKUP(A118,'20yPlan'!A:D,4,FALSE))</f>
        <v/>
      </c>
      <c r="AH118" s="7" t="str">
        <f>IF(VLOOKUP(A118,'20yPlan'!A:E,5,FALSE)="","",VLOOKUP(A118,'20yPlan'!A:E,5,FALSE))</f>
        <v/>
      </c>
      <c r="AI118" s="7" t="str">
        <f>IF(VLOOKUP(A118,'20yPlan'!A:F,6,FALSE)="","",VLOOKUP(A118,'20yPlan'!A:F,6,FALSE))</f>
        <v/>
      </c>
      <c r="AJ118" s="7" t="str">
        <f t="shared" si="15"/>
        <v/>
      </c>
      <c r="AK118" s="7" t="str">
        <f t="shared" si="16"/>
        <v/>
      </c>
      <c r="AL118" s="39">
        <f t="shared" ca="1" si="17"/>
        <v>2028</v>
      </c>
      <c r="AM118" s="7" t="str">
        <f t="shared" si="18"/>
        <v/>
      </c>
      <c r="AN118" s="7" t="str">
        <f t="shared" si="19"/>
        <v/>
      </c>
    </row>
    <row r="119" spans="1:40">
      <c r="A119" s="6">
        <v>60121</v>
      </c>
      <c r="B119" s="6" t="s">
        <v>463</v>
      </c>
      <c r="C119" s="6" t="s">
        <v>471</v>
      </c>
      <c r="D119" s="6">
        <v>13.857602</v>
      </c>
      <c r="E119" s="6">
        <v>15.429895</v>
      </c>
      <c r="F119" s="6" t="s">
        <v>469</v>
      </c>
      <c r="G119" s="6" t="s">
        <v>472</v>
      </c>
      <c r="H119" s="35">
        <v>38269</v>
      </c>
      <c r="I119" s="6" t="s">
        <v>44</v>
      </c>
      <c r="J119" s="6">
        <v>7</v>
      </c>
      <c r="K119" s="6"/>
      <c r="L119" s="6">
        <v>2</v>
      </c>
      <c r="M119" s="6" t="s">
        <v>45</v>
      </c>
      <c r="N119" s="6" t="s">
        <v>250</v>
      </c>
      <c r="O119" s="6" t="s">
        <v>165</v>
      </c>
      <c r="P119" s="6" t="s">
        <v>165</v>
      </c>
      <c r="Q119" s="6" t="s">
        <v>240</v>
      </c>
      <c r="R119" s="35">
        <v>8237</v>
      </c>
      <c r="S119" s="35">
        <v>1202</v>
      </c>
      <c r="T119" s="36" t="s">
        <v>50</v>
      </c>
      <c r="U119" s="46">
        <f>IF($L119&lt;=2,
IF($R119&lt;=RpmDesignStandard!$C$2,RpmDesignStandard!$D$2,
IF(AND($R119&gt;RpmDesignStandard!$B$3,$R119&lt;=RpmDesignStandard!$C$3),RpmDesignStandard!$D$3,RpmDesignStandard!$D$4)),
IF($R119&lt;=RpmDesignStandard!$C$5, RpmDesignStandard!$D$5,
IF(AND($R119&gt;RpmDesignStandard!$B$6,$R119&lt;=RpmDesignStandard!$C$6),RpmDesignStandard!$D$6,
IF(AND($R119&gt;RpmDesignStandard!$B$7,$R119&lt;=RpmDesignStandard!$C$7),RpmDesignStandard!$D$7,RpmDesignStandard!$D$8))))</f>
        <v>3</v>
      </c>
      <c r="V119" s="47">
        <f>U119*RpmDesignStandard!$H$1</f>
        <v>6</v>
      </c>
      <c r="W119" s="37" t="str">
        <f>VLOOKUP(A119,RPM_ProjectRecord!A:AB,8,FALSE)</f>
        <v/>
      </c>
      <c r="X119" s="38" t="str">
        <f t="shared" si="10"/>
        <v/>
      </c>
      <c r="Y119" s="38" t="str">
        <f t="shared" si="11"/>
        <v/>
      </c>
      <c r="Z119" s="38" t="str">
        <f t="shared" si="12"/>
        <v/>
      </c>
      <c r="AA119" s="38" t="str">
        <f t="shared" si="13"/>
        <v/>
      </c>
      <c r="AB119" s="38" t="str">
        <f t="shared" si="14"/>
        <v/>
      </c>
      <c r="AC119" s="38" t="str">
        <f>IF(VLOOKUP(A119,'3rdPhaseChipSeal'!A:L,12,FALSE)="","",VLOOKUP(A119,'3rdPhaseChipSeal'!A:L,12,FALSE))</f>
        <v/>
      </c>
      <c r="AD119" s="38">
        <f>IFERROR(IF(VLOOKUP(A119,RpmContracts!A:C,3,FALSE)="","",VLOOKUP(A119,RpmContracts!A:C,3,FALSE)),"")</f>
        <v>2026</v>
      </c>
      <c r="AE119" s="7" t="str">
        <f>IF(VLOOKUP(A119,'20yPlan'!A:B,2,FALSE)="","",VLOOKUP(A119,'20yPlan'!A:B,2,FALSE))</f>
        <v/>
      </c>
      <c r="AF119" s="7" t="str">
        <f>IF(VLOOKUP(A119,'20yPlan'!A:C,3,FALSE)="","",VLOOKUP(A119,'20yPlan'!A:C,3,FALSE))</f>
        <v/>
      </c>
      <c r="AG119" s="7" t="str">
        <f>IF(VLOOKUP(A119,'20yPlan'!A:D,4,FALSE)="","",VLOOKUP(A119,'20yPlan'!A:D,4,FALSE))</f>
        <v/>
      </c>
      <c r="AH119" s="7" t="str">
        <f>IF(VLOOKUP(A119,'20yPlan'!A:E,5,FALSE)="","",VLOOKUP(A119,'20yPlan'!A:E,5,FALSE))</f>
        <v/>
      </c>
      <c r="AI119" s="7" t="str">
        <f>IF(VLOOKUP(A119,'20yPlan'!A:F,6,FALSE)="","",VLOOKUP(A119,'20yPlan'!A:F,6,FALSE))</f>
        <v/>
      </c>
      <c r="AJ119" s="7" t="str">
        <f t="shared" si="15"/>
        <v/>
      </c>
      <c r="AK119" s="7" t="str">
        <f t="shared" si="16"/>
        <v>2026 RPM Replacement</v>
      </c>
      <c r="AL119" s="39">
        <f t="shared" ca="1" si="17"/>
        <v>2025</v>
      </c>
      <c r="AM119" s="7">
        <f t="shared" si="18"/>
        <v>2026</v>
      </c>
      <c r="AN119" s="7" t="str">
        <f t="shared" si="19"/>
        <v>2026 RPM Replacement</v>
      </c>
    </row>
    <row r="120" spans="1:40">
      <c r="A120" s="6">
        <v>60122</v>
      </c>
      <c r="B120" s="6" t="s">
        <v>463</v>
      </c>
      <c r="C120" s="6" t="s">
        <v>473</v>
      </c>
      <c r="D120" s="6">
        <v>21.370301000000001</v>
      </c>
      <c r="E120" s="6">
        <v>23.878115000000001</v>
      </c>
      <c r="F120" s="6" t="s">
        <v>474</v>
      </c>
      <c r="G120" s="6" t="s">
        <v>475</v>
      </c>
      <c r="H120" s="35">
        <v>50059</v>
      </c>
      <c r="I120" s="6" t="s">
        <v>44</v>
      </c>
      <c r="J120" s="6">
        <v>7</v>
      </c>
      <c r="K120" s="6"/>
      <c r="L120" s="6">
        <v>2</v>
      </c>
      <c r="M120" s="6" t="s">
        <v>45</v>
      </c>
      <c r="N120" s="6" t="s">
        <v>250</v>
      </c>
      <c r="O120" s="6" t="s">
        <v>165</v>
      </c>
      <c r="P120" s="6" t="s">
        <v>165</v>
      </c>
      <c r="Q120" s="6" t="s">
        <v>240</v>
      </c>
      <c r="R120" s="35">
        <v>6797</v>
      </c>
      <c r="S120" s="6">
        <v>991</v>
      </c>
      <c r="T120" s="36" t="s">
        <v>50</v>
      </c>
      <c r="U120" s="46">
        <f>IF($L120&lt;=2,
IF($R120&lt;=RpmDesignStandard!$C$2,RpmDesignStandard!$D$2,
IF(AND($R120&gt;RpmDesignStandard!$B$3,$R120&lt;=RpmDesignStandard!$C$3),RpmDesignStandard!$D$3,RpmDesignStandard!$D$4)),
IF($R120&lt;=RpmDesignStandard!$C$5, RpmDesignStandard!$D$5,
IF(AND($R120&gt;RpmDesignStandard!$B$6,$R120&lt;=RpmDesignStandard!$C$6),RpmDesignStandard!$D$6,
IF(AND($R120&gt;RpmDesignStandard!$B$7,$R120&lt;=RpmDesignStandard!$C$7),RpmDesignStandard!$D$7,RpmDesignStandard!$D$8))))</f>
        <v>3</v>
      </c>
      <c r="V120" s="47">
        <f>U120*RpmDesignStandard!$H$1</f>
        <v>6</v>
      </c>
      <c r="W120" s="37" t="str">
        <f>VLOOKUP(A120,RPM_ProjectRecord!A:AB,8,FALSE)</f>
        <v/>
      </c>
      <c r="X120" s="38" t="str">
        <f t="shared" si="10"/>
        <v/>
      </c>
      <c r="Y120" s="38" t="str">
        <f t="shared" si="11"/>
        <v/>
      </c>
      <c r="Z120" s="38" t="str">
        <f t="shared" si="12"/>
        <v/>
      </c>
      <c r="AA120" s="38" t="str">
        <f t="shared" si="13"/>
        <v/>
      </c>
      <c r="AB120" s="38" t="str">
        <f t="shared" si="14"/>
        <v/>
      </c>
      <c r="AC120" s="38" t="str">
        <f>IF(VLOOKUP(A120,'3rdPhaseChipSeal'!A:L,12,FALSE)="","",VLOOKUP(A120,'3rdPhaseChipSeal'!A:L,12,FALSE))</f>
        <v/>
      </c>
      <c r="AD120" s="38" t="str">
        <f>IFERROR(IF(VLOOKUP(A120,RpmContracts!A:C,3,FALSE)="","",VLOOKUP(A120,RpmContracts!A:C,3,FALSE)),"")</f>
        <v/>
      </c>
      <c r="AE120" s="7" t="str">
        <f>IF(VLOOKUP(A120,'20yPlan'!A:B,2,FALSE)="","",VLOOKUP(A120,'20yPlan'!A:B,2,FALSE))</f>
        <v/>
      </c>
      <c r="AF120" s="7" t="str">
        <f>IF(VLOOKUP(A120,'20yPlan'!A:C,3,FALSE)="","",VLOOKUP(A120,'20yPlan'!A:C,3,FALSE))</f>
        <v/>
      </c>
      <c r="AG120" s="7" t="str">
        <f>IF(VLOOKUP(A120,'20yPlan'!A:D,4,FALSE)="","",VLOOKUP(A120,'20yPlan'!A:D,4,FALSE))</f>
        <v/>
      </c>
      <c r="AH120" s="7" t="str">
        <f>IF(VLOOKUP(A120,'20yPlan'!A:E,5,FALSE)="","",VLOOKUP(A120,'20yPlan'!A:E,5,FALSE))</f>
        <v/>
      </c>
      <c r="AI120" s="7" t="str">
        <f>IF(VLOOKUP(A120,'20yPlan'!A:F,6,FALSE)="","",VLOOKUP(A120,'20yPlan'!A:F,6,FALSE))</f>
        <v/>
      </c>
      <c r="AJ120" s="7" t="str">
        <f t="shared" si="15"/>
        <v/>
      </c>
      <c r="AK120" s="7" t="str">
        <f t="shared" si="16"/>
        <v/>
      </c>
      <c r="AL120" s="39">
        <f t="shared" ca="1" si="17"/>
        <v>2025</v>
      </c>
      <c r="AM120" s="7" t="str">
        <f t="shared" si="18"/>
        <v/>
      </c>
      <c r="AN120" s="7" t="str">
        <f t="shared" si="19"/>
        <v/>
      </c>
    </row>
    <row r="121" spans="1:40">
      <c r="A121" s="6">
        <v>60123</v>
      </c>
      <c r="B121" s="6" t="s">
        <v>463</v>
      </c>
      <c r="C121" s="6" t="s">
        <v>476</v>
      </c>
      <c r="D121" s="6">
        <v>24.40033</v>
      </c>
      <c r="E121" s="6">
        <v>37.347087999999999</v>
      </c>
      <c r="F121" s="6" t="s">
        <v>477</v>
      </c>
      <c r="G121" s="6" t="s">
        <v>478</v>
      </c>
      <c r="H121" s="35">
        <v>245555</v>
      </c>
      <c r="I121" s="6" t="s">
        <v>195</v>
      </c>
      <c r="J121" s="6">
        <v>6</v>
      </c>
      <c r="K121" s="6">
        <v>2027</v>
      </c>
      <c r="L121" s="6">
        <v>2</v>
      </c>
      <c r="M121" s="6" t="s">
        <v>45</v>
      </c>
      <c r="N121" s="6" t="s">
        <v>250</v>
      </c>
      <c r="O121" s="6" t="s">
        <v>165</v>
      </c>
      <c r="P121" s="6" t="s">
        <v>236</v>
      </c>
      <c r="Q121" s="6" t="s">
        <v>240</v>
      </c>
      <c r="R121" s="35">
        <v>4057</v>
      </c>
      <c r="S121" s="6">
        <v>592</v>
      </c>
      <c r="T121" s="36" t="s">
        <v>253</v>
      </c>
      <c r="U121" s="46">
        <f>IF($L121&lt;=2,
IF($R121&lt;=RpmDesignStandard!$C$2,RpmDesignStandard!$D$2,
IF(AND($R121&gt;RpmDesignStandard!$B$3,$R121&lt;=RpmDesignStandard!$C$3),RpmDesignStandard!$D$3,RpmDesignStandard!$D$4)),
IF($R121&lt;=RpmDesignStandard!$C$5, RpmDesignStandard!$D$5,
IF(AND($R121&gt;RpmDesignStandard!$B$6,$R121&lt;=RpmDesignStandard!$C$6),RpmDesignStandard!$D$6,
IF(AND($R121&gt;RpmDesignStandard!$B$7,$R121&lt;=RpmDesignStandard!$C$7),RpmDesignStandard!$D$7,RpmDesignStandard!$D$8))))</f>
        <v>4</v>
      </c>
      <c r="V121" s="47">
        <f>U121*RpmDesignStandard!$H$1</f>
        <v>8</v>
      </c>
      <c r="W121" s="37" t="str">
        <f>VLOOKUP(A121,RPM_ProjectRecord!A:AB,8,FALSE)</f>
        <v/>
      </c>
      <c r="X121" s="38" t="str">
        <f t="shared" si="10"/>
        <v/>
      </c>
      <c r="Y121" s="38" t="str">
        <f t="shared" si="11"/>
        <v/>
      </c>
      <c r="Z121" s="38" t="str">
        <f t="shared" si="12"/>
        <v/>
      </c>
      <c r="AA121" s="38" t="str">
        <f t="shared" si="13"/>
        <v/>
      </c>
      <c r="AB121" s="38" t="str">
        <f t="shared" si="14"/>
        <v/>
      </c>
      <c r="AC121" s="38">
        <f>IF(VLOOKUP(A121,'3rdPhaseChipSeal'!A:L,12,FALSE)="","",VLOOKUP(A121,'3rdPhaseChipSeal'!A:L,12,FALSE))</f>
        <v>2040</v>
      </c>
      <c r="AD121" s="38">
        <f>IFERROR(IF(VLOOKUP(A121,RpmContracts!A:C,3,FALSE)="","",VLOOKUP(A121,RpmContracts!A:C,3,FALSE)),"")</f>
        <v>2027</v>
      </c>
      <c r="AE121" s="7" t="str">
        <f>IF(VLOOKUP(A121,'20yPlan'!A:B,2,FALSE)="","",VLOOKUP(A121,'20yPlan'!A:B,2,FALSE))</f>
        <v/>
      </c>
      <c r="AF121" s="7" t="str">
        <f>IF(VLOOKUP(A121,'20yPlan'!A:C,3,FALSE)="","",VLOOKUP(A121,'20yPlan'!A:C,3,FALSE))</f>
        <v/>
      </c>
      <c r="AG121" s="7" t="str">
        <f>IF(VLOOKUP(A121,'20yPlan'!A:D,4,FALSE)="","",VLOOKUP(A121,'20yPlan'!A:D,4,FALSE))</f>
        <v/>
      </c>
      <c r="AH121" s="7" t="str">
        <f>IF(VLOOKUP(A121,'20yPlan'!A:E,5,FALSE)="","",VLOOKUP(A121,'20yPlan'!A:E,5,FALSE))</f>
        <v/>
      </c>
      <c r="AI121" s="7" t="str">
        <f>IF(VLOOKUP(A121,'20yPlan'!A:F,6,FALSE)="","",VLOOKUP(A121,'20yPlan'!A:F,6,FALSE))</f>
        <v/>
      </c>
      <c r="AJ121" s="7" t="str">
        <f t="shared" si="15"/>
        <v>2040 Chip Seal</v>
      </c>
      <c r="AK121" s="7" t="str">
        <f t="shared" si="16"/>
        <v>2027 RPM Replacement</v>
      </c>
      <c r="AL121" s="39">
        <f t="shared" ca="1" si="17"/>
        <v>2025</v>
      </c>
      <c r="AM121" s="7">
        <f t="shared" si="18"/>
        <v>2027</v>
      </c>
      <c r="AN121" s="7" t="str">
        <f t="shared" si="19"/>
        <v>2027 RPM Replacement</v>
      </c>
    </row>
    <row r="122" spans="1:40">
      <c r="A122" s="6">
        <v>60124</v>
      </c>
      <c r="B122" s="6" t="s">
        <v>463</v>
      </c>
      <c r="C122" s="6" t="s">
        <v>479</v>
      </c>
      <c r="D122" s="6">
        <v>37.348087999999997</v>
      </c>
      <c r="E122" s="6">
        <v>45.956895000000003</v>
      </c>
      <c r="F122" s="6" t="s">
        <v>480</v>
      </c>
      <c r="G122" s="6" t="s">
        <v>481</v>
      </c>
      <c r="H122" s="35">
        <v>148300</v>
      </c>
      <c r="I122" s="6" t="s">
        <v>195</v>
      </c>
      <c r="J122" s="6">
        <v>23</v>
      </c>
      <c r="K122" s="6">
        <v>2028</v>
      </c>
      <c r="L122" s="6">
        <v>2</v>
      </c>
      <c r="M122" s="6" t="s">
        <v>45</v>
      </c>
      <c r="N122" s="6" t="s">
        <v>250</v>
      </c>
      <c r="O122" s="6" t="s">
        <v>285</v>
      </c>
      <c r="P122" s="6" t="s">
        <v>286</v>
      </c>
      <c r="Q122" s="6" t="s">
        <v>482</v>
      </c>
      <c r="R122" s="35">
        <v>2005</v>
      </c>
      <c r="S122" s="6">
        <v>292</v>
      </c>
      <c r="T122" s="36" t="s">
        <v>253</v>
      </c>
      <c r="U122" s="46">
        <f>IF($L122&lt;=2,
IF($R122&lt;=RpmDesignStandard!$C$2,RpmDesignStandard!$D$2,
IF(AND($R122&gt;RpmDesignStandard!$B$3,$R122&lt;=RpmDesignStandard!$C$3),RpmDesignStandard!$D$3,RpmDesignStandard!$D$4)),
IF($R122&lt;=RpmDesignStandard!$C$5, RpmDesignStandard!$D$5,
IF(AND($R122&gt;RpmDesignStandard!$B$6,$R122&lt;=RpmDesignStandard!$C$6),RpmDesignStandard!$D$6,
IF(AND($R122&gt;RpmDesignStandard!$B$7,$R122&lt;=RpmDesignStandard!$C$7),RpmDesignStandard!$D$7,RpmDesignStandard!$D$8))))</f>
        <v>4</v>
      </c>
      <c r="V122" s="47">
        <f>U122*RpmDesignStandard!$H$1</f>
        <v>8</v>
      </c>
      <c r="W122" s="37">
        <f>VLOOKUP(A122,RPM_ProjectRecord!A:AB,8,FALSE)</f>
        <v>2022</v>
      </c>
      <c r="X122" s="38" t="str">
        <f t="shared" si="10"/>
        <v/>
      </c>
      <c r="Y122" s="38" t="str">
        <f t="shared" si="11"/>
        <v/>
      </c>
      <c r="Z122" s="38" t="str">
        <f t="shared" si="12"/>
        <v/>
      </c>
      <c r="AA122" s="38" t="str">
        <f t="shared" si="13"/>
        <v/>
      </c>
      <c r="AB122" s="38" t="str">
        <f t="shared" si="14"/>
        <v/>
      </c>
      <c r="AC122" s="38">
        <f>IF(VLOOKUP(A122,'3rdPhaseChipSeal'!A:L,12,FALSE)="","",VLOOKUP(A122,'3rdPhaseChipSeal'!A:L,12,FALSE))</f>
        <v>2028</v>
      </c>
      <c r="AD122" s="38" t="str">
        <f>IFERROR(IF(VLOOKUP(A122,RpmContracts!A:C,3,FALSE)="","",VLOOKUP(A122,RpmContracts!A:C,3,FALSE)),"")</f>
        <v/>
      </c>
      <c r="AE122" s="7" t="str">
        <f>IF(VLOOKUP(A122,'20yPlan'!A:B,2,FALSE)="","",VLOOKUP(A122,'20yPlan'!A:B,2,FALSE))</f>
        <v/>
      </c>
      <c r="AF122" s="7" t="str">
        <f>IF(VLOOKUP(A122,'20yPlan'!A:C,3,FALSE)="","",VLOOKUP(A122,'20yPlan'!A:C,3,FALSE))</f>
        <v/>
      </c>
      <c r="AG122" s="7" t="str">
        <f>IF(VLOOKUP(A122,'20yPlan'!A:D,4,FALSE)="","",VLOOKUP(A122,'20yPlan'!A:D,4,FALSE))</f>
        <v/>
      </c>
      <c r="AH122" s="7" t="str">
        <f>IF(VLOOKUP(A122,'20yPlan'!A:E,5,FALSE)="","",VLOOKUP(A122,'20yPlan'!A:E,5,FALSE))</f>
        <v/>
      </c>
      <c r="AI122" s="7" t="str">
        <f>IF(VLOOKUP(A122,'20yPlan'!A:F,6,FALSE)="","",VLOOKUP(A122,'20yPlan'!A:F,6,FALSE))</f>
        <v/>
      </c>
      <c r="AJ122" s="7" t="str">
        <f t="shared" si="15"/>
        <v>2028 Chip Seal</v>
      </c>
      <c r="AK122" s="7" t="str">
        <f t="shared" si="16"/>
        <v/>
      </c>
      <c r="AL122" s="39">
        <f t="shared" ca="1" si="17"/>
        <v>2026</v>
      </c>
      <c r="AM122" s="7">
        <f t="shared" si="18"/>
        <v>2028</v>
      </c>
      <c r="AN122" s="7" t="str">
        <f t="shared" si="19"/>
        <v>2028 Chip Seal</v>
      </c>
    </row>
    <row r="123" spans="1:40">
      <c r="A123" s="6">
        <v>60125</v>
      </c>
      <c r="B123" s="6" t="s">
        <v>463</v>
      </c>
      <c r="C123" s="6" t="s">
        <v>483</v>
      </c>
      <c r="D123" s="6">
        <v>45.956895000000003</v>
      </c>
      <c r="E123" s="6">
        <v>51.225670000000001</v>
      </c>
      <c r="F123" s="6" t="s">
        <v>481</v>
      </c>
      <c r="G123" s="6" t="s">
        <v>484</v>
      </c>
      <c r="H123" s="35">
        <v>93407</v>
      </c>
      <c r="I123" s="6" t="s">
        <v>195</v>
      </c>
      <c r="J123" s="6">
        <v>13</v>
      </c>
      <c r="K123" s="6">
        <v>2028</v>
      </c>
      <c r="L123" s="6">
        <v>2</v>
      </c>
      <c r="M123" s="6" t="s">
        <v>45</v>
      </c>
      <c r="N123" s="6" t="s">
        <v>250</v>
      </c>
      <c r="O123" s="6" t="s">
        <v>196</v>
      </c>
      <c r="P123" s="6" t="s">
        <v>201</v>
      </c>
      <c r="Q123" s="6" t="s">
        <v>198</v>
      </c>
      <c r="R123" s="35">
        <v>4407</v>
      </c>
      <c r="S123" s="6">
        <v>338</v>
      </c>
      <c r="T123" s="36" t="s">
        <v>50</v>
      </c>
      <c r="U123" s="46">
        <f>IF($L123&lt;=2,
IF($R123&lt;=RpmDesignStandard!$C$2,RpmDesignStandard!$D$2,
IF(AND($R123&gt;RpmDesignStandard!$B$3,$R123&lt;=RpmDesignStandard!$C$3),RpmDesignStandard!$D$3,RpmDesignStandard!$D$4)),
IF($R123&lt;=RpmDesignStandard!$C$5, RpmDesignStandard!$D$5,
IF(AND($R123&gt;RpmDesignStandard!$B$6,$R123&lt;=RpmDesignStandard!$C$6),RpmDesignStandard!$D$6,
IF(AND($R123&gt;RpmDesignStandard!$B$7,$R123&lt;=RpmDesignStandard!$C$7),RpmDesignStandard!$D$7,RpmDesignStandard!$D$8))))</f>
        <v>4</v>
      </c>
      <c r="V123" s="47">
        <f>U123*RpmDesignStandard!$H$1</f>
        <v>8</v>
      </c>
      <c r="W123" s="37">
        <f>VLOOKUP(A123,RPM_ProjectRecord!A:AB,8,FALSE)</f>
        <v>2022</v>
      </c>
      <c r="X123" s="38" t="str">
        <f t="shared" si="10"/>
        <v/>
      </c>
      <c r="Y123" s="38" t="str">
        <f t="shared" si="11"/>
        <v/>
      </c>
      <c r="Z123" s="38" t="str">
        <f t="shared" si="12"/>
        <v/>
      </c>
      <c r="AA123" s="38" t="str">
        <f t="shared" si="13"/>
        <v/>
      </c>
      <c r="AB123" s="38" t="str">
        <f t="shared" si="14"/>
        <v/>
      </c>
      <c r="AC123" s="38">
        <f>IF(VLOOKUP(A123,'3rdPhaseChipSeal'!A:L,12,FALSE)="","",VLOOKUP(A123,'3rdPhaseChipSeal'!A:L,12,FALSE))</f>
        <v>2028</v>
      </c>
      <c r="AD123" s="38" t="str">
        <f>IFERROR(IF(VLOOKUP(A123,RpmContracts!A:C,3,FALSE)="","",VLOOKUP(A123,RpmContracts!A:C,3,FALSE)),"")</f>
        <v/>
      </c>
      <c r="AE123" s="7" t="str">
        <f>IF(VLOOKUP(A123,'20yPlan'!A:B,2,FALSE)="","",VLOOKUP(A123,'20yPlan'!A:B,2,FALSE))</f>
        <v/>
      </c>
      <c r="AF123" s="7" t="str">
        <f>IF(VLOOKUP(A123,'20yPlan'!A:C,3,FALSE)="","",VLOOKUP(A123,'20yPlan'!A:C,3,FALSE))</f>
        <v/>
      </c>
      <c r="AG123" s="7" t="str">
        <f>IF(VLOOKUP(A123,'20yPlan'!A:D,4,FALSE)="","",VLOOKUP(A123,'20yPlan'!A:D,4,FALSE))</f>
        <v/>
      </c>
      <c r="AH123" s="7" t="str">
        <f>IF(VLOOKUP(A123,'20yPlan'!A:E,5,FALSE)="","",VLOOKUP(A123,'20yPlan'!A:E,5,FALSE))</f>
        <v/>
      </c>
      <c r="AI123" s="7" t="str">
        <f>IF(VLOOKUP(A123,'20yPlan'!A:F,6,FALSE)="","",VLOOKUP(A123,'20yPlan'!A:F,6,FALSE))</f>
        <v/>
      </c>
      <c r="AJ123" s="7" t="str">
        <f t="shared" si="15"/>
        <v>2028 Chip Seal</v>
      </c>
      <c r="AK123" s="7" t="str">
        <f t="shared" si="16"/>
        <v/>
      </c>
      <c r="AL123" s="39">
        <f t="shared" ca="1" si="17"/>
        <v>2026</v>
      </c>
      <c r="AM123" s="7">
        <f t="shared" si="18"/>
        <v>2028</v>
      </c>
      <c r="AN123" s="7" t="str">
        <f t="shared" si="19"/>
        <v>2028 Chip Seal</v>
      </c>
    </row>
    <row r="124" spans="1:40">
      <c r="A124" s="6">
        <v>60126</v>
      </c>
      <c r="B124" s="6" t="s">
        <v>485</v>
      </c>
      <c r="C124" s="6" t="s">
        <v>486</v>
      </c>
      <c r="D124" s="6">
        <v>0.30128300000000002</v>
      </c>
      <c r="E124" s="6">
        <v>13.915956</v>
      </c>
      <c r="F124" s="6" t="s">
        <v>487</v>
      </c>
      <c r="G124" s="6" t="s">
        <v>488</v>
      </c>
      <c r="H124" s="35">
        <v>240182</v>
      </c>
      <c r="I124" s="6" t="s">
        <v>195</v>
      </c>
      <c r="J124" s="6">
        <v>5</v>
      </c>
      <c r="K124" s="6">
        <v>2026</v>
      </c>
      <c r="L124" s="6">
        <v>2</v>
      </c>
      <c r="M124" s="6" t="s">
        <v>45</v>
      </c>
      <c r="N124" s="6" t="s">
        <v>250</v>
      </c>
      <c r="O124" s="6" t="s">
        <v>79</v>
      </c>
      <c r="P124" s="6" t="s">
        <v>346</v>
      </c>
      <c r="Q124" s="6" t="s">
        <v>489</v>
      </c>
      <c r="R124" s="35">
        <v>1679</v>
      </c>
      <c r="S124" s="6">
        <v>131</v>
      </c>
      <c r="T124" s="36" t="s">
        <v>253</v>
      </c>
      <c r="U124" s="46">
        <f>IF($L124&lt;=2,
IF($R124&lt;=RpmDesignStandard!$C$2,RpmDesignStandard!$D$2,
IF(AND($R124&gt;RpmDesignStandard!$B$3,$R124&lt;=RpmDesignStandard!$C$3),RpmDesignStandard!$D$3,RpmDesignStandard!$D$4)),
IF($R124&lt;=RpmDesignStandard!$C$5, RpmDesignStandard!$D$5,
IF(AND($R124&gt;RpmDesignStandard!$B$6,$R124&lt;=RpmDesignStandard!$C$6),RpmDesignStandard!$D$6,
IF(AND($R124&gt;RpmDesignStandard!$B$7,$R124&lt;=RpmDesignStandard!$C$7),RpmDesignStandard!$D$7,RpmDesignStandard!$D$8))))</f>
        <v>4</v>
      </c>
      <c r="V124" s="47">
        <f>U124*RpmDesignStandard!$H$1</f>
        <v>8</v>
      </c>
      <c r="W124" s="37" t="str">
        <f>VLOOKUP(A124,RPM_ProjectRecord!A:AB,8,FALSE)</f>
        <v/>
      </c>
      <c r="X124" s="38" t="str">
        <f t="shared" si="10"/>
        <v/>
      </c>
      <c r="Y124" s="38" t="str">
        <f t="shared" si="11"/>
        <v/>
      </c>
      <c r="Z124" s="38" t="str">
        <f t="shared" si="12"/>
        <v/>
      </c>
      <c r="AA124" s="38" t="str">
        <f t="shared" si="13"/>
        <v/>
      </c>
      <c r="AB124" s="38" t="str">
        <f t="shared" si="14"/>
        <v/>
      </c>
      <c r="AC124" s="38">
        <f>IF(VLOOKUP(A124,'3rdPhaseChipSeal'!A:L,12,FALSE)="","",VLOOKUP(A124,'3rdPhaseChipSeal'!A:L,12,FALSE))</f>
        <v>2039</v>
      </c>
      <c r="AD124" s="38" t="str">
        <f>IFERROR(IF(VLOOKUP(A124,RpmContracts!A:C,3,FALSE)="","",VLOOKUP(A124,RpmContracts!A:C,3,FALSE)),"")</f>
        <v/>
      </c>
      <c r="AE124" s="7" t="str">
        <f>IF(VLOOKUP(A124,'20yPlan'!A:B,2,FALSE)="","",VLOOKUP(A124,'20yPlan'!A:B,2,FALSE))</f>
        <v/>
      </c>
      <c r="AF124" s="7" t="str">
        <f>IF(VLOOKUP(A124,'20yPlan'!A:C,3,FALSE)="","",VLOOKUP(A124,'20yPlan'!A:C,3,FALSE))</f>
        <v/>
      </c>
      <c r="AG124" s="7" t="str">
        <f>IF(VLOOKUP(A124,'20yPlan'!A:D,4,FALSE)="","",VLOOKUP(A124,'20yPlan'!A:D,4,FALSE))</f>
        <v/>
      </c>
      <c r="AH124" s="7" t="str">
        <f>IF(VLOOKUP(A124,'20yPlan'!A:E,5,FALSE)="","",VLOOKUP(A124,'20yPlan'!A:E,5,FALSE))</f>
        <v/>
      </c>
      <c r="AI124" s="7" t="str">
        <f>IF(VLOOKUP(A124,'20yPlan'!A:F,6,FALSE)="","",VLOOKUP(A124,'20yPlan'!A:F,6,FALSE))</f>
        <v/>
      </c>
      <c r="AJ124" s="7" t="str">
        <f t="shared" si="15"/>
        <v>2039 Chip Seal</v>
      </c>
      <c r="AK124" s="7" t="str">
        <f t="shared" si="16"/>
        <v/>
      </c>
      <c r="AL124" s="39">
        <f t="shared" ca="1" si="17"/>
        <v>2025</v>
      </c>
      <c r="AM124" s="7" t="str">
        <f t="shared" si="18"/>
        <v/>
      </c>
      <c r="AN124" s="7" t="str">
        <f t="shared" si="19"/>
        <v/>
      </c>
    </row>
    <row r="125" spans="1:40">
      <c r="A125" s="6">
        <v>60127</v>
      </c>
      <c r="B125" s="6" t="s">
        <v>485</v>
      </c>
      <c r="C125" s="6" t="s">
        <v>270</v>
      </c>
      <c r="D125" s="6">
        <v>13.916956000000001</v>
      </c>
      <c r="E125" s="6">
        <v>24.975306</v>
      </c>
      <c r="F125" s="6" t="s">
        <v>490</v>
      </c>
      <c r="G125" s="6" t="s">
        <v>491</v>
      </c>
      <c r="H125" s="35">
        <v>177661</v>
      </c>
      <c r="I125" s="6" t="s">
        <v>195</v>
      </c>
      <c r="J125" s="6">
        <v>4</v>
      </c>
      <c r="K125" s="6">
        <v>2026</v>
      </c>
      <c r="L125" s="6">
        <v>2</v>
      </c>
      <c r="M125" s="6" t="s">
        <v>45</v>
      </c>
      <c r="N125" s="6" t="s">
        <v>250</v>
      </c>
      <c r="O125" s="6" t="s">
        <v>215</v>
      </c>
      <c r="P125" s="6" t="s">
        <v>492</v>
      </c>
      <c r="Q125" s="6" t="s">
        <v>217</v>
      </c>
      <c r="R125" s="35">
        <v>1438</v>
      </c>
      <c r="S125" s="6">
        <v>285</v>
      </c>
      <c r="T125" s="36" t="s">
        <v>253</v>
      </c>
      <c r="U125" s="46">
        <f>IF($L125&lt;=2,
IF($R125&lt;=RpmDesignStandard!$C$2,RpmDesignStandard!$D$2,
IF(AND($R125&gt;RpmDesignStandard!$B$3,$R125&lt;=RpmDesignStandard!$C$3),RpmDesignStandard!$D$3,RpmDesignStandard!$D$4)),
IF($R125&lt;=RpmDesignStandard!$C$5, RpmDesignStandard!$D$5,
IF(AND($R125&gt;RpmDesignStandard!$B$6,$R125&lt;=RpmDesignStandard!$C$6),RpmDesignStandard!$D$6,
IF(AND($R125&gt;RpmDesignStandard!$B$7,$R125&lt;=RpmDesignStandard!$C$7),RpmDesignStandard!$D$7,RpmDesignStandard!$D$8))))</f>
        <v>4</v>
      </c>
      <c r="V125" s="47">
        <f>U125*RpmDesignStandard!$H$1</f>
        <v>8</v>
      </c>
      <c r="W125" s="37" t="str">
        <f>VLOOKUP(A125,RPM_ProjectRecord!A:AB,8,FALSE)</f>
        <v/>
      </c>
      <c r="X125" s="38" t="str">
        <f t="shared" si="10"/>
        <v/>
      </c>
      <c r="Y125" s="38" t="str">
        <f t="shared" si="11"/>
        <v/>
      </c>
      <c r="Z125" s="38" t="str">
        <f t="shared" si="12"/>
        <v/>
      </c>
      <c r="AA125" s="38" t="str">
        <f t="shared" si="13"/>
        <v/>
      </c>
      <c r="AB125" s="38" t="str">
        <f t="shared" si="14"/>
        <v/>
      </c>
      <c r="AC125" s="38">
        <f>IF(VLOOKUP(A125,'3rdPhaseChipSeal'!A:L,12,FALSE)="","",VLOOKUP(A125,'3rdPhaseChipSeal'!A:L,12,FALSE))</f>
        <v>2039</v>
      </c>
      <c r="AD125" s="38">
        <f>IFERROR(IF(VLOOKUP(A125,RpmContracts!A:C,3,FALSE)="","",VLOOKUP(A125,RpmContracts!A:C,3,FALSE)),"")</f>
        <v>2027</v>
      </c>
      <c r="AE125" s="7" t="str">
        <f>IF(VLOOKUP(A125,'20yPlan'!A:B,2,FALSE)="","",VLOOKUP(A125,'20yPlan'!A:B,2,FALSE))</f>
        <v/>
      </c>
      <c r="AF125" s="7" t="str">
        <f>IF(VLOOKUP(A125,'20yPlan'!A:C,3,FALSE)="","",VLOOKUP(A125,'20yPlan'!A:C,3,FALSE))</f>
        <v/>
      </c>
      <c r="AG125" s="7" t="str">
        <f>IF(VLOOKUP(A125,'20yPlan'!A:D,4,FALSE)="","",VLOOKUP(A125,'20yPlan'!A:D,4,FALSE))</f>
        <v/>
      </c>
      <c r="AH125" s="7" t="str">
        <f>IF(VLOOKUP(A125,'20yPlan'!A:E,5,FALSE)="","",VLOOKUP(A125,'20yPlan'!A:E,5,FALSE))</f>
        <v/>
      </c>
      <c r="AI125" s="7" t="str">
        <f>IF(VLOOKUP(A125,'20yPlan'!A:F,6,FALSE)="","",VLOOKUP(A125,'20yPlan'!A:F,6,FALSE))</f>
        <v/>
      </c>
      <c r="AJ125" s="7" t="str">
        <f t="shared" si="15"/>
        <v>2039 Chip Seal</v>
      </c>
      <c r="AK125" s="7" t="str">
        <f t="shared" si="16"/>
        <v>2027 RPM Replacement</v>
      </c>
      <c r="AL125" s="39">
        <f t="shared" ca="1" si="17"/>
        <v>2025</v>
      </c>
      <c r="AM125" s="7">
        <f t="shared" si="18"/>
        <v>2027</v>
      </c>
      <c r="AN125" s="7" t="str">
        <f t="shared" si="19"/>
        <v>2027 RPM Replacement</v>
      </c>
    </row>
    <row r="126" spans="1:40">
      <c r="A126" s="6">
        <v>60128</v>
      </c>
      <c r="B126" s="6" t="s">
        <v>493</v>
      </c>
      <c r="C126" s="6" t="s">
        <v>494</v>
      </c>
      <c r="D126" s="6">
        <v>0</v>
      </c>
      <c r="E126" s="6">
        <v>3.5282490000000002</v>
      </c>
      <c r="F126" s="6" t="s">
        <v>53</v>
      </c>
      <c r="G126" s="6" t="s">
        <v>495</v>
      </c>
      <c r="H126" s="35">
        <v>56408</v>
      </c>
      <c r="I126" s="6" t="s">
        <v>195</v>
      </c>
      <c r="J126" s="6">
        <v>17</v>
      </c>
      <c r="K126" s="6">
        <v>2031</v>
      </c>
      <c r="L126" s="6">
        <v>2</v>
      </c>
      <c r="M126" s="6" t="s">
        <v>45</v>
      </c>
      <c r="N126" s="6" t="s">
        <v>250</v>
      </c>
      <c r="O126" s="6" t="s">
        <v>130</v>
      </c>
      <c r="P126" s="6" t="s">
        <v>161</v>
      </c>
      <c r="Q126" s="6" t="s">
        <v>162</v>
      </c>
      <c r="R126" s="35">
        <v>1567</v>
      </c>
      <c r="S126" s="6">
        <v>266</v>
      </c>
      <c r="T126" s="36" t="s">
        <v>253</v>
      </c>
      <c r="U126" s="46">
        <f>IF($L126&lt;=2,
IF($R126&lt;=RpmDesignStandard!$C$2,RpmDesignStandard!$D$2,
IF(AND($R126&gt;RpmDesignStandard!$B$3,$R126&lt;=RpmDesignStandard!$C$3),RpmDesignStandard!$D$3,RpmDesignStandard!$D$4)),
IF($R126&lt;=RpmDesignStandard!$C$5, RpmDesignStandard!$D$5,
IF(AND($R126&gt;RpmDesignStandard!$B$6,$R126&lt;=RpmDesignStandard!$C$6),RpmDesignStandard!$D$6,
IF(AND($R126&gt;RpmDesignStandard!$B$7,$R126&lt;=RpmDesignStandard!$C$7),RpmDesignStandard!$D$7,RpmDesignStandard!$D$8))))</f>
        <v>4</v>
      </c>
      <c r="V126" s="47">
        <f>U126*RpmDesignStandard!$H$1</f>
        <v>8</v>
      </c>
      <c r="W126" s="37">
        <f>VLOOKUP(A126,RPM_ProjectRecord!A:AB,8,FALSE)</f>
        <v>2024</v>
      </c>
      <c r="X126" s="38" t="str">
        <f t="shared" si="10"/>
        <v/>
      </c>
      <c r="Y126" s="38" t="str">
        <f t="shared" si="11"/>
        <v/>
      </c>
      <c r="Z126" s="38" t="str">
        <f t="shared" si="12"/>
        <v/>
      </c>
      <c r="AA126" s="38" t="str">
        <f t="shared" si="13"/>
        <v/>
      </c>
      <c r="AB126" s="38" t="str">
        <f t="shared" si="14"/>
        <v/>
      </c>
      <c r="AC126" s="38" t="str">
        <f>IF(VLOOKUP(A126,'3rdPhaseChipSeal'!A:L,12,FALSE)="","",VLOOKUP(A126,'3rdPhaseChipSeal'!A:L,12,FALSE))</f>
        <v/>
      </c>
      <c r="AD126" s="38" t="str">
        <f>IFERROR(IF(VLOOKUP(A126,RpmContracts!A:C,3,FALSE)="","",VLOOKUP(A126,RpmContracts!A:C,3,FALSE)),"")</f>
        <v/>
      </c>
      <c r="AE126" s="7" t="str">
        <f>IF(VLOOKUP(A126,'20yPlan'!A:B,2,FALSE)="","",VLOOKUP(A126,'20yPlan'!A:B,2,FALSE))</f>
        <v/>
      </c>
      <c r="AF126" s="7" t="str">
        <f>IF(VLOOKUP(A126,'20yPlan'!A:C,3,FALSE)="","",VLOOKUP(A126,'20yPlan'!A:C,3,FALSE))</f>
        <v/>
      </c>
      <c r="AG126" s="7" t="str">
        <f>IF(VLOOKUP(A126,'20yPlan'!A:D,4,FALSE)="","",VLOOKUP(A126,'20yPlan'!A:D,4,FALSE))</f>
        <v/>
      </c>
      <c r="AH126" s="7" t="str">
        <f>IF(VLOOKUP(A126,'20yPlan'!A:E,5,FALSE)="","",VLOOKUP(A126,'20yPlan'!A:E,5,FALSE))</f>
        <v/>
      </c>
      <c r="AI126" s="7" t="str">
        <f>IF(VLOOKUP(A126,'20yPlan'!A:F,6,FALSE)="","",VLOOKUP(A126,'20yPlan'!A:F,6,FALSE))</f>
        <v/>
      </c>
      <c r="AJ126" s="7" t="str">
        <f t="shared" si="15"/>
        <v/>
      </c>
      <c r="AK126" s="7" t="str">
        <f t="shared" si="16"/>
        <v/>
      </c>
      <c r="AL126" s="39">
        <f t="shared" ca="1" si="17"/>
        <v>2028</v>
      </c>
      <c r="AM126" s="7" t="str">
        <f t="shared" si="18"/>
        <v/>
      </c>
      <c r="AN126" s="7" t="str">
        <f t="shared" si="19"/>
        <v/>
      </c>
    </row>
    <row r="127" spans="1:40">
      <c r="A127" s="6">
        <v>60129</v>
      </c>
      <c r="B127" s="6" t="s">
        <v>493</v>
      </c>
      <c r="C127" s="6" t="s">
        <v>496</v>
      </c>
      <c r="D127" s="6">
        <v>4.3437089999999996</v>
      </c>
      <c r="E127" s="6">
        <v>13.872225</v>
      </c>
      <c r="F127" s="6" t="s">
        <v>497</v>
      </c>
      <c r="G127" s="6" t="s">
        <v>498</v>
      </c>
      <c r="H127" s="35">
        <v>166616</v>
      </c>
      <c r="I127" s="6" t="s">
        <v>195</v>
      </c>
      <c r="J127" s="6">
        <v>22</v>
      </c>
      <c r="K127" s="6">
        <v>2028</v>
      </c>
      <c r="L127" s="6">
        <v>2</v>
      </c>
      <c r="M127" s="6" t="s">
        <v>45</v>
      </c>
      <c r="N127" s="6" t="s">
        <v>250</v>
      </c>
      <c r="O127" s="6" t="s">
        <v>130</v>
      </c>
      <c r="P127" s="6" t="s">
        <v>161</v>
      </c>
      <c r="Q127" s="6" t="s">
        <v>162</v>
      </c>
      <c r="R127" s="35">
        <v>1398</v>
      </c>
      <c r="S127" s="6">
        <v>220</v>
      </c>
      <c r="T127" s="36" t="s">
        <v>253</v>
      </c>
      <c r="U127" s="46">
        <f>IF($L127&lt;=2,
IF($R127&lt;=RpmDesignStandard!$C$2,RpmDesignStandard!$D$2,
IF(AND($R127&gt;RpmDesignStandard!$B$3,$R127&lt;=RpmDesignStandard!$C$3),RpmDesignStandard!$D$3,RpmDesignStandard!$D$4)),
IF($R127&lt;=RpmDesignStandard!$C$5, RpmDesignStandard!$D$5,
IF(AND($R127&gt;RpmDesignStandard!$B$6,$R127&lt;=RpmDesignStandard!$C$6),RpmDesignStandard!$D$6,
IF(AND($R127&gt;RpmDesignStandard!$B$7,$R127&lt;=RpmDesignStandard!$C$7),RpmDesignStandard!$D$7,RpmDesignStandard!$D$8))))</f>
        <v>4</v>
      </c>
      <c r="V127" s="47">
        <f>U127*RpmDesignStandard!$H$1</f>
        <v>8</v>
      </c>
      <c r="W127" s="37" t="str">
        <f>VLOOKUP(A127,RPM_ProjectRecord!A:AB,8,FALSE)</f>
        <v/>
      </c>
      <c r="X127" s="38" t="str">
        <f t="shared" si="10"/>
        <v/>
      </c>
      <c r="Y127" s="38" t="str">
        <f t="shared" si="11"/>
        <v/>
      </c>
      <c r="Z127" s="38" t="str">
        <f t="shared" si="12"/>
        <v/>
      </c>
      <c r="AA127" s="38" t="str">
        <f t="shared" si="13"/>
        <v/>
      </c>
      <c r="AB127" s="38" t="str">
        <f t="shared" si="14"/>
        <v/>
      </c>
      <c r="AC127" s="38">
        <f>IF(VLOOKUP(A127,'3rdPhaseChipSeal'!A:L,12,FALSE)="","",VLOOKUP(A127,'3rdPhaseChipSeal'!A:L,12,FALSE))</f>
        <v>2034</v>
      </c>
      <c r="AD127" s="38" t="str">
        <f>IFERROR(IF(VLOOKUP(A127,RpmContracts!A:C,3,FALSE)="","",VLOOKUP(A127,RpmContracts!A:C,3,FALSE)),"")</f>
        <v/>
      </c>
      <c r="AE127" s="7" t="str">
        <f>IF(VLOOKUP(A127,'20yPlan'!A:B,2,FALSE)="","",VLOOKUP(A127,'20yPlan'!A:B,2,FALSE))</f>
        <v/>
      </c>
      <c r="AF127" s="7" t="str">
        <f>IF(VLOOKUP(A127,'20yPlan'!A:C,3,FALSE)="","",VLOOKUP(A127,'20yPlan'!A:C,3,FALSE))</f>
        <v/>
      </c>
      <c r="AG127" s="7" t="str">
        <f>IF(VLOOKUP(A127,'20yPlan'!A:D,4,FALSE)="","",VLOOKUP(A127,'20yPlan'!A:D,4,FALSE))</f>
        <v/>
      </c>
      <c r="AH127" s="7" t="str">
        <f>IF(VLOOKUP(A127,'20yPlan'!A:E,5,FALSE)="","",VLOOKUP(A127,'20yPlan'!A:E,5,FALSE))</f>
        <v/>
      </c>
      <c r="AI127" s="7" t="str">
        <f>IF(VLOOKUP(A127,'20yPlan'!A:F,6,FALSE)="","",VLOOKUP(A127,'20yPlan'!A:F,6,FALSE))</f>
        <v/>
      </c>
      <c r="AJ127" s="7" t="str">
        <f t="shared" si="15"/>
        <v>2034 Chip Seal</v>
      </c>
      <c r="AK127" s="7" t="str">
        <f t="shared" si="16"/>
        <v/>
      </c>
      <c r="AL127" s="39">
        <f t="shared" ca="1" si="17"/>
        <v>2025</v>
      </c>
      <c r="AM127" s="7" t="str">
        <f t="shared" si="18"/>
        <v/>
      </c>
      <c r="AN127" s="7" t="str">
        <f t="shared" si="19"/>
        <v/>
      </c>
    </row>
    <row r="128" spans="1:40">
      <c r="A128" s="6">
        <v>60130</v>
      </c>
      <c r="B128" s="6" t="s">
        <v>493</v>
      </c>
      <c r="C128" s="6" t="s">
        <v>499</v>
      </c>
      <c r="D128" s="6">
        <v>14.340882000000001</v>
      </c>
      <c r="E128" s="6">
        <v>23.651150999999999</v>
      </c>
      <c r="F128" s="6" t="s">
        <v>500</v>
      </c>
      <c r="G128" s="6" t="s">
        <v>501</v>
      </c>
      <c r="H128" s="35">
        <v>125934</v>
      </c>
      <c r="I128" s="6" t="s">
        <v>195</v>
      </c>
      <c r="J128" s="6">
        <v>29</v>
      </c>
      <c r="K128" s="6">
        <v>2031</v>
      </c>
      <c r="L128" s="6">
        <v>2</v>
      </c>
      <c r="M128" s="6" t="s">
        <v>45</v>
      </c>
      <c r="N128" s="6" t="s">
        <v>250</v>
      </c>
      <c r="O128" s="6" t="s">
        <v>47</v>
      </c>
      <c r="P128" s="6" t="s">
        <v>191</v>
      </c>
      <c r="Q128" s="6" t="s">
        <v>192</v>
      </c>
      <c r="R128" s="6">
        <v>547</v>
      </c>
      <c r="S128" s="6">
        <v>23</v>
      </c>
      <c r="T128" s="36" t="s">
        <v>253</v>
      </c>
      <c r="U128" s="46">
        <f>IF($L128&lt;=2,
IF($R128&lt;=RpmDesignStandard!$C$2,RpmDesignStandard!$D$2,
IF(AND($R128&gt;RpmDesignStandard!$B$3,$R128&lt;=RpmDesignStandard!$C$3),RpmDesignStandard!$D$3,RpmDesignStandard!$D$4)),
IF($R128&lt;=RpmDesignStandard!$C$5, RpmDesignStandard!$D$5,
IF(AND($R128&gt;RpmDesignStandard!$B$6,$R128&lt;=RpmDesignStandard!$C$6),RpmDesignStandard!$D$6,
IF(AND($R128&gt;RpmDesignStandard!$B$7,$R128&lt;=RpmDesignStandard!$C$7),RpmDesignStandard!$D$7,RpmDesignStandard!$D$8))))</f>
        <v>4</v>
      </c>
      <c r="V128" s="47">
        <f>U128*RpmDesignStandard!$H$1</f>
        <v>8</v>
      </c>
      <c r="W128" s="37">
        <f>VLOOKUP(A128,RPM_ProjectRecord!A:AB,8,FALSE)</f>
        <v>2025</v>
      </c>
      <c r="X128" s="38" t="str">
        <f t="shared" si="10"/>
        <v/>
      </c>
      <c r="Y128" s="38" t="str">
        <f t="shared" si="11"/>
        <v/>
      </c>
      <c r="Z128" s="38" t="str">
        <f t="shared" si="12"/>
        <v/>
      </c>
      <c r="AA128" s="38" t="str">
        <f t="shared" si="13"/>
        <v/>
      </c>
      <c r="AB128" s="38" t="str">
        <f t="shared" si="14"/>
        <v/>
      </c>
      <c r="AC128" s="38" t="str">
        <f>IF(VLOOKUP(A128,'3rdPhaseChipSeal'!A:L,12,FALSE)="","",VLOOKUP(A128,'3rdPhaseChipSeal'!A:L,12,FALSE))</f>
        <v/>
      </c>
      <c r="AD128" s="38">
        <f>IFERROR(IF(VLOOKUP(A128,RpmContracts!A:C,3,FALSE)="","",VLOOKUP(A128,RpmContracts!A:C,3,FALSE)),"")</f>
        <v>2027</v>
      </c>
      <c r="AE128" s="7" t="str">
        <f>IF(VLOOKUP(A128,'20yPlan'!A:B,2,FALSE)="","",VLOOKUP(A128,'20yPlan'!A:B,2,FALSE))</f>
        <v/>
      </c>
      <c r="AF128" s="7" t="str">
        <f>IF(VLOOKUP(A128,'20yPlan'!A:C,3,FALSE)="","",VLOOKUP(A128,'20yPlan'!A:C,3,FALSE))</f>
        <v/>
      </c>
      <c r="AG128" s="7" t="str">
        <f>IF(VLOOKUP(A128,'20yPlan'!A:D,4,FALSE)="","",VLOOKUP(A128,'20yPlan'!A:D,4,FALSE))</f>
        <v/>
      </c>
      <c r="AH128" s="7" t="str">
        <f>IF(VLOOKUP(A128,'20yPlan'!A:E,5,FALSE)="","",VLOOKUP(A128,'20yPlan'!A:E,5,FALSE))</f>
        <v/>
      </c>
      <c r="AI128" s="7" t="str">
        <f>IF(VLOOKUP(A128,'20yPlan'!A:F,6,FALSE)="","",VLOOKUP(A128,'20yPlan'!A:F,6,FALSE))</f>
        <v/>
      </c>
      <c r="AJ128" s="7" t="str">
        <f t="shared" si="15"/>
        <v/>
      </c>
      <c r="AK128" s="7" t="str">
        <f t="shared" si="16"/>
        <v>2027 RPM Replacement</v>
      </c>
      <c r="AL128" s="39">
        <f t="shared" ca="1" si="17"/>
        <v>2029</v>
      </c>
      <c r="AM128" s="7">
        <f t="shared" si="18"/>
        <v>2027</v>
      </c>
      <c r="AN128" s="7" t="str">
        <f t="shared" si="19"/>
        <v>2027 RPM Replacement</v>
      </c>
    </row>
    <row r="129" spans="1:40">
      <c r="A129" s="6">
        <v>60131</v>
      </c>
      <c r="B129" s="6" t="s">
        <v>502</v>
      </c>
      <c r="C129" s="6" t="s">
        <v>503</v>
      </c>
      <c r="D129" s="6">
        <v>0</v>
      </c>
      <c r="E129" s="6">
        <v>1.107861</v>
      </c>
      <c r="F129" s="6" t="s">
        <v>53</v>
      </c>
      <c r="G129" s="6" t="s">
        <v>504</v>
      </c>
      <c r="H129" s="35">
        <v>18798</v>
      </c>
      <c r="I129" s="6" t="s">
        <v>195</v>
      </c>
      <c r="J129" s="6">
        <v>3</v>
      </c>
      <c r="K129" s="6">
        <v>2029</v>
      </c>
      <c r="L129" s="6">
        <v>2</v>
      </c>
      <c r="M129" s="6" t="s">
        <v>45</v>
      </c>
      <c r="N129" s="6" t="s">
        <v>250</v>
      </c>
      <c r="O129" s="6" t="s">
        <v>165</v>
      </c>
      <c r="P129" s="6" t="s">
        <v>236</v>
      </c>
      <c r="Q129" s="6" t="s">
        <v>505</v>
      </c>
      <c r="R129" s="35">
        <v>3709</v>
      </c>
      <c r="S129" s="6">
        <v>369</v>
      </c>
      <c r="T129" s="36" t="s">
        <v>253</v>
      </c>
      <c r="U129" s="46">
        <f>IF($L129&lt;=2,
IF($R129&lt;=RpmDesignStandard!$C$2,RpmDesignStandard!$D$2,
IF(AND($R129&gt;RpmDesignStandard!$B$3,$R129&lt;=RpmDesignStandard!$C$3),RpmDesignStandard!$D$3,RpmDesignStandard!$D$4)),
IF($R129&lt;=RpmDesignStandard!$C$5, RpmDesignStandard!$D$5,
IF(AND($R129&gt;RpmDesignStandard!$B$6,$R129&lt;=RpmDesignStandard!$C$6),RpmDesignStandard!$D$6,
IF(AND($R129&gt;RpmDesignStandard!$B$7,$R129&lt;=RpmDesignStandard!$C$7),RpmDesignStandard!$D$7,RpmDesignStandard!$D$8))))</f>
        <v>4</v>
      </c>
      <c r="V129" s="47">
        <f>U129*RpmDesignStandard!$H$1</f>
        <v>8</v>
      </c>
      <c r="W129" s="37">
        <f>VLOOKUP(A129,RPM_ProjectRecord!A:AB,8,FALSE)</f>
        <v>2025</v>
      </c>
      <c r="X129" s="38" t="str">
        <f t="shared" si="10"/>
        <v/>
      </c>
      <c r="Y129" s="38" t="str">
        <f t="shared" si="11"/>
        <v/>
      </c>
      <c r="Z129" s="38" t="str">
        <f t="shared" si="12"/>
        <v/>
      </c>
      <c r="AA129" s="38" t="str">
        <f t="shared" si="13"/>
        <v/>
      </c>
      <c r="AB129" s="38" t="str">
        <f t="shared" si="14"/>
        <v/>
      </c>
      <c r="AC129" s="38">
        <f>IF(VLOOKUP(A129,'3rdPhaseChipSeal'!A:L,12,FALSE)="","",VLOOKUP(A129,'3rdPhaseChipSeal'!A:L,12,FALSE))</f>
        <v>2043</v>
      </c>
      <c r="AD129" s="38" t="str">
        <f>IFERROR(IF(VLOOKUP(A129,RpmContracts!A:C,3,FALSE)="","",VLOOKUP(A129,RpmContracts!A:C,3,FALSE)),"")</f>
        <v/>
      </c>
      <c r="AE129" s="7" t="str">
        <f>IF(VLOOKUP(A129,'20yPlan'!A:B,2,FALSE)="","",VLOOKUP(A129,'20yPlan'!A:B,2,FALSE))</f>
        <v/>
      </c>
      <c r="AF129" s="7" t="str">
        <f>IF(VLOOKUP(A129,'20yPlan'!A:C,3,FALSE)="","",VLOOKUP(A129,'20yPlan'!A:C,3,FALSE))</f>
        <v/>
      </c>
      <c r="AG129" s="7" t="str">
        <f>IF(VLOOKUP(A129,'20yPlan'!A:D,4,FALSE)="","",VLOOKUP(A129,'20yPlan'!A:D,4,FALSE))</f>
        <v/>
      </c>
      <c r="AH129" s="7" t="str">
        <f>IF(VLOOKUP(A129,'20yPlan'!A:E,5,FALSE)="","",VLOOKUP(A129,'20yPlan'!A:E,5,FALSE))</f>
        <v/>
      </c>
      <c r="AI129" s="7" t="str">
        <f>IF(VLOOKUP(A129,'20yPlan'!A:F,6,FALSE)="","",VLOOKUP(A129,'20yPlan'!A:F,6,FALSE))</f>
        <v/>
      </c>
      <c r="AJ129" s="7" t="str">
        <f t="shared" si="15"/>
        <v>2043 Chip Seal</v>
      </c>
      <c r="AK129" s="7" t="str">
        <f t="shared" si="16"/>
        <v/>
      </c>
      <c r="AL129" s="39">
        <f t="shared" ca="1" si="17"/>
        <v>2029</v>
      </c>
      <c r="AM129" s="7" t="str">
        <f t="shared" si="18"/>
        <v/>
      </c>
      <c r="AN129" s="7" t="str">
        <f t="shared" si="19"/>
        <v/>
      </c>
    </row>
    <row r="130" spans="1:40">
      <c r="A130" s="6">
        <v>60132</v>
      </c>
      <c r="B130" s="6" t="s">
        <v>506</v>
      </c>
      <c r="C130" s="6" t="s">
        <v>507</v>
      </c>
      <c r="D130" s="6">
        <v>2.6018279999999998</v>
      </c>
      <c r="E130" s="6">
        <v>12.082304000000001</v>
      </c>
      <c r="F130" s="6" t="s">
        <v>508</v>
      </c>
      <c r="G130" s="6" t="s">
        <v>509</v>
      </c>
      <c r="H130" s="35">
        <v>136697</v>
      </c>
      <c r="I130" s="6" t="s">
        <v>195</v>
      </c>
      <c r="J130" s="6">
        <v>21</v>
      </c>
      <c r="K130" s="6">
        <v>2027</v>
      </c>
      <c r="L130" s="6">
        <v>2</v>
      </c>
      <c r="M130" s="6" t="s">
        <v>45</v>
      </c>
      <c r="N130" s="6" t="s">
        <v>250</v>
      </c>
      <c r="O130" s="6" t="s">
        <v>121</v>
      </c>
      <c r="P130" s="6" t="s">
        <v>180</v>
      </c>
      <c r="Q130" s="6" t="s">
        <v>510</v>
      </c>
      <c r="R130" s="6">
        <v>169</v>
      </c>
      <c r="S130" s="6">
        <v>9</v>
      </c>
      <c r="T130" s="36" t="s">
        <v>253</v>
      </c>
      <c r="U130" s="46">
        <f>IF($L130&lt;=2,
IF($R130&lt;=RpmDesignStandard!$C$2,RpmDesignStandard!$D$2,
IF(AND($R130&gt;RpmDesignStandard!$B$3,$R130&lt;=RpmDesignStandard!$C$3),RpmDesignStandard!$D$3,RpmDesignStandard!$D$4)),
IF($R130&lt;=RpmDesignStandard!$C$5, RpmDesignStandard!$D$5,
IF(AND($R130&gt;RpmDesignStandard!$B$6,$R130&lt;=RpmDesignStandard!$C$6),RpmDesignStandard!$D$6,
IF(AND($R130&gt;RpmDesignStandard!$B$7,$R130&lt;=RpmDesignStandard!$C$7),RpmDesignStandard!$D$7,RpmDesignStandard!$D$8))))</f>
        <v>4</v>
      </c>
      <c r="V130" s="47">
        <f>U130*RpmDesignStandard!$H$1</f>
        <v>8</v>
      </c>
      <c r="W130" s="37">
        <f>VLOOKUP(A130,RPM_ProjectRecord!A:AB,8,FALSE)</f>
        <v>2025</v>
      </c>
      <c r="X130" s="38" t="str">
        <f t="shared" si="10"/>
        <v/>
      </c>
      <c r="Y130" s="38" t="str">
        <f t="shared" si="11"/>
        <v/>
      </c>
      <c r="Z130" s="38" t="str">
        <f t="shared" si="12"/>
        <v/>
      </c>
      <c r="AA130" s="38" t="str">
        <f t="shared" si="13"/>
        <v/>
      </c>
      <c r="AB130" s="38" t="str">
        <f t="shared" si="14"/>
        <v/>
      </c>
      <c r="AC130" s="38">
        <f>IF(VLOOKUP(A130,'3rdPhaseChipSeal'!A:L,12,FALSE)="","",VLOOKUP(A130,'3rdPhaseChipSeal'!A:L,12,FALSE))</f>
        <v>2027</v>
      </c>
      <c r="AD130" s="38" t="str">
        <f>IFERROR(IF(VLOOKUP(A130,RpmContracts!A:C,3,FALSE)="","",VLOOKUP(A130,RpmContracts!A:C,3,FALSE)),"")</f>
        <v/>
      </c>
      <c r="AE130" s="7" t="str">
        <f>IF(VLOOKUP(A130,'20yPlan'!A:B,2,FALSE)="","",VLOOKUP(A130,'20yPlan'!A:B,2,FALSE))</f>
        <v/>
      </c>
      <c r="AF130" s="7" t="str">
        <f>IF(VLOOKUP(A130,'20yPlan'!A:C,3,FALSE)="","",VLOOKUP(A130,'20yPlan'!A:C,3,FALSE))</f>
        <v/>
      </c>
      <c r="AG130" s="7" t="str">
        <f>IF(VLOOKUP(A130,'20yPlan'!A:D,4,FALSE)="","",VLOOKUP(A130,'20yPlan'!A:D,4,FALSE))</f>
        <v/>
      </c>
      <c r="AH130" s="7" t="str">
        <f>IF(VLOOKUP(A130,'20yPlan'!A:E,5,FALSE)="","",VLOOKUP(A130,'20yPlan'!A:E,5,FALSE))</f>
        <v/>
      </c>
      <c r="AI130" s="7" t="str">
        <f>IF(VLOOKUP(A130,'20yPlan'!A:F,6,FALSE)="","",VLOOKUP(A130,'20yPlan'!A:F,6,FALSE))</f>
        <v/>
      </c>
      <c r="AJ130" s="7" t="str">
        <f t="shared" si="15"/>
        <v>2027 Chip Seal</v>
      </c>
      <c r="AK130" s="7" t="str">
        <f t="shared" si="16"/>
        <v/>
      </c>
      <c r="AL130" s="39">
        <f t="shared" ca="1" si="17"/>
        <v>2029</v>
      </c>
      <c r="AM130" s="7">
        <f t="shared" si="18"/>
        <v>2027</v>
      </c>
      <c r="AN130" s="7" t="str">
        <f t="shared" si="19"/>
        <v>2027 Chip Seal</v>
      </c>
    </row>
    <row r="131" spans="1:40">
      <c r="A131" s="6">
        <v>60133</v>
      </c>
      <c r="B131" s="6" t="s">
        <v>506</v>
      </c>
      <c r="C131" s="6" t="s">
        <v>511</v>
      </c>
      <c r="D131" s="6">
        <v>12.082304000000001</v>
      </c>
      <c r="E131" s="6">
        <v>17.780912000000001</v>
      </c>
      <c r="F131" s="6" t="s">
        <v>509</v>
      </c>
      <c r="G131" s="6" t="s">
        <v>512</v>
      </c>
      <c r="H131" s="35">
        <v>84065</v>
      </c>
      <c r="I131" s="6" t="s">
        <v>195</v>
      </c>
      <c r="J131" s="6">
        <v>19</v>
      </c>
      <c r="K131" s="6">
        <v>2024</v>
      </c>
      <c r="L131" s="6">
        <v>2</v>
      </c>
      <c r="M131" s="6" t="s">
        <v>45</v>
      </c>
      <c r="N131" s="6" t="s">
        <v>250</v>
      </c>
      <c r="O131" s="6" t="s">
        <v>121</v>
      </c>
      <c r="P131" s="6" t="s">
        <v>180</v>
      </c>
      <c r="Q131" s="6" t="s">
        <v>123</v>
      </c>
      <c r="R131" s="6">
        <v>808</v>
      </c>
      <c r="S131" s="6">
        <v>41</v>
      </c>
      <c r="T131" s="36" t="s">
        <v>253</v>
      </c>
      <c r="U131" s="46">
        <f>IF($L131&lt;=2,
IF($R131&lt;=RpmDesignStandard!$C$2,RpmDesignStandard!$D$2,
IF(AND($R131&gt;RpmDesignStandard!$B$3,$R131&lt;=RpmDesignStandard!$C$3),RpmDesignStandard!$D$3,RpmDesignStandard!$D$4)),
IF($R131&lt;=RpmDesignStandard!$C$5, RpmDesignStandard!$D$5,
IF(AND($R131&gt;RpmDesignStandard!$B$6,$R131&lt;=RpmDesignStandard!$C$6),RpmDesignStandard!$D$6,
IF(AND($R131&gt;RpmDesignStandard!$B$7,$R131&lt;=RpmDesignStandard!$C$7),RpmDesignStandard!$D$7,RpmDesignStandard!$D$8))))</f>
        <v>4</v>
      </c>
      <c r="V131" s="47">
        <f>U131*RpmDesignStandard!$H$1</f>
        <v>8</v>
      </c>
      <c r="W131" s="37" t="str">
        <f>VLOOKUP(A131,RPM_ProjectRecord!A:AB,8,FALSE)</f>
        <v/>
      </c>
      <c r="X131" s="38" t="str">
        <f t="shared" ref="X131:X194" si="20">IFERROR(VALUE(LEFT(AE131,4)),"")</f>
        <v/>
      </c>
      <c r="Y131" s="38" t="str">
        <f t="shared" ref="Y131:Y194" si="21">IFERROR(VALUE(LEFT(AF131,4)),"")</f>
        <v/>
      </c>
      <c r="Z131" s="38" t="str">
        <f t="shared" ref="Z131:Z194" si="22">IFERROR(VALUE(LEFT(AG131,4)),"")</f>
        <v/>
      </c>
      <c r="AA131" s="38" t="str">
        <f t="shared" ref="AA131:AA194" si="23">IFERROR(VALUE(LEFT(AH131,4)),"")</f>
        <v/>
      </c>
      <c r="AB131" s="38" t="str">
        <f t="shared" ref="AB131:AB194" si="24">IFERROR(VALUE(LEFT(AI131,4)),"")</f>
        <v/>
      </c>
      <c r="AC131" s="38" t="str">
        <f>IF(VLOOKUP(A131,'3rdPhaseChipSeal'!A:L,12,FALSE)="","",VLOOKUP(A131,'3rdPhaseChipSeal'!A:L,12,FALSE))</f>
        <v/>
      </c>
      <c r="AD131" s="38" t="str">
        <f>IFERROR(IF(VLOOKUP(A131,RpmContracts!A:C,3,FALSE)="","",VLOOKUP(A131,RpmContracts!A:C,3,FALSE)),"")</f>
        <v/>
      </c>
      <c r="AE131" s="7" t="str">
        <f>IF(VLOOKUP(A131,'20yPlan'!A:B,2,FALSE)="","",VLOOKUP(A131,'20yPlan'!A:B,2,FALSE))</f>
        <v/>
      </c>
      <c r="AF131" s="7" t="str">
        <f>IF(VLOOKUP(A131,'20yPlan'!A:C,3,FALSE)="","",VLOOKUP(A131,'20yPlan'!A:C,3,FALSE))</f>
        <v/>
      </c>
      <c r="AG131" s="7" t="str">
        <f>IF(VLOOKUP(A131,'20yPlan'!A:D,4,FALSE)="","",VLOOKUP(A131,'20yPlan'!A:D,4,FALSE))</f>
        <v/>
      </c>
      <c r="AH131" s="7" t="str">
        <f>IF(VLOOKUP(A131,'20yPlan'!A:E,5,FALSE)="","",VLOOKUP(A131,'20yPlan'!A:E,5,FALSE))</f>
        <v/>
      </c>
      <c r="AI131" s="7" t="str">
        <f>IF(VLOOKUP(A131,'20yPlan'!A:F,6,FALSE)="","",VLOOKUP(A131,'20yPlan'!A:F,6,FALSE))</f>
        <v/>
      </c>
      <c r="AJ131" s="7" t="str">
        <f t="shared" ref="AJ131:AJ194" si="25">IF(AC131="","",_xlfn.CONCAT(AC131," ","Chip Seal"))</f>
        <v/>
      </c>
      <c r="AK131" s="7" t="str">
        <f t="shared" ref="AK131:AK194" si="26">IF(AD131="","",_xlfn.CONCAT(AD131," ","RPM Replacement"))</f>
        <v/>
      </c>
      <c r="AL131" s="39">
        <f t="shared" ref="AL131:AL194" ca="1" si="27">IFERROR(U131+W131,YEAR(TODAY()))</f>
        <v>2025</v>
      </c>
      <c r="AM131" s="7" t="str">
        <f t="shared" ref="AM131:AM194" si="28">IF(W131="",AD131,IF(AND(MIN(X131:AD131)&lt;=(W131+V131),MIN(X131:AD131)&gt;W131),MIN(X131:AD131),""))</f>
        <v/>
      </c>
      <c r="AN131" s="7" t="str">
        <f t="shared" ref="AN131:AN194" si="29">IF(AM131=X131,AE131,IF(AM131=Y131,AF131,IF(AM131=AC131,AJ131,AK131)))</f>
        <v/>
      </c>
    </row>
    <row r="132" spans="1:40">
      <c r="A132" s="6">
        <v>60135</v>
      </c>
      <c r="B132" s="6" t="s">
        <v>506</v>
      </c>
      <c r="C132" s="6" t="s">
        <v>513</v>
      </c>
      <c r="D132" s="6">
        <v>20.577988999999999</v>
      </c>
      <c r="E132" s="6">
        <v>23.737656999999999</v>
      </c>
      <c r="F132" s="6" t="s">
        <v>514</v>
      </c>
      <c r="G132" s="6" t="s">
        <v>515</v>
      </c>
      <c r="H132" s="35">
        <v>57466</v>
      </c>
      <c r="I132" s="6" t="s">
        <v>195</v>
      </c>
      <c r="J132" s="6">
        <v>7</v>
      </c>
      <c r="K132" s="6">
        <v>2027</v>
      </c>
      <c r="L132" s="6">
        <v>2</v>
      </c>
      <c r="M132" s="6" t="s">
        <v>45</v>
      </c>
      <c r="N132" s="6" t="s">
        <v>250</v>
      </c>
      <c r="O132" s="6" t="s">
        <v>121</v>
      </c>
      <c r="P132" s="6" t="s">
        <v>122</v>
      </c>
      <c r="Q132" s="6" t="s">
        <v>123</v>
      </c>
      <c r="R132" s="35">
        <v>4928</v>
      </c>
      <c r="S132" s="6">
        <v>265</v>
      </c>
      <c r="T132" s="36" t="s">
        <v>253</v>
      </c>
      <c r="U132" s="46">
        <f>IF($L132&lt;=2,
IF($R132&lt;=RpmDesignStandard!$C$2,RpmDesignStandard!$D$2,
IF(AND($R132&gt;RpmDesignStandard!$B$3,$R132&lt;=RpmDesignStandard!$C$3),RpmDesignStandard!$D$3,RpmDesignStandard!$D$4)),
IF($R132&lt;=RpmDesignStandard!$C$5, RpmDesignStandard!$D$5,
IF(AND($R132&gt;RpmDesignStandard!$B$6,$R132&lt;=RpmDesignStandard!$C$6),RpmDesignStandard!$D$6,
IF(AND($R132&gt;RpmDesignStandard!$B$7,$R132&lt;=RpmDesignStandard!$C$7),RpmDesignStandard!$D$7,RpmDesignStandard!$D$8))))</f>
        <v>4</v>
      </c>
      <c r="V132" s="47">
        <f>U132*RpmDesignStandard!$H$1</f>
        <v>8</v>
      </c>
      <c r="W132" s="37" t="str">
        <f>VLOOKUP(A132,RPM_ProjectRecord!A:AB,8,FALSE)</f>
        <v/>
      </c>
      <c r="X132" s="38" t="str">
        <f t="shared" si="20"/>
        <v/>
      </c>
      <c r="Y132" s="38" t="str">
        <f t="shared" si="21"/>
        <v/>
      </c>
      <c r="Z132" s="38" t="str">
        <f t="shared" si="22"/>
        <v/>
      </c>
      <c r="AA132" s="38" t="str">
        <f t="shared" si="23"/>
        <v/>
      </c>
      <c r="AB132" s="38" t="str">
        <f t="shared" si="24"/>
        <v/>
      </c>
      <c r="AC132" s="38">
        <f>IF(VLOOKUP(A132,'3rdPhaseChipSeal'!A:L,12,FALSE)="","",VLOOKUP(A132,'3rdPhaseChipSeal'!A:L,12,FALSE))</f>
        <v>2041</v>
      </c>
      <c r="AD132" s="38">
        <f>IFERROR(IF(VLOOKUP(A132,RpmContracts!A:C,3,FALSE)="","",VLOOKUP(A132,RpmContracts!A:C,3,FALSE)),"")</f>
        <v>2026</v>
      </c>
      <c r="AE132" s="7" t="str">
        <f>IF(VLOOKUP(A132,'20yPlan'!A:B,2,FALSE)="","",VLOOKUP(A132,'20yPlan'!A:B,2,FALSE))</f>
        <v/>
      </c>
      <c r="AF132" s="7" t="str">
        <f>IF(VLOOKUP(A132,'20yPlan'!A:C,3,FALSE)="","",VLOOKUP(A132,'20yPlan'!A:C,3,FALSE))</f>
        <v/>
      </c>
      <c r="AG132" s="7" t="str">
        <f>IF(VLOOKUP(A132,'20yPlan'!A:D,4,FALSE)="","",VLOOKUP(A132,'20yPlan'!A:D,4,FALSE))</f>
        <v/>
      </c>
      <c r="AH132" s="7" t="str">
        <f>IF(VLOOKUP(A132,'20yPlan'!A:E,5,FALSE)="","",VLOOKUP(A132,'20yPlan'!A:E,5,FALSE))</f>
        <v/>
      </c>
      <c r="AI132" s="7" t="str">
        <f>IF(VLOOKUP(A132,'20yPlan'!A:F,6,FALSE)="","",VLOOKUP(A132,'20yPlan'!A:F,6,FALSE))</f>
        <v/>
      </c>
      <c r="AJ132" s="7" t="str">
        <f t="shared" si="25"/>
        <v>2041 Chip Seal</v>
      </c>
      <c r="AK132" s="7" t="str">
        <f t="shared" si="26"/>
        <v>2026 RPM Replacement</v>
      </c>
      <c r="AL132" s="39">
        <f t="shared" ca="1" si="27"/>
        <v>2025</v>
      </c>
      <c r="AM132" s="7">
        <f t="shared" si="28"/>
        <v>2026</v>
      </c>
      <c r="AN132" s="7" t="str">
        <f t="shared" si="29"/>
        <v>2026 RPM Replacement</v>
      </c>
    </row>
    <row r="133" spans="1:40">
      <c r="A133" s="6">
        <v>60136</v>
      </c>
      <c r="B133" s="6" t="s">
        <v>506</v>
      </c>
      <c r="C133" s="6" t="s">
        <v>516</v>
      </c>
      <c r="D133" s="6">
        <v>23.737656999999999</v>
      </c>
      <c r="E133" s="6">
        <v>32.046892</v>
      </c>
      <c r="F133" s="6" t="s">
        <v>515</v>
      </c>
      <c r="G133" s="6" t="s">
        <v>517</v>
      </c>
      <c r="H133" s="35">
        <v>135261</v>
      </c>
      <c r="I133" s="6" t="s">
        <v>195</v>
      </c>
      <c r="J133" s="6">
        <v>1</v>
      </c>
      <c r="K133" s="6">
        <v>2028</v>
      </c>
      <c r="L133" s="6">
        <v>2</v>
      </c>
      <c r="M133" s="6" t="s">
        <v>45</v>
      </c>
      <c r="N133" s="6" t="s">
        <v>250</v>
      </c>
      <c r="O133" s="6" t="s">
        <v>47</v>
      </c>
      <c r="P133" s="6" t="s">
        <v>224</v>
      </c>
      <c r="Q133" s="6" t="s">
        <v>123</v>
      </c>
      <c r="R133" s="35">
        <v>3263</v>
      </c>
      <c r="S133" s="6">
        <v>168</v>
      </c>
      <c r="T133" s="36" t="s">
        <v>253</v>
      </c>
      <c r="U133" s="46">
        <f>IF($L133&lt;=2,
IF($R133&lt;=RpmDesignStandard!$C$2,RpmDesignStandard!$D$2,
IF(AND($R133&gt;RpmDesignStandard!$B$3,$R133&lt;=RpmDesignStandard!$C$3),RpmDesignStandard!$D$3,RpmDesignStandard!$D$4)),
IF($R133&lt;=RpmDesignStandard!$C$5, RpmDesignStandard!$D$5,
IF(AND($R133&gt;RpmDesignStandard!$B$6,$R133&lt;=RpmDesignStandard!$C$6),RpmDesignStandard!$D$6,
IF(AND($R133&gt;RpmDesignStandard!$B$7,$R133&lt;=RpmDesignStandard!$C$7),RpmDesignStandard!$D$7,RpmDesignStandard!$D$8))))</f>
        <v>4</v>
      </c>
      <c r="V133" s="47">
        <f>U133*RpmDesignStandard!$H$1</f>
        <v>8</v>
      </c>
      <c r="W133" s="37">
        <f>VLOOKUP(A133,RPM_ProjectRecord!A:AB,8,FALSE)</f>
        <v>2022</v>
      </c>
      <c r="X133" s="38" t="str">
        <f t="shared" si="20"/>
        <v/>
      </c>
      <c r="Y133" s="38" t="str">
        <f t="shared" si="21"/>
        <v/>
      </c>
      <c r="Z133" s="38" t="str">
        <f t="shared" si="22"/>
        <v/>
      </c>
      <c r="AA133" s="38" t="str">
        <f t="shared" si="23"/>
        <v/>
      </c>
      <c r="AB133" s="38" t="str">
        <f t="shared" si="24"/>
        <v/>
      </c>
      <c r="AC133" s="38">
        <f>IF(VLOOKUP(A133,'3rdPhaseChipSeal'!A:L,12,FALSE)="","",VLOOKUP(A133,'3rdPhaseChipSeal'!A:L,12,FALSE))</f>
        <v>2042</v>
      </c>
      <c r="AD133" s="38" t="str">
        <f>IFERROR(IF(VLOOKUP(A133,RpmContracts!A:C,3,FALSE)="","",VLOOKUP(A133,RpmContracts!A:C,3,FALSE)),"")</f>
        <v/>
      </c>
      <c r="AE133" s="7" t="str">
        <f>IF(VLOOKUP(A133,'20yPlan'!A:B,2,FALSE)="","",VLOOKUP(A133,'20yPlan'!A:B,2,FALSE))</f>
        <v/>
      </c>
      <c r="AF133" s="7" t="str">
        <f>IF(VLOOKUP(A133,'20yPlan'!A:C,3,FALSE)="","",VLOOKUP(A133,'20yPlan'!A:C,3,FALSE))</f>
        <v/>
      </c>
      <c r="AG133" s="7" t="str">
        <f>IF(VLOOKUP(A133,'20yPlan'!A:D,4,FALSE)="","",VLOOKUP(A133,'20yPlan'!A:D,4,FALSE))</f>
        <v/>
      </c>
      <c r="AH133" s="7" t="str">
        <f>IF(VLOOKUP(A133,'20yPlan'!A:E,5,FALSE)="","",VLOOKUP(A133,'20yPlan'!A:E,5,FALSE))</f>
        <v/>
      </c>
      <c r="AI133" s="7" t="str">
        <f>IF(VLOOKUP(A133,'20yPlan'!A:F,6,FALSE)="","",VLOOKUP(A133,'20yPlan'!A:F,6,FALSE))</f>
        <v/>
      </c>
      <c r="AJ133" s="7" t="str">
        <f t="shared" si="25"/>
        <v>2042 Chip Seal</v>
      </c>
      <c r="AK133" s="7" t="str">
        <f t="shared" si="26"/>
        <v/>
      </c>
      <c r="AL133" s="39">
        <f t="shared" ca="1" si="27"/>
        <v>2026</v>
      </c>
      <c r="AM133" s="7" t="str">
        <f t="shared" si="28"/>
        <v/>
      </c>
      <c r="AN133" s="7" t="str">
        <f t="shared" si="29"/>
        <v/>
      </c>
    </row>
    <row r="134" spans="1:40">
      <c r="A134" s="6">
        <v>60137</v>
      </c>
      <c r="B134" s="6" t="s">
        <v>506</v>
      </c>
      <c r="C134" s="6" t="s">
        <v>518</v>
      </c>
      <c r="D134" s="6">
        <v>32.046892</v>
      </c>
      <c r="E134" s="6">
        <v>41.205896000000003</v>
      </c>
      <c r="F134" s="6" t="s">
        <v>517</v>
      </c>
      <c r="G134" s="6" t="s">
        <v>519</v>
      </c>
      <c r="H134" s="35">
        <v>159594</v>
      </c>
      <c r="I134" s="6" t="s">
        <v>44</v>
      </c>
      <c r="J134" s="6">
        <v>13</v>
      </c>
      <c r="K134" s="6">
        <v>2028</v>
      </c>
      <c r="L134" s="6">
        <v>2</v>
      </c>
      <c r="M134" s="6" t="s">
        <v>45</v>
      </c>
      <c r="N134" s="6" t="s">
        <v>250</v>
      </c>
      <c r="O134" s="6" t="s">
        <v>196</v>
      </c>
      <c r="P134" s="6" t="s">
        <v>324</v>
      </c>
      <c r="Q134" s="6" t="s">
        <v>520</v>
      </c>
      <c r="R134" s="35">
        <v>7172</v>
      </c>
      <c r="S134" s="6">
        <v>532</v>
      </c>
      <c r="T134" s="36" t="s">
        <v>50</v>
      </c>
      <c r="U134" s="46">
        <f>IF($L134&lt;=2,
IF($R134&lt;=RpmDesignStandard!$C$2,RpmDesignStandard!$D$2,
IF(AND($R134&gt;RpmDesignStandard!$B$3,$R134&lt;=RpmDesignStandard!$C$3),RpmDesignStandard!$D$3,RpmDesignStandard!$D$4)),
IF($R134&lt;=RpmDesignStandard!$C$5, RpmDesignStandard!$D$5,
IF(AND($R134&gt;RpmDesignStandard!$B$6,$R134&lt;=RpmDesignStandard!$C$6),RpmDesignStandard!$D$6,
IF(AND($R134&gt;RpmDesignStandard!$B$7,$R134&lt;=RpmDesignStandard!$C$7),RpmDesignStandard!$D$7,RpmDesignStandard!$D$8))))</f>
        <v>3</v>
      </c>
      <c r="V134" s="47">
        <f>U134*RpmDesignStandard!$H$1</f>
        <v>6</v>
      </c>
      <c r="W134" s="37" t="str">
        <f>VLOOKUP(A134,RPM_ProjectRecord!A:AB,8,FALSE)</f>
        <v/>
      </c>
      <c r="X134" s="38" t="str">
        <f t="shared" si="20"/>
        <v/>
      </c>
      <c r="Y134" s="38" t="str">
        <f t="shared" si="21"/>
        <v/>
      </c>
      <c r="Z134" s="38" t="str">
        <f t="shared" si="22"/>
        <v/>
      </c>
      <c r="AA134" s="38" t="str">
        <f t="shared" si="23"/>
        <v/>
      </c>
      <c r="AB134" s="38" t="str">
        <f t="shared" si="24"/>
        <v/>
      </c>
      <c r="AC134" s="38" t="str">
        <f>IF(VLOOKUP(A134,'3rdPhaseChipSeal'!A:L,12,FALSE)="","",VLOOKUP(A134,'3rdPhaseChipSeal'!A:L,12,FALSE))</f>
        <v/>
      </c>
      <c r="AD134" s="38">
        <f>IFERROR(IF(VLOOKUP(A134,RpmContracts!A:C,3,FALSE)="","",VLOOKUP(A134,RpmContracts!A:C,3,FALSE)),"")</f>
        <v>2026</v>
      </c>
      <c r="AE134" s="7" t="str">
        <f>IF(VLOOKUP(A134,'20yPlan'!A:B,2,FALSE)="","",VLOOKUP(A134,'20yPlan'!A:B,2,FALSE))</f>
        <v/>
      </c>
      <c r="AF134" s="7" t="str">
        <f>IF(VLOOKUP(A134,'20yPlan'!A:C,3,FALSE)="","",VLOOKUP(A134,'20yPlan'!A:C,3,FALSE))</f>
        <v/>
      </c>
      <c r="AG134" s="7" t="str">
        <f>IF(VLOOKUP(A134,'20yPlan'!A:D,4,FALSE)="","",VLOOKUP(A134,'20yPlan'!A:D,4,FALSE))</f>
        <v/>
      </c>
      <c r="AH134" s="7" t="str">
        <f>IF(VLOOKUP(A134,'20yPlan'!A:E,5,FALSE)="","",VLOOKUP(A134,'20yPlan'!A:E,5,FALSE))</f>
        <v/>
      </c>
      <c r="AI134" s="7" t="str">
        <f>IF(VLOOKUP(A134,'20yPlan'!A:F,6,FALSE)="","",VLOOKUP(A134,'20yPlan'!A:F,6,FALSE))</f>
        <v/>
      </c>
      <c r="AJ134" s="7" t="str">
        <f t="shared" si="25"/>
        <v/>
      </c>
      <c r="AK134" s="7" t="str">
        <f t="shared" si="26"/>
        <v>2026 RPM Replacement</v>
      </c>
      <c r="AL134" s="39">
        <f t="shared" ca="1" si="27"/>
        <v>2025</v>
      </c>
      <c r="AM134" s="7">
        <f t="shared" si="28"/>
        <v>2026</v>
      </c>
      <c r="AN134" s="7" t="str">
        <f t="shared" si="29"/>
        <v>2026 RPM Replacement</v>
      </c>
    </row>
    <row r="135" spans="1:40">
      <c r="A135" s="6">
        <v>60138</v>
      </c>
      <c r="B135" s="6" t="s">
        <v>506</v>
      </c>
      <c r="C135" s="6" t="s">
        <v>521</v>
      </c>
      <c r="D135" s="6">
        <v>41.206896</v>
      </c>
      <c r="E135" s="6">
        <v>47.090767</v>
      </c>
      <c r="F135" s="6" t="s">
        <v>522</v>
      </c>
      <c r="G135" s="6" t="s">
        <v>523</v>
      </c>
      <c r="H135" s="35">
        <v>110756</v>
      </c>
      <c r="I135" s="6" t="s">
        <v>195</v>
      </c>
      <c r="J135" s="6">
        <v>14</v>
      </c>
      <c r="K135" s="6">
        <v>2028</v>
      </c>
      <c r="L135" s="6">
        <v>2</v>
      </c>
      <c r="M135" s="6" t="s">
        <v>45</v>
      </c>
      <c r="N135" s="6" t="s">
        <v>250</v>
      </c>
      <c r="O135" s="6" t="s">
        <v>196</v>
      </c>
      <c r="P135" s="6" t="s">
        <v>273</v>
      </c>
      <c r="Q135" s="6" t="s">
        <v>217</v>
      </c>
      <c r="R135" s="35">
        <v>3381</v>
      </c>
      <c r="S135" s="6">
        <v>424</v>
      </c>
      <c r="T135" s="36" t="s">
        <v>253</v>
      </c>
      <c r="U135" s="46">
        <f>IF($L135&lt;=2,
IF($R135&lt;=RpmDesignStandard!$C$2,RpmDesignStandard!$D$2,
IF(AND($R135&gt;RpmDesignStandard!$B$3,$R135&lt;=RpmDesignStandard!$C$3),RpmDesignStandard!$D$3,RpmDesignStandard!$D$4)),
IF($R135&lt;=RpmDesignStandard!$C$5, RpmDesignStandard!$D$5,
IF(AND($R135&gt;RpmDesignStandard!$B$6,$R135&lt;=RpmDesignStandard!$C$6),RpmDesignStandard!$D$6,
IF(AND($R135&gt;RpmDesignStandard!$B$7,$R135&lt;=RpmDesignStandard!$C$7),RpmDesignStandard!$D$7,RpmDesignStandard!$D$8))))</f>
        <v>4</v>
      </c>
      <c r="V135" s="47">
        <f>U135*RpmDesignStandard!$H$1</f>
        <v>8</v>
      </c>
      <c r="W135" s="37" t="str">
        <f>VLOOKUP(A135,RPM_ProjectRecord!A:AB,8,FALSE)</f>
        <v/>
      </c>
      <c r="X135" s="38" t="str">
        <f t="shared" si="20"/>
        <v/>
      </c>
      <c r="Y135" s="38" t="str">
        <f t="shared" si="21"/>
        <v/>
      </c>
      <c r="Z135" s="38" t="str">
        <f t="shared" si="22"/>
        <v/>
      </c>
      <c r="AA135" s="38" t="str">
        <f t="shared" si="23"/>
        <v/>
      </c>
      <c r="AB135" s="38" t="str">
        <f t="shared" si="24"/>
        <v/>
      </c>
      <c r="AC135" s="38">
        <f>IF(VLOOKUP(A135,'3rdPhaseChipSeal'!A:L,12,FALSE)="","",VLOOKUP(A135,'3rdPhaseChipSeal'!A:L,12,FALSE))</f>
        <v>2035</v>
      </c>
      <c r="AD135" s="38" t="str">
        <f>IFERROR(IF(VLOOKUP(A135,RpmContracts!A:C,3,FALSE)="","",VLOOKUP(A135,RpmContracts!A:C,3,FALSE)),"")</f>
        <v/>
      </c>
      <c r="AE135" s="7" t="str">
        <f>IF(VLOOKUP(A135,'20yPlan'!A:B,2,FALSE)="","",VLOOKUP(A135,'20yPlan'!A:B,2,FALSE))</f>
        <v/>
      </c>
      <c r="AF135" s="7" t="str">
        <f>IF(VLOOKUP(A135,'20yPlan'!A:C,3,FALSE)="","",VLOOKUP(A135,'20yPlan'!A:C,3,FALSE))</f>
        <v/>
      </c>
      <c r="AG135" s="7" t="str">
        <f>IF(VLOOKUP(A135,'20yPlan'!A:D,4,FALSE)="","",VLOOKUP(A135,'20yPlan'!A:D,4,FALSE))</f>
        <v/>
      </c>
      <c r="AH135" s="7" t="str">
        <f>IF(VLOOKUP(A135,'20yPlan'!A:E,5,FALSE)="","",VLOOKUP(A135,'20yPlan'!A:E,5,FALSE))</f>
        <v/>
      </c>
      <c r="AI135" s="7" t="str">
        <f>IF(VLOOKUP(A135,'20yPlan'!A:F,6,FALSE)="","",VLOOKUP(A135,'20yPlan'!A:F,6,FALSE))</f>
        <v/>
      </c>
      <c r="AJ135" s="7" t="str">
        <f t="shared" si="25"/>
        <v>2035 Chip Seal</v>
      </c>
      <c r="AK135" s="7" t="str">
        <f t="shared" si="26"/>
        <v/>
      </c>
      <c r="AL135" s="39">
        <f t="shared" ca="1" si="27"/>
        <v>2025</v>
      </c>
      <c r="AM135" s="7" t="str">
        <f t="shared" si="28"/>
        <v/>
      </c>
      <c r="AN135" s="7" t="str">
        <f t="shared" si="29"/>
        <v/>
      </c>
    </row>
    <row r="136" spans="1:40">
      <c r="A136" s="6">
        <v>60139</v>
      </c>
      <c r="B136" s="6" t="s">
        <v>506</v>
      </c>
      <c r="C136" s="6" t="s">
        <v>524</v>
      </c>
      <c r="D136" s="6">
        <v>47.090767</v>
      </c>
      <c r="E136" s="6">
        <v>58.834671</v>
      </c>
      <c r="F136" s="6" t="s">
        <v>523</v>
      </c>
      <c r="G136" s="6" t="s">
        <v>525</v>
      </c>
      <c r="H136" s="35">
        <v>208485</v>
      </c>
      <c r="I136" s="6" t="s">
        <v>195</v>
      </c>
      <c r="J136" s="6">
        <v>14</v>
      </c>
      <c r="K136" s="6">
        <v>2030</v>
      </c>
      <c r="L136" s="6">
        <v>2</v>
      </c>
      <c r="M136" s="6" t="s">
        <v>45</v>
      </c>
      <c r="N136" s="6" t="s">
        <v>250</v>
      </c>
      <c r="O136" s="6" t="s">
        <v>47</v>
      </c>
      <c r="P136" s="6" t="s">
        <v>526</v>
      </c>
      <c r="Q136" s="6" t="s">
        <v>527</v>
      </c>
      <c r="R136" s="35">
        <v>3549</v>
      </c>
      <c r="S136" s="6">
        <v>317</v>
      </c>
      <c r="T136" s="36" t="s">
        <v>253</v>
      </c>
      <c r="U136" s="46">
        <f>IF($L136&lt;=2,
IF($R136&lt;=RpmDesignStandard!$C$2,RpmDesignStandard!$D$2,
IF(AND($R136&gt;RpmDesignStandard!$B$3,$R136&lt;=RpmDesignStandard!$C$3),RpmDesignStandard!$D$3,RpmDesignStandard!$D$4)),
IF($R136&lt;=RpmDesignStandard!$C$5, RpmDesignStandard!$D$5,
IF(AND($R136&gt;RpmDesignStandard!$B$6,$R136&lt;=RpmDesignStandard!$C$6),RpmDesignStandard!$D$6,
IF(AND($R136&gt;RpmDesignStandard!$B$7,$R136&lt;=RpmDesignStandard!$C$7),RpmDesignStandard!$D$7,RpmDesignStandard!$D$8))))</f>
        <v>4</v>
      </c>
      <c r="V136" s="47">
        <f>U136*RpmDesignStandard!$H$1</f>
        <v>8</v>
      </c>
      <c r="W136" s="37">
        <f>VLOOKUP(A136,RPM_ProjectRecord!A:AB,8,FALSE)</f>
        <v>2025</v>
      </c>
      <c r="X136" s="38" t="str">
        <f t="shared" si="20"/>
        <v/>
      </c>
      <c r="Y136" s="38" t="str">
        <f t="shared" si="21"/>
        <v/>
      </c>
      <c r="Z136" s="38" t="str">
        <f t="shared" si="22"/>
        <v/>
      </c>
      <c r="AA136" s="38" t="str">
        <f t="shared" si="23"/>
        <v/>
      </c>
      <c r="AB136" s="38" t="str">
        <f t="shared" si="24"/>
        <v/>
      </c>
      <c r="AC136" s="38">
        <f>IF(VLOOKUP(A136,'3rdPhaseChipSeal'!A:L,12,FALSE)="","",VLOOKUP(A136,'3rdPhaseChipSeal'!A:L,12,FALSE))</f>
        <v>2037</v>
      </c>
      <c r="AD136" s="38" t="str">
        <f>IFERROR(IF(VLOOKUP(A136,RpmContracts!A:C,3,FALSE)="","",VLOOKUP(A136,RpmContracts!A:C,3,FALSE)),"")</f>
        <v/>
      </c>
      <c r="AE136" s="7" t="str">
        <f>IF(VLOOKUP(A136,'20yPlan'!A:B,2,FALSE)="","",VLOOKUP(A136,'20yPlan'!A:B,2,FALSE))</f>
        <v/>
      </c>
      <c r="AF136" s="7" t="str">
        <f>IF(VLOOKUP(A136,'20yPlan'!A:C,3,FALSE)="","",VLOOKUP(A136,'20yPlan'!A:C,3,FALSE))</f>
        <v/>
      </c>
      <c r="AG136" s="7" t="str">
        <f>IF(VLOOKUP(A136,'20yPlan'!A:D,4,FALSE)="","",VLOOKUP(A136,'20yPlan'!A:D,4,FALSE))</f>
        <v/>
      </c>
      <c r="AH136" s="7" t="str">
        <f>IF(VLOOKUP(A136,'20yPlan'!A:E,5,FALSE)="","",VLOOKUP(A136,'20yPlan'!A:E,5,FALSE))</f>
        <v/>
      </c>
      <c r="AI136" s="7" t="str">
        <f>IF(VLOOKUP(A136,'20yPlan'!A:F,6,FALSE)="","",VLOOKUP(A136,'20yPlan'!A:F,6,FALSE))</f>
        <v/>
      </c>
      <c r="AJ136" s="7" t="str">
        <f t="shared" si="25"/>
        <v>2037 Chip Seal</v>
      </c>
      <c r="AK136" s="7" t="str">
        <f t="shared" si="26"/>
        <v/>
      </c>
      <c r="AL136" s="39">
        <f t="shared" ca="1" si="27"/>
        <v>2029</v>
      </c>
      <c r="AM136" s="7" t="str">
        <f t="shared" si="28"/>
        <v/>
      </c>
      <c r="AN136" s="7" t="str">
        <f t="shared" si="29"/>
        <v/>
      </c>
    </row>
    <row r="137" spans="1:40">
      <c r="A137" s="6">
        <v>60140</v>
      </c>
      <c r="B137" s="6" t="s">
        <v>506</v>
      </c>
      <c r="C137" s="6" t="s">
        <v>528</v>
      </c>
      <c r="D137" s="6">
        <v>58.834671</v>
      </c>
      <c r="E137" s="6">
        <v>61.479588</v>
      </c>
      <c r="F137" s="6" t="s">
        <v>525</v>
      </c>
      <c r="G137" s="6" t="s">
        <v>529</v>
      </c>
      <c r="H137" s="35">
        <v>58898</v>
      </c>
      <c r="I137" s="6" t="s">
        <v>44</v>
      </c>
      <c r="J137" s="6">
        <v>8</v>
      </c>
      <c r="K137" s="6">
        <v>2025</v>
      </c>
      <c r="L137" s="6">
        <v>2</v>
      </c>
      <c r="M137" s="6" t="s">
        <v>45</v>
      </c>
      <c r="N137" s="6" t="s">
        <v>250</v>
      </c>
      <c r="O137" s="6" t="s">
        <v>196</v>
      </c>
      <c r="P137" s="6" t="s">
        <v>273</v>
      </c>
      <c r="Q137" s="6" t="s">
        <v>256</v>
      </c>
      <c r="R137" s="35">
        <v>7825</v>
      </c>
      <c r="S137" s="6">
        <v>666</v>
      </c>
      <c r="T137" s="36" t="s">
        <v>50</v>
      </c>
      <c r="U137" s="46">
        <f>IF($L137&lt;=2,
IF($R137&lt;=RpmDesignStandard!$C$2,RpmDesignStandard!$D$2,
IF(AND($R137&gt;RpmDesignStandard!$B$3,$R137&lt;=RpmDesignStandard!$C$3),RpmDesignStandard!$D$3,RpmDesignStandard!$D$4)),
IF($R137&lt;=RpmDesignStandard!$C$5, RpmDesignStandard!$D$5,
IF(AND($R137&gt;RpmDesignStandard!$B$6,$R137&lt;=RpmDesignStandard!$C$6),RpmDesignStandard!$D$6,
IF(AND($R137&gt;RpmDesignStandard!$B$7,$R137&lt;=RpmDesignStandard!$C$7),RpmDesignStandard!$D$7,RpmDesignStandard!$D$8))))</f>
        <v>3</v>
      </c>
      <c r="V137" s="47">
        <f>U137*RpmDesignStandard!$H$1</f>
        <v>6</v>
      </c>
      <c r="W137" s="37" t="str">
        <f>VLOOKUP(A137,RPM_ProjectRecord!A:AB,8,FALSE)</f>
        <v/>
      </c>
      <c r="X137" s="38" t="str">
        <f t="shared" si="20"/>
        <v/>
      </c>
      <c r="Y137" s="38" t="str">
        <f t="shared" si="21"/>
        <v/>
      </c>
      <c r="Z137" s="38" t="str">
        <f t="shared" si="22"/>
        <v/>
      </c>
      <c r="AA137" s="38" t="str">
        <f t="shared" si="23"/>
        <v/>
      </c>
      <c r="AB137" s="38" t="str">
        <f t="shared" si="24"/>
        <v/>
      </c>
      <c r="AC137" s="38" t="str">
        <f>IF(VLOOKUP(A137,'3rdPhaseChipSeal'!A:L,12,FALSE)="","",VLOOKUP(A137,'3rdPhaseChipSeal'!A:L,12,FALSE))</f>
        <v/>
      </c>
      <c r="AD137" s="38" t="str">
        <f>IFERROR(IF(VLOOKUP(A137,RpmContracts!A:C,3,FALSE)="","",VLOOKUP(A137,RpmContracts!A:C,3,FALSE)),"")</f>
        <v/>
      </c>
      <c r="AE137" s="7" t="str">
        <f>IF(VLOOKUP(A137,'20yPlan'!A:B,2,FALSE)="","",VLOOKUP(A137,'20yPlan'!A:B,2,FALSE))</f>
        <v/>
      </c>
      <c r="AF137" s="7" t="str">
        <f>IF(VLOOKUP(A137,'20yPlan'!A:C,3,FALSE)="","",VLOOKUP(A137,'20yPlan'!A:C,3,FALSE))</f>
        <v/>
      </c>
      <c r="AG137" s="7" t="str">
        <f>IF(VLOOKUP(A137,'20yPlan'!A:D,4,FALSE)="","",VLOOKUP(A137,'20yPlan'!A:D,4,FALSE))</f>
        <v/>
      </c>
      <c r="AH137" s="7" t="str">
        <f>IF(VLOOKUP(A137,'20yPlan'!A:E,5,FALSE)="","",VLOOKUP(A137,'20yPlan'!A:E,5,FALSE))</f>
        <v/>
      </c>
      <c r="AI137" s="7" t="str">
        <f>IF(VLOOKUP(A137,'20yPlan'!A:F,6,FALSE)="","",VLOOKUP(A137,'20yPlan'!A:F,6,FALSE))</f>
        <v/>
      </c>
      <c r="AJ137" s="7" t="str">
        <f t="shared" si="25"/>
        <v/>
      </c>
      <c r="AK137" s="7" t="str">
        <f t="shared" si="26"/>
        <v/>
      </c>
      <c r="AL137" s="39">
        <f t="shared" ca="1" si="27"/>
        <v>2025</v>
      </c>
      <c r="AM137" s="7" t="str">
        <f t="shared" si="28"/>
        <v/>
      </c>
      <c r="AN137" s="7" t="str">
        <f t="shared" si="29"/>
        <v/>
      </c>
    </row>
    <row r="138" spans="1:40">
      <c r="A138" s="6">
        <v>60141</v>
      </c>
      <c r="B138" s="6" t="s">
        <v>506</v>
      </c>
      <c r="C138" s="6" t="s">
        <v>530</v>
      </c>
      <c r="D138" s="6">
        <v>62.720402999999997</v>
      </c>
      <c r="E138" s="6">
        <v>71.558456000000007</v>
      </c>
      <c r="F138" s="6" t="s">
        <v>531</v>
      </c>
      <c r="G138" s="6" t="s">
        <v>532</v>
      </c>
      <c r="H138" s="35">
        <v>164551</v>
      </c>
      <c r="I138" s="6" t="s">
        <v>195</v>
      </c>
      <c r="J138" s="6">
        <v>18</v>
      </c>
      <c r="K138" s="6">
        <v>2028</v>
      </c>
      <c r="L138" s="6">
        <v>2</v>
      </c>
      <c r="M138" s="6" t="s">
        <v>45</v>
      </c>
      <c r="N138" s="6" t="s">
        <v>250</v>
      </c>
      <c r="O138" s="6" t="s">
        <v>196</v>
      </c>
      <c r="P138" s="6" t="s">
        <v>251</v>
      </c>
      <c r="Q138" s="6" t="s">
        <v>260</v>
      </c>
      <c r="R138" s="35">
        <v>1735</v>
      </c>
      <c r="S138" s="6">
        <v>253</v>
      </c>
      <c r="T138" s="36" t="s">
        <v>253</v>
      </c>
      <c r="U138" s="46">
        <f>IF($L138&lt;=2,
IF($R138&lt;=RpmDesignStandard!$C$2,RpmDesignStandard!$D$2,
IF(AND($R138&gt;RpmDesignStandard!$B$3,$R138&lt;=RpmDesignStandard!$C$3),RpmDesignStandard!$D$3,RpmDesignStandard!$D$4)),
IF($R138&lt;=RpmDesignStandard!$C$5, RpmDesignStandard!$D$5,
IF(AND($R138&gt;RpmDesignStandard!$B$6,$R138&lt;=RpmDesignStandard!$C$6),RpmDesignStandard!$D$6,
IF(AND($R138&gt;RpmDesignStandard!$B$7,$R138&lt;=RpmDesignStandard!$C$7),RpmDesignStandard!$D$7,RpmDesignStandard!$D$8))))</f>
        <v>4</v>
      </c>
      <c r="V138" s="47">
        <f>U138*RpmDesignStandard!$H$1</f>
        <v>8</v>
      </c>
      <c r="W138" s="37">
        <f>VLOOKUP(A138,RPM_ProjectRecord!A:AB,8,FALSE)</f>
        <v>2022</v>
      </c>
      <c r="X138" s="38" t="str">
        <f t="shared" si="20"/>
        <v/>
      </c>
      <c r="Y138" s="38" t="str">
        <f t="shared" si="21"/>
        <v/>
      </c>
      <c r="Z138" s="38" t="str">
        <f t="shared" si="22"/>
        <v/>
      </c>
      <c r="AA138" s="38" t="str">
        <f t="shared" si="23"/>
        <v/>
      </c>
      <c r="AB138" s="38" t="str">
        <f t="shared" si="24"/>
        <v/>
      </c>
      <c r="AC138" s="38">
        <f>IF(VLOOKUP(A138,'3rdPhaseChipSeal'!A:L,12,FALSE)="","",VLOOKUP(A138,'3rdPhaseChipSeal'!A:L,12,FALSE))</f>
        <v>2028</v>
      </c>
      <c r="AD138" s="38" t="str">
        <f>IFERROR(IF(VLOOKUP(A138,RpmContracts!A:C,3,FALSE)="","",VLOOKUP(A138,RpmContracts!A:C,3,FALSE)),"")</f>
        <v/>
      </c>
      <c r="AE138" s="7" t="str">
        <f>IF(VLOOKUP(A138,'20yPlan'!A:B,2,FALSE)="","",VLOOKUP(A138,'20yPlan'!A:B,2,FALSE))</f>
        <v/>
      </c>
      <c r="AF138" s="7" t="str">
        <f>IF(VLOOKUP(A138,'20yPlan'!A:C,3,FALSE)="","",VLOOKUP(A138,'20yPlan'!A:C,3,FALSE))</f>
        <v/>
      </c>
      <c r="AG138" s="7" t="str">
        <f>IF(VLOOKUP(A138,'20yPlan'!A:D,4,FALSE)="","",VLOOKUP(A138,'20yPlan'!A:D,4,FALSE))</f>
        <v/>
      </c>
      <c r="AH138" s="7" t="str">
        <f>IF(VLOOKUP(A138,'20yPlan'!A:E,5,FALSE)="","",VLOOKUP(A138,'20yPlan'!A:E,5,FALSE))</f>
        <v/>
      </c>
      <c r="AI138" s="7" t="str">
        <f>IF(VLOOKUP(A138,'20yPlan'!A:F,6,FALSE)="","",VLOOKUP(A138,'20yPlan'!A:F,6,FALSE))</f>
        <v/>
      </c>
      <c r="AJ138" s="7" t="str">
        <f t="shared" si="25"/>
        <v>2028 Chip Seal</v>
      </c>
      <c r="AK138" s="7" t="str">
        <f t="shared" si="26"/>
        <v/>
      </c>
      <c r="AL138" s="39">
        <f t="shared" ca="1" si="27"/>
        <v>2026</v>
      </c>
      <c r="AM138" s="7">
        <f t="shared" si="28"/>
        <v>2028</v>
      </c>
      <c r="AN138" s="7" t="str">
        <f t="shared" si="29"/>
        <v>2028 Chip Seal</v>
      </c>
    </row>
    <row r="139" spans="1:40">
      <c r="A139" s="6">
        <v>60142</v>
      </c>
      <c r="B139" s="6" t="s">
        <v>533</v>
      </c>
      <c r="C139" s="6" t="s">
        <v>534</v>
      </c>
      <c r="D139" s="6">
        <v>0</v>
      </c>
      <c r="E139" s="6">
        <v>1.3160559999999999</v>
      </c>
      <c r="F139" s="6" t="s">
        <v>53</v>
      </c>
      <c r="G139" s="6" t="s">
        <v>535</v>
      </c>
      <c r="H139" s="35">
        <v>37207</v>
      </c>
      <c r="I139" s="6" t="s">
        <v>141</v>
      </c>
      <c r="J139" s="6">
        <v>11</v>
      </c>
      <c r="K139" s="6"/>
      <c r="L139" s="6">
        <v>2</v>
      </c>
      <c r="M139" s="6" t="s">
        <v>111</v>
      </c>
      <c r="N139" s="6" t="s">
        <v>46</v>
      </c>
      <c r="O139" s="6" t="s">
        <v>61</v>
      </c>
      <c r="P139" s="6" t="s">
        <v>66</v>
      </c>
      <c r="Q139" s="6" t="s">
        <v>107</v>
      </c>
      <c r="R139" s="35">
        <v>10896</v>
      </c>
      <c r="S139" s="6">
        <v>912</v>
      </c>
      <c r="T139" s="36" t="s">
        <v>50</v>
      </c>
      <c r="U139" s="46">
        <f>IF($L139&lt;=2,
IF($R139&lt;=RpmDesignStandard!$C$2,RpmDesignStandard!$D$2,
IF(AND($R139&gt;RpmDesignStandard!$B$3,$R139&lt;=RpmDesignStandard!$C$3),RpmDesignStandard!$D$3,RpmDesignStandard!$D$4)),
IF($R139&lt;=RpmDesignStandard!$C$5, RpmDesignStandard!$D$5,
IF(AND($R139&gt;RpmDesignStandard!$B$6,$R139&lt;=RpmDesignStandard!$C$6),RpmDesignStandard!$D$6,
IF(AND($R139&gt;RpmDesignStandard!$B$7,$R139&lt;=RpmDesignStandard!$C$7),RpmDesignStandard!$D$7,RpmDesignStandard!$D$8))))</f>
        <v>3</v>
      </c>
      <c r="V139" s="47">
        <f>U139*RpmDesignStandard!$H$1</f>
        <v>6</v>
      </c>
      <c r="W139" s="37" t="str">
        <f>VLOOKUP(A139,RPM_ProjectRecord!A:AB,8,FALSE)</f>
        <v/>
      </c>
      <c r="X139" s="38" t="str">
        <f t="shared" si="20"/>
        <v/>
      </c>
      <c r="Y139" s="38" t="str">
        <f t="shared" si="21"/>
        <v/>
      </c>
      <c r="Z139" s="38" t="str">
        <f t="shared" si="22"/>
        <v/>
      </c>
      <c r="AA139" s="38" t="str">
        <f t="shared" si="23"/>
        <v/>
      </c>
      <c r="AB139" s="38" t="str">
        <f t="shared" si="24"/>
        <v/>
      </c>
      <c r="AC139" s="38" t="str">
        <f>IF(VLOOKUP(A139,'3rdPhaseChipSeal'!A:L,12,FALSE)="","",VLOOKUP(A139,'3rdPhaseChipSeal'!A:L,12,FALSE))</f>
        <v/>
      </c>
      <c r="AD139" s="38" t="str">
        <f>IFERROR(IF(VLOOKUP(A139,RpmContracts!A:C,3,FALSE)="","",VLOOKUP(A139,RpmContracts!A:C,3,FALSE)),"")</f>
        <v/>
      </c>
      <c r="AE139" s="7" t="str">
        <f>IF(VLOOKUP(A139,'20yPlan'!A:B,2,FALSE)="","",VLOOKUP(A139,'20yPlan'!A:B,2,FALSE))</f>
        <v/>
      </c>
      <c r="AF139" s="7" t="str">
        <f>IF(VLOOKUP(A139,'20yPlan'!A:C,3,FALSE)="","",VLOOKUP(A139,'20yPlan'!A:C,3,FALSE))</f>
        <v/>
      </c>
      <c r="AG139" s="7" t="str">
        <f>IF(VLOOKUP(A139,'20yPlan'!A:D,4,FALSE)="","",VLOOKUP(A139,'20yPlan'!A:D,4,FALSE))</f>
        <v/>
      </c>
      <c r="AH139" s="7" t="str">
        <f>IF(VLOOKUP(A139,'20yPlan'!A:E,5,FALSE)="","",VLOOKUP(A139,'20yPlan'!A:E,5,FALSE))</f>
        <v/>
      </c>
      <c r="AI139" s="7" t="str">
        <f>IF(VLOOKUP(A139,'20yPlan'!A:F,6,FALSE)="","",VLOOKUP(A139,'20yPlan'!A:F,6,FALSE))</f>
        <v/>
      </c>
      <c r="AJ139" s="7" t="str">
        <f t="shared" si="25"/>
        <v/>
      </c>
      <c r="AK139" s="7" t="str">
        <f t="shared" si="26"/>
        <v/>
      </c>
      <c r="AL139" s="39">
        <f t="shared" ca="1" si="27"/>
        <v>2025</v>
      </c>
      <c r="AM139" s="7" t="str">
        <f t="shared" si="28"/>
        <v/>
      </c>
      <c r="AN139" s="7" t="str">
        <f t="shared" si="29"/>
        <v/>
      </c>
    </row>
    <row r="140" spans="1:40">
      <c r="A140" s="6">
        <v>60143</v>
      </c>
      <c r="B140" s="6" t="s">
        <v>533</v>
      </c>
      <c r="C140" s="6" t="s">
        <v>536</v>
      </c>
      <c r="D140" s="6">
        <v>1.3160559999999999</v>
      </c>
      <c r="E140" s="6">
        <v>7.7505309999999996</v>
      </c>
      <c r="F140" s="6" t="s">
        <v>535</v>
      </c>
      <c r="G140" s="6" t="s">
        <v>537</v>
      </c>
      <c r="H140" s="35">
        <v>138609</v>
      </c>
      <c r="I140" s="6" t="s">
        <v>44</v>
      </c>
      <c r="J140" s="6">
        <v>11</v>
      </c>
      <c r="K140" s="6">
        <v>2025</v>
      </c>
      <c r="L140" s="6">
        <v>2</v>
      </c>
      <c r="M140" s="6" t="s">
        <v>45</v>
      </c>
      <c r="N140" s="6" t="s">
        <v>46</v>
      </c>
      <c r="O140" s="6" t="s">
        <v>61</v>
      </c>
      <c r="P140" s="6" t="s">
        <v>70</v>
      </c>
      <c r="Q140" s="6" t="s">
        <v>107</v>
      </c>
      <c r="R140" s="35">
        <v>5462</v>
      </c>
      <c r="S140" s="6">
        <v>732</v>
      </c>
      <c r="T140" s="36" t="s">
        <v>50</v>
      </c>
      <c r="U140" s="46">
        <f>IF($L140&lt;=2,
IF($R140&lt;=RpmDesignStandard!$C$2,RpmDesignStandard!$D$2,
IF(AND($R140&gt;RpmDesignStandard!$B$3,$R140&lt;=RpmDesignStandard!$C$3),RpmDesignStandard!$D$3,RpmDesignStandard!$D$4)),
IF($R140&lt;=RpmDesignStandard!$C$5, RpmDesignStandard!$D$5,
IF(AND($R140&gt;RpmDesignStandard!$B$6,$R140&lt;=RpmDesignStandard!$C$6),RpmDesignStandard!$D$6,
IF(AND($R140&gt;RpmDesignStandard!$B$7,$R140&lt;=RpmDesignStandard!$C$7),RpmDesignStandard!$D$7,RpmDesignStandard!$D$8))))</f>
        <v>4</v>
      </c>
      <c r="V140" s="47">
        <f>U140*RpmDesignStandard!$H$1</f>
        <v>8</v>
      </c>
      <c r="W140" s="37" t="str">
        <f>VLOOKUP(A140,RPM_ProjectRecord!A:AB,8,FALSE)</f>
        <v/>
      </c>
      <c r="X140" s="38" t="str">
        <f t="shared" si="20"/>
        <v/>
      </c>
      <c r="Y140" s="38" t="str">
        <f t="shared" si="21"/>
        <v/>
      </c>
      <c r="Z140" s="38" t="str">
        <f t="shared" si="22"/>
        <v/>
      </c>
      <c r="AA140" s="38" t="str">
        <f t="shared" si="23"/>
        <v/>
      </c>
      <c r="AB140" s="38" t="str">
        <f t="shared" si="24"/>
        <v/>
      </c>
      <c r="AC140" s="38" t="str">
        <f>IF(VLOOKUP(A140,'3rdPhaseChipSeal'!A:L,12,FALSE)="","",VLOOKUP(A140,'3rdPhaseChipSeal'!A:L,12,FALSE))</f>
        <v/>
      </c>
      <c r="AD140" s="38" t="str">
        <f>IFERROR(IF(VLOOKUP(A140,RpmContracts!A:C,3,FALSE)="","",VLOOKUP(A140,RpmContracts!A:C,3,FALSE)),"")</f>
        <v/>
      </c>
      <c r="AE140" s="7" t="str">
        <f>IF(VLOOKUP(A140,'20yPlan'!A:B,2,FALSE)="","",VLOOKUP(A140,'20yPlan'!A:B,2,FALSE))</f>
        <v/>
      </c>
      <c r="AF140" s="7" t="str">
        <f>IF(VLOOKUP(A140,'20yPlan'!A:C,3,FALSE)="","",VLOOKUP(A140,'20yPlan'!A:C,3,FALSE))</f>
        <v/>
      </c>
      <c r="AG140" s="7" t="str">
        <f>IF(VLOOKUP(A140,'20yPlan'!A:D,4,FALSE)="","",VLOOKUP(A140,'20yPlan'!A:D,4,FALSE))</f>
        <v/>
      </c>
      <c r="AH140" s="7" t="str">
        <f>IF(VLOOKUP(A140,'20yPlan'!A:E,5,FALSE)="","",VLOOKUP(A140,'20yPlan'!A:E,5,FALSE))</f>
        <v/>
      </c>
      <c r="AI140" s="7" t="str">
        <f>IF(VLOOKUP(A140,'20yPlan'!A:F,6,FALSE)="","",VLOOKUP(A140,'20yPlan'!A:F,6,FALSE))</f>
        <v/>
      </c>
      <c r="AJ140" s="7" t="str">
        <f t="shared" si="25"/>
        <v/>
      </c>
      <c r="AK140" s="7" t="str">
        <f t="shared" si="26"/>
        <v/>
      </c>
      <c r="AL140" s="39">
        <f t="shared" ca="1" si="27"/>
        <v>2025</v>
      </c>
      <c r="AM140" s="7" t="str">
        <f t="shared" si="28"/>
        <v/>
      </c>
      <c r="AN140" s="7" t="str">
        <f t="shared" si="29"/>
        <v/>
      </c>
    </row>
    <row r="141" spans="1:40">
      <c r="A141" s="6">
        <v>60144</v>
      </c>
      <c r="B141" s="6" t="s">
        <v>533</v>
      </c>
      <c r="C141" s="6" t="s">
        <v>538</v>
      </c>
      <c r="D141" s="6">
        <v>8.5561959999999999</v>
      </c>
      <c r="E141" s="6">
        <v>19.897717</v>
      </c>
      <c r="F141" s="6" t="s">
        <v>539</v>
      </c>
      <c r="G141" s="6" t="s">
        <v>540</v>
      </c>
      <c r="H141" s="35">
        <v>236659</v>
      </c>
      <c r="I141" s="6" t="s">
        <v>195</v>
      </c>
      <c r="J141" s="6">
        <v>16</v>
      </c>
      <c r="K141" s="6">
        <v>2025</v>
      </c>
      <c r="L141" s="6">
        <v>2</v>
      </c>
      <c r="M141" s="6" t="s">
        <v>45</v>
      </c>
      <c r="N141" s="6" t="s">
        <v>250</v>
      </c>
      <c r="O141" s="6" t="s">
        <v>56</v>
      </c>
      <c r="P141" s="6" t="s">
        <v>115</v>
      </c>
      <c r="Q141" s="6" t="s">
        <v>541</v>
      </c>
      <c r="R141" s="35">
        <v>1443</v>
      </c>
      <c r="S141" s="6">
        <v>314</v>
      </c>
      <c r="T141" s="36" t="s">
        <v>50</v>
      </c>
      <c r="U141" s="46">
        <f>IF($L141&lt;=2,
IF($R141&lt;=RpmDesignStandard!$C$2,RpmDesignStandard!$D$2,
IF(AND($R141&gt;RpmDesignStandard!$B$3,$R141&lt;=RpmDesignStandard!$C$3),RpmDesignStandard!$D$3,RpmDesignStandard!$D$4)),
IF($R141&lt;=RpmDesignStandard!$C$5, RpmDesignStandard!$D$5,
IF(AND($R141&gt;RpmDesignStandard!$B$6,$R141&lt;=RpmDesignStandard!$C$6),RpmDesignStandard!$D$6,
IF(AND($R141&gt;RpmDesignStandard!$B$7,$R141&lt;=RpmDesignStandard!$C$7),RpmDesignStandard!$D$7,RpmDesignStandard!$D$8))))</f>
        <v>4</v>
      </c>
      <c r="V141" s="47">
        <f>U141*RpmDesignStandard!$H$1</f>
        <v>8</v>
      </c>
      <c r="W141" s="37" t="str">
        <f>VLOOKUP(A141,RPM_ProjectRecord!A:AB,8,FALSE)</f>
        <v/>
      </c>
      <c r="X141" s="38" t="str">
        <f t="shared" si="20"/>
        <v/>
      </c>
      <c r="Y141" s="38" t="str">
        <f t="shared" si="21"/>
        <v/>
      </c>
      <c r="Z141" s="38" t="str">
        <f t="shared" si="22"/>
        <v/>
      </c>
      <c r="AA141" s="38" t="str">
        <f t="shared" si="23"/>
        <v/>
      </c>
      <c r="AB141" s="38" t="str">
        <f t="shared" si="24"/>
        <v/>
      </c>
      <c r="AC141" s="38">
        <f>IF(VLOOKUP(A141,'3rdPhaseChipSeal'!A:L,12,FALSE)="","",VLOOKUP(A141,'3rdPhaseChipSeal'!A:L,12,FALSE))</f>
        <v>2038</v>
      </c>
      <c r="AD141" s="38" t="str">
        <f>IFERROR(IF(VLOOKUP(A141,RpmContracts!A:C,3,FALSE)="","",VLOOKUP(A141,RpmContracts!A:C,3,FALSE)),"")</f>
        <v/>
      </c>
      <c r="AE141" s="7" t="str">
        <f>IF(VLOOKUP(A141,'20yPlan'!A:B,2,FALSE)="","",VLOOKUP(A141,'20yPlan'!A:B,2,FALSE))</f>
        <v/>
      </c>
      <c r="AF141" s="7" t="str">
        <f>IF(VLOOKUP(A141,'20yPlan'!A:C,3,FALSE)="","",VLOOKUP(A141,'20yPlan'!A:C,3,FALSE))</f>
        <v/>
      </c>
      <c r="AG141" s="7" t="str">
        <f>IF(VLOOKUP(A141,'20yPlan'!A:D,4,FALSE)="","",VLOOKUP(A141,'20yPlan'!A:D,4,FALSE))</f>
        <v/>
      </c>
      <c r="AH141" s="7" t="str">
        <f>IF(VLOOKUP(A141,'20yPlan'!A:E,5,FALSE)="","",VLOOKUP(A141,'20yPlan'!A:E,5,FALSE))</f>
        <v/>
      </c>
      <c r="AI141" s="7" t="str">
        <f>IF(VLOOKUP(A141,'20yPlan'!A:F,6,FALSE)="","",VLOOKUP(A141,'20yPlan'!A:F,6,FALSE))</f>
        <v/>
      </c>
      <c r="AJ141" s="7" t="str">
        <f t="shared" si="25"/>
        <v>2038 Chip Seal</v>
      </c>
      <c r="AK141" s="7" t="str">
        <f t="shared" si="26"/>
        <v/>
      </c>
      <c r="AL141" s="39">
        <f t="shared" ca="1" si="27"/>
        <v>2025</v>
      </c>
      <c r="AM141" s="7" t="str">
        <f t="shared" si="28"/>
        <v/>
      </c>
      <c r="AN141" s="7" t="str">
        <f t="shared" si="29"/>
        <v/>
      </c>
    </row>
    <row r="142" spans="1:40">
      <c r="A142" s="6">
        <v>60146</v>
      </c>
      <c r="B142" s="6" t="s">
        <v>533</v>
      </c>
      <c r="C142" s="6" t="s">
        <v>542</v>
      </c>
      <c r="D142" s="6">
        <v>19.897717</v>
      </c>
      <c r="E142" s="6">
        <v>32.165137999999999</v>
      </c>
      <c r="F142" s="6" t="s">
        <v>540</v>
      </c>
      <c r="G142" s="6" t="s">
        <v>543</v>
      </c>
      <c r="H142" s="35">
        <v>234071</v>
      </c>
      <c r="I142" s="6" t="s">
        <v>195</v>
      </c>
      <c r="J142" s="6">
        <v>5</v>
      </c>
      <c r="K142" s="6">
        <v>2027</v>
      </c>
      <c r="L142" s="6">
        <v>2</v>
      </c>
      <c r="M142" s="6" t="s">
        <v>45</v>
      </c>
      <c r="N142" s="6" t="s">
        <v>250</v>
      </c>
      <c r="O142" s="6" t="s">
        <v>121</v>
      </c>
      <c r="P142" s="6" t="s">
        <v>122</v>
      </c>
      <c r="Q142" s="6" t="s">
        <v>510</v>
      </c>
      <c r="R142" s="35">
        <v>2185</v>
      </c>
      <c r="S142" s="6">
        <v>481</v>
      </c>
      <c r="T142" s="36" t="s">
        <v>50</v>
      </c>
      <c r="U142" s="46">
        <f>IF($L142&lt;=2,
IF($R142&lt;=RpmDesignStandard!$C$2,RpmDesignStandard!$D$2,
IF(AND($R142&gt;RpmDesignStandard!$B$3,$R142&lt;=RpmDesignStandard!$C$3),RpmDesignStandard!$D$3,RpmDesignStandard!$D$4)),
IF($R142&lt;=RpmDesignStandard!$C$5, RpmDesignStandard!$D$5,
IF(AND($R142&gt;RpmDesignStandard!$B$6,$R142&lt;=RpmDesignStandard!$C$6),RpmDesignStandard!$D$6,
IF(AND($R142&gt;RpmDesignStandard!$B$7,$R142&lt;=RpmDesignStandard!$C$7),RpmDesignStandard!$D$7,RpmDesignStandard!$D$8))))</f>
        <v>4</v>
      </c>
      <c r="V142" s="47">
        <f>U142*RpmDesignStandard!$H$1</f>
        <v>8</v>
      </c>
      <c r="W142" s="37" t="str">
        <f>VLOOKUP(A142,RPM_ProjectRecord!A:AB,8,FALSE)</f>
        <v/>
      </c>
      <c r="X142" s="38" t="str">
        <f t="shared" si="20"/>
        <v/>
      </c>
      <c r="Y142" s="38" t="str">
        <f t="shared" si="21"/>
        <v/>
      </c>
      <c r="Z142" s="38" t="str">
        <f t="shared" si="22"/>
        <v/>
      </c>
      <c r="AA142" s="38" t="str">
        <f t="shared" si="23"/>
        <v/>
      </c>
      <c r="AB142" s="38" t="str">
        <f t="shared" si="24"/>
        <v/>
      </c>
      <c r="AC142" s="38">
        <f>IF(VLOOKUP(A142,'3rdPhaseChipSeal'!A:L,12,FALSE)="","",VLOOKUP(A142,'3rdPhaseChipSeal'!A:L,12,FALSE))</f>
        <v>2041</v>
      </c>
      <c r="AD142" s="38" t="str">
        <f>IFERROR(IF(VLOOKUP(A142,RpmContracts!A:C,3,FALSE)="","",VLOOKUP(A142,RpmContracts!A:C,3,FALSE)),"")</f>
        <v/>
      </c>
      <c r="AE142" s="7" t="str">
        <f>IF(VLOOKUP(A142,'20yPlan'!A:B,2,FALSE)="","",VLOOKUP(A142,'20yPlan'!A:B,2,FALSE))</f>
        <v/>
      </c>
      <c r="AF142" s="7" t="str">
        <f>IF(VLOOKUP(A142,'20yPlan'!A:C,3,FALSE)="","",VLOOKUP(A142,'20yPlan'!A:C,3,FALSE))</f>
        <v/>
      </c>
      <c r="AG142" s="7" t="str">
        <f>IF(VLOOKUP(A142,'20yPlan'!A:D,4,FALSE)="","",VLOOKUP(A142,'20yPlan'!A:D,4,FALSE))</f>
        <v/>
      </c>
      <c r="AH142" s="7" t="str">
        <f>IF(VLOOKUP(A142,'20yPlan'!A:E,5,FALSE)="","",VLOOKUP(A142,'20yPlan'!A:E,5,FALSE))</f>
        <v/>
      </c>
      <c r="AI142" s="7" t="str">
        <f>IF(VLOOKUP(A142,'20yPlan'!A:F,6,FALSE)="","",VLOOKUP(A142,'20yPlan'!A:F,6,FALSE))</f>
        <v/>
      </c>
      <c r="AJ142" s="7" t="str">
        <f t="shared" si="25"/>
        <v>2041 Chip Seal</v>
      </c>
      <c r="AK142" s="7" t="str">
        <f t="shared" si="26"/>
        <v/>
      </c>
      <c r="AL142" s="39">
        <f t="shared" ca="1" si="27"/>
        <v>2025</v>
      </c>
      <c r="AM142" s="7" t="str">
        <f t="shared" si="28"/>
        <v/>
      </c>
      <c r="AN142" s="7" t="str">
        <f t="shared" si="29"/>
        <v/>
      </c>
    </row>
    <row r="143" spans="1:40">
      <c r="A143" s="6">
        <v>60147</v>
      </c>
      <c r="B143" s="6" t="s">
        <v>533</v>
      </c>
      <c r="C143" s="6" t="s">
        <v>544</v>
      </c>
      <c r="D143" s="6">
        <v>33.924619999999997</v>
      </c>
      <c r="E143" s="6">
        <v>46.091197000000001</v>
      </c>
      <c r="F143" s="6" t="s">
        <v>545</v>
      </c>
      <c r="G143" s="6" t="s">
        <v>546</v>
      </c>
      <c r="H143" s="35">
        <v>279706</v>
      </c>
      <c r="I143" s="6" t="s">
        <v>195</v>
      </c>
      <c r="J143" s="6">
        <v>7</v>
      </c>
      <c r="K143" s="6">
        <v>2027</v>
      </c>
      <c r="L143" s="6">
        <v>2</v>
      </c>
      <c r="M143" s="6" t="s">
        <v>45</v>
      </c>
      <c r="N143" s="6" t="s">
        <v>250</v>
      </c>
      <c r="O143" s="6" t="s">
        <v>47</v>
      </c>
      <c r="P143" s="6" t="s">
        <v>547</v>
      </c>
      <c r="Q143" s="6" t="s">
        <v>127</v>
      </c>
      <c r="R143" s="35">
        <v>4423</v>
      </c>
      <c r="S143" s="6">
        <v>971</v>
      </c>
      <c r="T143" s="36" t="s">
        <v>50</v>
      </c>
      <c r="U143" s="46">
        <f>IF($L143&lt;=2,
IF($R143&lt;=RpmDesignStandard!$C$2,RpmDesignStandard!$D$2,
IF(AND($R143&gt;RpmDesignStandard!$B$3,$R143&lt;=RpmDesignStandard!$C$3),RpmDesignStandard!$D$3,RpmDesignStandard!$D$4)),
IF($R143&lt;=RpmDesignStandard!$C$5, RpmDesignStandard!$D$5,
IF(AND($R143&gt;RpmDesignStandard!$B$6,$R143&lt;=RpmDesignStandard!$C$6),RpmDesignStandard!$D$6,
IF(AND($R143&gt;RpmDesignStandard!$B$7,$R143&lt;=RpmDesignStandard!$C$7),RpmDesignStandard!$D$7,RpmDesignStandard!$D$8))))</f>
        <v>4</v>
      </c>
      <c r="V143" s="47">
        <f>U143*RpmDesignStandard!$H$1</f>
        <v>8</v>
      </c>
      <c r="W143" s="37" t="str">
        <f>VLOOKUP(A143,RPM_ProjectRecord!A:AB,8,FALSE)</f>
        <v/>
      </c>
      <c r="X143" s="38" t="str">
        <f t="shared" si="20"/>
        <v/>
      </c>
      <c r="Y143" s="38" t="str">
        <f t="shared" si="21"/>
        <v/>
      </c>
      <c r="Z143" s="38" t="str">
        <f t="shared" si="22"/>
        <v/>
      </c>
      <c r="AA143" s="38" t="str">
        <f t="shared" si="23"/>
        <v/>
      </c>
      <c r="AB143" s="38" t="str">
        <f t="shared" si="24"/>
        <v/>
      </c>
      <c r="AC143" s="38">
        <f>IF(VLOOKUP(A143,'3rdPhaseChipSeal'!A:L,12,FALSE)="","",VLOOKUP(A143,'3rdPhaseChipSeal'!A:L,12,FALSE))</f>
        <v>2041</v>
      </c>
      <c r="AD143" s="38" t="str">
        <f>IFERROR(IF(VLOOKUP(A143,RpmContracts!A:C,3,FALSE)="","",VLOOKUP(A143,RpmContracts!A:C,3,FALSE)),"")</f>
        <v/>
      </c>
      <c r="AE143" s="7" t="str">
        <f>IF(VLOOKUP(A143,'20yPlan'!A:B,2,FALSE)="","",VLOOKUP(A143,'20yPlan'!A:B,2,FALSE))</f>
        <v/>
      </c>
      <c r="AF143" s="7" t="str">
        <f>IF(VLOOKUP(A143,'20yPlan'!A:C,3,FALSE)="","",VLOOKUP(A143,'20yPlan'!A:C,3,FALSE))</f>
        <v/>
      </c>
      <c r="AG143" s="7" t="str">
        <f>IF(VLOOKUP(A143,'20yPlan'!A:D,4,FALSE)="","",VLOOKUP(A143,'20yPlan'!A:D,4,FALSE))</f>
        <v/>
      </c>
      <c r="AH143" s="7" t="str">
        <f>IF(VLOOKUP(A143,'20yPlan'!A:E,5,FALSE)="","",VLOOKUP(A143,'20yPlan'!A:E,5,FALSE))</f>
        <v/>
      </c>
      <c r="AI143" s="7" t="str">
        <f>IF(VLOOKUP(A143,'20yPlan'!A:F,6,FALSE)="","",VLOOKUP(A143,'20yPlan'!A:F,6,FALSE))</f>
        <v/>
      </c>
      <c r="AJ143" s="7" t="str">
        <f t="shared" si="25"/>
        <v>2041 Chip Seal</v>
      </c>
      <c r="AK143" s="7" t="str">
        <f t="shared" si="26"/>
        <v/>
      </c>
      <c r="AL143" s="39">
        <f t="shared" ca="1" si="27"/>
        <v>2025</v>
      </c>
      <c r="AM143" s="7" t="str">
        <f t="shared" si="28"/>
        <v/>
      </c>
      <c r="AN143" s="7" t="str">
        <f t="shared" si="29"/>
        <v/>
      </c>
    </row>
    <row r="144" spans="1:40">
      <c r="A144" s="6">
        <v>60148</v>
      </c>
      <c r="B144" s="6" t="s">
        <v>533</v>
      </c>
      <c r="C144" s="6" t="s">
        <v>548</v>
      </c>
      <c r="D144" s="6">
        <v>47.313237999999998</v>
      </c>
      <c r="E144" s="6">
        <v>56.820135000000001</v>
      </c>
      <c r="F144" s="6" t="s">
        <v>549</v>
      </c>
      <c r="G144" s="6" t="s">
        <v>550</v>
      </c>
      <c r="H144" s="35">
        <v>175140</v>
      </c>
      <c r="I144" s="6" t="s">
        <v>195</v>
      </c>
      <c r="J144" s="6">
        <v>2</v>
      </c>
      <c r="K144" s="6">
        <v>2028</v>
      </c>
      <c r="L144" s="6">
        <v>2</v>
      </c>
      <c r="M144" s="6" t="s">
        <v>45</v>
      </c>
      <c r="N144" s="6" t="s">
        <v>250</v>
      </c>
      <c r="O144" s="6" t="s">
        <v>121</v>
      </c>
      <c r="P144" s="6" t="s">
        <v>551</v>
      </c>
      <c r="Q144" s="6" t="s">
        <v>132</v>
      </c>
      <c r="R144" s="35">
        <v>2347</v>
      </c>
      <c r="S144" s="6">
        <v>515</v>
      </c>
      <c r="T144" s="36" t="s">
        <v>50</v>
      </c>
      <c r="U144" s="46">
        <f>IF($L144&lt;=2,
IF($R144&lt;=RpmDesignStandard!$C$2,RpmDesignStandard!$D$2,
IF(AND($R144&gt;RpmDesignStandard!$B$3,$R144&lt;=RpmDesignStandard!$C$3),RpmDesignStandard!$D$3,RpmDesignStandard!$D$4)),
IF($R144&lt;=RpmDesignStandard!$C$5, RpmDesignStandard!$D$5,
IF(AND($R144&gt;RpmDesignStandard!$B$6,$R144&lt;=RpmDesignStandard!$C$6),RpmDesignStandard!$D$6,
IF(AND($R144&gt;RpmDesignStandard!$B$7,$R144&lt;=RpmDesignStandard!$C$7),RpmDesignStandard!$D$7,RpmDesignStandard!$D$8))))</f>
        <v>4</v>
      </c>
      <c r="V144" s="47">
        <f>U144*RpmDesignStandard!$H$1</f>
        <v>8</v>
      </c>
      <c r="W144" s="37">
        <f>VLOOKUP(A144,RPM_ProjectRecord!A:AB,8,FALSE)</f>
        <v>2021</v>
      </c>
      <c r="X144" s="38" t="str">
        <f t="shared" si="20"/>
        <v/>
      </c>
      <c r="Y144" s="38" t="str">
        <f t="shared" si="21"/>
        <v/>
      </c>
      <c r="Z144" s="38" t="str">
        <f t="shared" si="22"/>
        <v/>
      </c>
      <c r="AA144" s="38" t="str">
        <f t="shared" si="23"/>
        <v/>
      </c>
      <c r="AB144" s="38" t="str">
        <f t="shared" si="24"/>
        <v/>
      </c>
      <c r="AC144" s="38">
        <f>IF(VLOOKUP(A144,'3rdPhaseChipSeal'!A:L,12,FALSE)="","",VLOOKUP(A144,'3rdPhaseChipSeal'!A:L,12,FALSE))</f>
        <v>2042</v>
      </c>
      <c r="AD144" s="38" t="str">
        <f>IFERROR(IF(VLOOKUP(A144,RpmContracts!A:C,3,FALSE)="","",VLOOKUP(A144,RpmContracts!A:C,3,FALSE)),"")</f>
        <v/>
      </c>
      <c r="AE144" s="7" t="str">
        <f>IF(VLOOKUP(A144,'20yPlan'!A:B,2,FALSE)="","",VLOOKUP(A144,'20yPlan'!A:B,2,FALSE))</f>
        <v/>
      </c>
      <c r="AF144" s="7" t="str">
        <f>IF(VLOOKUP(A144,'20yPlan'!A:C,3,FALSE)="","",VLOOKUP(A144,'20yPlan'!A:C,3,FALSE))</f>
        <v/>
      </c>
      <c r="AG144" s="7" t="str">
        <f>IF(VLOOKUP(A144,'20yPlan'!A:D,4,FALSE)="","",VLOOKUP(A144,'20yPlan'!A:D,4,FALSE))</f>
        <v/>
      </c>
      <c r="AH144" s="7" t="str">
        <f>IF(VLOOKUP(A144,'20yPlan'!A:E,5,FALSE)="","",VLOOKUP(A144,'20yPlan'!A:E,5,FALSE))</f>
        <v/>
      </c>
      <c r="AI144" s="7" t="str">
        <f>IF(VLOOKUP(A144,'20yPlan'!A:F,6,FALSE)="","",VLOOKUP(A144,'20yPlan'!A:F,6,FALSE))</f>
        <v/>
      </c>
      <c r="AJ144" s="7" t="str">
        <f t="shared" si="25"/>
        <v>2042 Chip Seal</v>
      </c>
      <c r="AK144" s="7" t="str">
        <f t="shared" si="26"/>
        <v/>
      </c>
      <c r="AL144" s="39">
        <f t="shared" ca="1" si="27"/>
        <v>2025</v>
      </c>
      <c r="AM144" s="7" t="str">
        <f t="shared" si="28"/>
        <v/>
      </c>
      <c r="AN144" s="7" t="str">
        <f t="shared" si="29"/>
        <v/>
      </c>
    </row>
    <row r="145" spans="1:40">
      <c r="A145" s="6">
        <v>60150</v>
      </c>
      <c r="B145" s="6" t="s">
        <v>533</v>
      </c>
      <c r="C145" s="6" t="s">
        <v>552</v>
      </c>
      <c r="D145" s="6">
        <v>69.415009999999995</v>
      </c>
      <c r="E145" s="6">
        <v>76.672597999999994</v>
      </c>
      <c r="F145" s="6" t="s">
        <v>553</v>
      </c>
      <c r="G145" s="6" t="s">
        <v>554</v>
      </c>
      <c r="H145" s="35">
        <v>135816</v>
      </c>
      <c r="I145" s="6" t="s">
        <v>195</v>
      </c>
      <c r="J145" s="6">
        <v>15</v>
      </c>
      <c r="K145" s="6">
        <v>2027</v>
      </c>
      <c r="L145" s="6">
        <v>2</v>
      </c>
      <c r="M145" s="6" t="s">
        <v>45</v>
      </c>
      <c r="N145" s="6" t="s">
        <v>250</v>
      </c>
      <c r="O145" s="6" t="s">
        <v>165</v>
      </c>
      <c r="P145" s="6" t="s">
        <v>236</v>
      </c>
      <c r="Q145" s="6" t="s">
        <v>240</v>
      </c>
      <c r="R145" s="35">
        <v>1778</v>
      </c>
      <c r="S145" s="6">
        <v>391</v>
      </c>
      <c r="T145" s="36" t="s">
        <v>50</v>
      </c>
      <c r="U145" s="46">
        <f>IF($L145&lt;=2,
IF($R145&lt;=RpmDesignStandard!$C$2,RpmDesignStandard!$D$2,
IF(AND($R145&gt;RpmDesignStandard!$B$3,$R145&lt;=RpmDesignStandard!$C$3),RpmDesignStandard!$D$3,RpmDesignStandard!$D$4)),
IF($R145&lt;=RpmDesignStandard!$C$5, RpmDesignStandard!$D$5,
IF(AND($R145&gt;RpmDesignStandard!$B$6,$R145&lt;=RpmDesignStandard!$C$6),RpmDesignStandard!$D$6,
IF(AND($R145&gt;RpmDesignStandard!$B$7,$R145&lt;=RpmDesignStandard!$C$7),RpmDesignStandard!$D$7,RpmDesignStandard!$D$8))))</f>
        <v>4</v>
      </c>
      <c r="V145" s="47">
        <f>U145*RpmDesignStandard!$H$1</f>
        <v>8</v>
      </c>
      <c r="W145" s="37" t="str">
        <f>VLOOKUP(A145,RPM_ProjectRecord!A:AB,8,FALSE)</f>
        <v/>
      </c>
      <c r="X145" s="38" t="str">
        <f t="shared" si="20"/>
        <v/>
      </c>
      <c r="Y145" s="38" t="str">
        <f t="shared" si="21"/>
        <v/>
      </c>
      <c r="Z145" s="38" t="str">
        <f t="shared" si="22"/>
        <v/>
      </c>
      <c r="AA145" s="38" t="str">
        <f t="shared" si="23"/>
        <v/>
      </c>
      <c r="AB145" s="38" t="str">
        <f t="shared" si="24"/>
        <v/>
      </c>
      <c r="AC145" s="38">
        <f>IF(VLOOKUP(A145,'3rdPhaseChipSeal'!A:L,12,FALSE)="","",VLOOKUP(A145,'3rdPhaseChipSeal'!A:L,12,FALSE))</f>
        <v>2034</v>
      </c>
      <c r="AD145" s="38" t="str">
        <f>IFERROR(IF(VLOOKUP(A145,RpmContracts!A:C,3,FALSE)="","",VLOOKUP(A145,RpmContracts!A:C,3,FALSE)),"")</f>
        <v/>
      </c>
      <c r="AE145" s="7" t="str">
        <f>IF(VLOOKUP(A145,'20yPlan'!A:B,2,FALSE)="","",VLOOKUP(A145,'20yPlan'!A:B,2,FALSE))</f>
        <v/>
      </c>
      <c r="AF145" s="7" t="str">
        <f>IF(VLOOKUP(A145,'20yPlan'!A:C,3,FALSE)="","",VLOOKUP(A145,'20yPlan'!A:C,3,FALSE))</f>
        <v/>
      </c>
      <c r="AG145" s="7" t="str">
        <f>IF(VLOOKUP(A145,'20yPlan'!A:D,4,FALSE)="","",VLOOKUP(A145,'20yPlan'!A:D,4,FALSE))</f>
        <v/>
      </c>
      <c r="AH145" s="7" t="str">
        <f>IF(VLOOKUP(A145,'20yPlan'!A:E,5,FALSE)="","",VLOOKUP(A145,'20yPlan'!A:E,5,FALSE))</f>
        <v/>
      </c>
      <c r="AI145" s="7" t="str">
        <f>IF(VLOOKUP(A145,'20yPlan'!A:F,6,FALSE)="","",VLOOKUP(A145,'20yPlan'!A:F,6,FALSE))</f>
        <v/>
      </c>
      <c r="AJ145" s="7" t="str">
        <f t="shared" si="25"/>
        <v>2034 Chip Seal</v>
      </c>
      <c r="AK145" s="7" t="str">
        <f t="shared" si="26"/>
        <v/>
      </c>
      <c r="AL145" s="39">
        <f t="shared" ca="1" si="27"/>
        <v>2025</v>
      </c>
      <c r="AM145" s="7" t="str">
        <f t="shared" si="28"/>
        <v/>
      </c>
      <c r="AN145" s="7" t="str">
        <f t="shared" si="29"/>
        <v/>
      </c>
    </row>
    <row r="146" spans="1:40">
      <c r="A146" s="6">
        <v>60151</v>
      </c>
      <c r="B146" s="6" t="s">
        <v>555</v>
      </c>
      <c r="C146" s="6" t="s">
        <v>556</v>
      </c>
      <c r="D146" s="6">
        <v>0.79232800000000003</v>
      </c>
      <c r="E146" s="6">
        <v>13.529349</v>
      </c>
      <c r="F146" s="6" t="s">
        <v>557</v>
      </c>
      <c r="G146" s="6" t="s">
        <v>558</v>
      </c>
      <c r="H146" s="35">
        <v>200353</v>
      </c>
      <c r="I146" s="6" t="s">
        <v>195</v>
      </c>
      <c r="J146" s="6">
        <v>25</v>
      </c>
      <c r="K146" s="6">
        <v>2028</v>
      </c>
      <c r="L146" s="6">
        <v>2</v>
      </c>
      <c r="M146" s="6" t="s">
        <v>45</v>
      </c>
      <c r="N146" s="6" t="s">
        <v>250</v>
      </c>
      <c r="O146" s="6" t="s">
        <v>165</v>
      </c>
      <c r="P146" s="6" t="s">
        <v>166</v>
      </c>
      <c r="Q146" s="6" t="s">
        <v>172</v>
      </c>
      <c r="R146" s="6">
        <v>357</v>
      </c>
      <c r="S146" s="6">
        <v>43</v>
      </c>
      <c r="T146" s="36" t="s">
        <v>253</v>
      </c>
      <c r="U146" s="46">
        <f>IF($L146&lt;=2,
IF($R146&lt;=RpmDesignStandard!$C$2,RpmDesignStandard!$D$2,
IF(AND($R146&gt;RpmDesignStandard!$B$3,$R146&lt;=RpmDesignStandard!$C$3),RpmDesignStandard!$D$3,RpmDesignStandard!$D$4)),
IF($R146&lt;=RpmDesignStandard!$C$5, RpmDesignStandard!$D$5,
IF(AND($R146&gt;RpmDesignStandard!$B$6,$R146&lt;=RpmDesignStandard!$C$6),RpmDesignStandard!$D$6,
IF(AND($R146&gt;RpmDesignStandard!$B$7,$R146&lt;=RpmDesignStandard!$C$7),RpmDesignStandard!$D$7,RpmDesignStandard!$D$8))))</f>
        <v>4</v>
      </c>
      <c r="V146" s="47">
        <f>U146*RpmDesignStandard!$H$1</f>
        <v>8</v>
      </c>
      <c r="W146" s="37">
        <f>VLOOKUP(A146,RPM_ProjectRecord!A:AB,8,FALSE)</f>
        <v>2021</v>
      </c>
      <c r="X146" s="38" t="str">
        <f t="shared" si="20"/>
        <v/>
      </c>
      <c r="Y146" s="38" t="str">
        <f t="shared" si="21"/>
        <v/>
      </c>
      <c r="Z146" s="38" t="str">
        <f t="shared" si="22"/>
        <v/>
      </c>
      <c r="AA146" s="38" t="str">
        <f t="shared" si="23"/>
        <v/>
      </c>
      <c r="AB146" s="38" t="str">
        <f t="shared" si="24"/>
        <v/>
      </c>
      <c r="AC146" s="38">
        <f>IF(VLOOKUP(A146,'3rdPhaseChipSeal'!A:L,12,FALSE)="","",VLOOKUP(A146,'3rdPhaseChipSeal'!A:L,12,FALSE))</f>
        <v>2042</v>
      </c>
      <c r="AD146" s="38" t="str">
        <f>IFERROR(IF(VLOOKUP(A146,RpmContracts!A:C,3,FALSE)="","",VLOOKUP(A146,RpmContracts!A:C,3,FALSE)),"")</f>
        <v/>
      </c>
      <c r="AE146" s="7" t="str">
        <f>IF(VLOOKUP(A146,'20yPlan'!A:B,2,FALSE)="","",VLOOKUP(A146,'20yPlan'!A:B,2,FALSE))</f>
        <v/>
      </c>
      <c r="AF146" s="7" t="str">
        <f>IF(VLOOKUP(A146,'20yPlan'!A:C,3,FALSE)="","",VLOOKUP(A146,'20yPlan'!A:C,3,FALSE))</f>
        <v/>
      </c>
      <c r="AG146" s="7" t="str">
        <f>IF(VLOOKUP(A146,'20yPlan'!A:D,4,FALSE)="","",VLOOKUP(A146,'20yPlan'!A:D,4,FALSE))</f>
        <v/>
      </c>
      <c r="AH146" s="7" t="str">
        <f>IF(VLOOKUP(A146,'20yPlan'!A:E,5,FALSE)="","",VLOOKUP(A146,'20yPlan'!A:E,5,FALSE))</f>
        <v/>
      </c>
      <c r="AI146" s="7" t="str">
        <f>IF(VLOOKUP(A146,'20yPlan'!A:F,6,FALSE)="","",VLOOKUP(A146,'20yPlan'!A:F,6,FALSE))</f>
        <v/>
      </c>
      <c r="AJ146" s="7" t="str">
        <f t="shared" si="25"/>
        <v>2042 Chip Seal</v>
      </c>
      <c r="AK146" s="7" t="str">
        <f t="shared" si="26"/>
        <v/>
      </c>
      <c r="AL146" s="39">
        <f t="shared" ca="1" si="27"/>
        <v>2025</v>
      </c>
      <c r="AM146" s="7" t="str">
        <f t="shared" si="28"/>
        <v/>
      </c>
      <c r="AN146" s="7" t="str">
        <f t="shared" si="29"/>
        <v/>
      </c>
    </row>
    <row r="147" spans="1:40">
      <c r="A147" s="6">
        <v>60152</v>
      </c>
      <c r="B147" s="6" t="s">
        <v>555</v>
      </c>
      <c r="C147" s="6" t="s">
        <v>559</v>
      </c>
      <c r="D147" s="6">
        <v>13.529349</v>
      </c>
      <c r="E147" s="6">
        <v>14.338372</v>
      </c>
      <c r="F147" s="6" t="s">
        <v>558</v>
      </c>
      <c r="G147" s="6" t="s">
        <v>560</v>
      </c>
      <c r="H147" s="35">
        <v>13758</v>
      </c>
      <c r="I147" s="6" t="s">
        <v>44</v>
      </c>
      <c r="J147" s="6">
        <v>6</v>
      </c>
      <c r="K147" s="6"/>
      <c r="L147" s="6">
        <v>2</v>
      </c>
      <c r="M147" s="6" t="s">
        <v>45</v>
      </c>
      <c r="N147" s="6" t="s">
        <v>250</v>
      </c>
      <c r="O147" s="6" t="s">
        <v>165</v>
      </c>
      <c r="P147" s="6" t="s">
        <v>166</v>
      </c>
      <c r="Q147" s="6" t="s">
        <v>172</v>
      </c>
      <c r="R147" s="35">
        <v>1273</v>
      </c>
      <c r="S147" s="6">
        <v>154</v>
      </c>
      <c r="T147" s="36" t="s">
        <v>50</v>
      </c>
      <c r="U147" s="46">
        <f>IF($L147&lt;=2,
IF($R147&lt;=RpmDesignStandard!$C$2,RpmDesignStandard!$D$2,
IF(AND($R147&gt;RpmDesignStandard!$B$3,$R147&lt;=RpmDesignStandard!$C$3),RpmDesignStandard!$D$3,RpmDesignStandard!$D$4)),
IF($R147&lt;=RpmDesignStandard!$C$5, RpmDesignStandard!$D$5,
IF(AND($R147&gt;RpmDesignStandard!$B$6,$R147&lt;=RpmDesignStandard!$C$6),RpmDesignStandard!$D$6,
IF(AND($R147&gt;RpmDesignStandard!$B$7,$R147&lt;=RpmDesignStandard!$C$7),RpmDesignStandard!$D$7,RpmDesignStandard!$D$8))))</f>
        <v>4</v>
      </c>
      <c r="V147" s="47">
        <f>U147*RpmDesignStandard!$H$1</f>
        <v>8</v>
      </c>
      <c r="W147" s="37" t="str">
        <f>VLOOKUP(A147,RPM_ProjectRecord!A:AB,8,FALSE)</f>
        <v/>
      </c>
      <c r="X147" s="38" t="str">
        <f t="shared" si="20"/>
        <v/>
      </c>
      <c r="Y147" s="38" t="str">
        <f t="shared" si="21"/>
        <v/>
      </c>
      <c r="Z147" s="38" t="str">
        <f t="shared" si="22"/>
        <v/>
      </c>
      <c r="AA147" s="38" t="str">
        <f t="shared" si="23"/>
        <v/>
      </c>
      <c r="AB147" s="38" t="str">
        <f t="shared" si="24"/>
        <v/>
      </c>
      <c r="AC147" s="38" t="str">
        <f>IF(VLOOKUP(A147,'3rdPhaseChipSeal'!A:L,12,FALSE)="","",VLOOKUP(A147,'3rdPhaseChipSeal'!A:L,12,FALSE))</f>
        <v/>
      </c>
      <c r="AD147" s="38">
        <f>IFERROR(IF(VLOOKUP(A147,RpmContracts!A:C,3,FALSE)="","",VLOOKUP(A147,RpmContracts!A:C,3,FALSE)),"")</f>
        <v>2026</v>
      </c>
      <c r="AE147" s="7" t="str">
        <f>IF(VLOOKUP(A147,'20yPlan'!A:B,2,FALSE)="","",VLOOKUP(A147,'20yPlan'!A:B,2,FALSE))</f>
        <v/>
      </c>
      <c r="AF147" s="7" t="str">
        <f>IF(VLOOKUP(A147,'20yPlan'!A:C,3,FALSE)="","",VLOOKUP(A147,'20yPlan'!A:C,3,FALSE))</f>
        <v/>
      </c>
      <c r="AG147" s="7" t="str">
        <f>IF(VLOOKUP(A147,'20yPlan'!A:D,4,FALSE)="","",VLOOKUP(A147,'20yPlan'!A:D,4,FALSE))</f>
        <v/>
      </c>
      <c r="AH147" s="7" t="str">
        <f>IF(VLOOKUP(A147,'20yPlan'!A:E,5,FALSE)="","",VLOOKUP(A147,'20yPlan'!A:E,5,FALSE))</f>
        <v/>
      </c>
      <c r="AI147" s="7" t="str">
        <f>IF(VLOOKUP(A147,'20yPlan'!A:F,6,FALSE)="","",VLOOKUP(A147,'20yPlan'!A:F,6,FALSE))</f>
        <v/>
      </c>
      <c r="AJ147" s="7" t="str">
        <f t="shared" si="25"/>
        <v/>
      </c>
      <c r="AK147" s="7" t="str">
        <f t="shared" si="26"/>
        <v>2026 RPM Replacement</v>
      </c>
      <c r="AL147" s="39">
        <f t="shared" ca="1" si="27"/>
        <v>2025</v>
      </c>
      <c r="AM147" s="7">
        <f t="shared" si="28"/>
        <v>2026</v>
      </c>
      <c r="AN147" s="7" t="str">
        <f t="shared" si="29"/>
        <v>2026 RPM Replacement</v>
      </c>
    </row>
    <row r="148" spans="1:40">
      <c r="A148" s="6">
        <v>60153</v>
      </c>
      <c r="B148" s="6" t="s">
        <v>555</v>
      </c>
      <c r="C148" s="6" t="s">
        <v>561</v>
      </c>
      <c r="D148" s="6">
        <v>14.338372</v>
      </c>
      <c r="E148" s="6">
        <v>22.965807999999999</v>
      </c>
      <c r="F148" s="6" t="s">
        <v>560</v>
      </c>
      <c r="G148" s="6" t="s">
        <v>562</v>
      </c>
      <c r="H148" s="35">
        <v>137382</v>
      </c>
      <c r="I148" s="6" t="s">
        <v>195</v>
      </c>
      <c r="J148" s="6">
        <v>3</v>
      </c>
      <c r="K148" s="6">
        <v>2028</v>
      </c>
      <c r="L148" s="6">
        <v>2</v>
      </c>
      <c r="M148" s="6" t="s">
        <v>45</v>
      </c>
      <c r="N148" s="6" t="s">
        <v>250</v>
      </c>
      <c r="O148" s="6" t="s">
        <v>165</v>
      </c>
      <c r="P148" s="6" t="s">
        <v>291</v>
      </c>
      <c r="Q148" s="6" t="s">
        <v>169</v>
      </c>
      <c r="R148" s="6">
        <v>741</v>
      </c>
      <c r="S148" s="6">
        <v>89</v>
      </c>
      <c r="T148" s="36" t="s">
        <v>253</v>
      </c>
      <c r="U148" s="46">
        <f>IF($L148&lt;=2,
IF($R148&lt;=RpmDesignStandard!$C$2,RpmDesignStandard!$D$2,
IF(AND($R148&gt;RpmDesignStandard!$B$3,$R148&lt;=RpmDesignStandard!$C$3),RpmDesignStandard!$D$3,RpmDesignStandard!$D$4)),
IF($R148&lt;=RpmDesignStandard!$C$5, RpmDesignStandard!$D$5,
IF(AND($R148&gt;RpmDesignStandard!$B$6,$R148&lt;=RpmDesignStandard!$C$6),RpmDesignStandard!$D$6,
IF(AND($R148&gt;RpmDesignStandard!$B$7,$R148&lt;=RpmDesignStandard!$C$7),RpmDesignStandard!$D$7,RpmDesignStandard!$D$8))))</f>
        <v>4</v>
      </c>
      <c r="V148" s="47">
        <f>U148*RpmDesignStandard!$H$1</f>
        <v>8</v>
      </c>
      <c r="W148" s="37" t="str">
        <f>VLOOKUP(A148,RPM_ProjectRecord!A:AB,8,FALSE)</f>
        <v/>
      </c>
      <c r="X148" s="38" t="str">
        <f t="shared" si="20"/>
        <v/>
      </c>
      <c r="Y148" s="38" t="str">
        <f t="shared" si="21"/>
        <v/>
      </c>
      <c r="Z148" s="38" t="str">
        <f t="shared" si="22"/>
        <v/>
      </c>
      <c r="AA148" s="38" t="str">
        <f t="shared" si="23"/>
        <v/>
      </c>
      <c r="AB148" s="38" t="str">
        <f t="shared" si="24"/>
        <v/>
      </c>
      <c r="AC148" s="38">
        <f>IF(VLOOKUP(A148,'3rdPhaseChipSeal'!A:L,12,FALSE)="","",VLOOKUP(A148,'3rdPhaseChipSeal'!A:L,12,FALSE))</f>
        <v>2042</v>
      </c>
      <c r="AD148" s="38">
        <f>IFERROR(IF(VLOOKUP(A148,RpmContracts!A:C,3,FALSE)="","",VLOOKUP(A148,RpmContracts!A:C,3,FALSE)),"")</f>
        <v>2026</v>
      </c>
      <c r="AE148" s="7" t="str">
        <f>IF(VLOOKUP(A148,'20yPlan'!A:B,2,FALSE)="","",VLOOKUP(A148,'20yPlan'!A:B,2,FALSE))</f>
        <v/>
      </c>
      <c r="AF148" s="7" t="str">
        <f>IF(VLOOKUP(A148,'20yPlan'!A:C,3,FALSE)="","",VLOOKUP(A148,'20yPlan'!A:C,3,FALSE))</f>
        <v/>
      </c>
      <c r="AG148" s="7" t="str">
        <f>IF(VLOOKUP(A148,'20yPlan'!A:D,4,FALSE)="","",VLOOKUP(A148,'20yPlan'!A:D,4,FALSE))</f>
        <v/>
      </c>
      <c r="AH148" s="7" t="str">
        <f>IF(VLOOKUP(A148,'20yPlan'!A:E,5,FALSE)="","",VLOOKUP(A148,'20yPlan'!A:E,5,FALSE))</f>
        <v/>
      </c>
      <c r="AI148" s="7" t="str">
        <f>IF(VLOOKUP(A148,'20yPlan'!A:F,6,FALSE)="","",VLOOKUP(A148,'20yPlan'!A:F,6,FALSE))</f>
        <v/>
      </c>
      <c r="AJ148" s="7" t="str">
        <f t="shared" si="25"/>
        <v>2042 Chip Seal</v>
      </c>
      <c r="AK148" s="7" t="str">
        <f t="shared" si="26"/>
        <v>2026 RPM Replacement</v>
      </c>
      <c r="AL148" s="39">
        <f t="shared" ca="1" si="27"/>
        <v>2025</v>
      </c>
      <c r="AM148" s="7">
        <f t="shared" si="28"/>
        <v>2026</v>
      </c>
      <c r="AN148" s="7" t="str">
        <f t="shared" si="29"/>
        <v>2026 RPM Replacement</v>
      </c>
    </row>
    <row r="149" spans="1:40">
      <c r="A149" s="6">
        <v>60154</v>
      </c>
      <c r="B149" s="6" t="s">
        <v>555</v>
      </c>
      <c r="C149" s="6" t="s">
        <v>563</v>
      </c>
      <c r="D149" s="6">
        <v>24.203279999999999</v>
      </c>
      <c r="E149" s="6">
        <v>28.486650000000001</v>
      </c>
      <c r="F149" s="6" t="s">
        <v>564</v>
      </c>
      <c r="G149" s="6" t="s">
        <v>565</v>
      </c>
      <c r="H149" s="35">
        <v>68924</v>
      </c>
      <c r="I149" s="6" t="s">
        <v>195</v>
      </c>
      <c r="J149" s="6">
        <v>24</v>
      </c>
      <c r="K149" s="6">
        <v>2029</v>
      </c>
      <c r="L149" s="6">
        <v>2</v>
      </c>
      <c r="M149" s="6" t="s">
        <v>45</v>
      </c>
      <c r="N149" s="6" t="s">
        <v>250</v>
      </c>
      <c r="O149" s="6" t="s">
        <v>165</v>
      </c>
      <c r="P149" s="6" t="s">
        <v>291</v>
      </c>
      <c r="Q149" s="6" t="s">
        <v>132</v>
      </c>
      <c r="R149" s="6">
        <v>460</v>
      </c>
      <c r="S149" s="6">
        <v>55</v>
      </c>
      <c r="T149" s="36" t="s">
        <v>253</v>
      </c>
      <c r="U149" s="46">
        <f>IF($L149&lt;=2,
IF($R149&lt;=RpmDesignStandard!$C$2,RpmDesignStandard!$D$2,
IF(AND($R149&gt;RpmDesignStandard!$B$3,$R149&lt;=RpmDesignStandard!$C$3),RpmDesignStandard!$D$3,RpmDesignStandard!$D$4)),
IF($R149&lt;=RpmDesignStandard!$C$5, RpmDesignStandard!$D$5,
IF(AND($R149&gt;RpmDesignStandard!$B$6,$R149&lt;=RpmDesignStandard!$C$6),RpmDesignStandard!$D$6,
IF(AND($R149&gt;RpmDesignStandard!$B$7,$R149&lt;=RpmDesignStandard!$C$7),RpmDesignStandard!$D$7,RpmDesignStandard!$D$8))))</f>
        <v>4</v>
      </c>
      <c r="V149" s="47">
        <f>U149*RpmDesignStandard!$H$1</f>
        <v>8</v>
      </c>
      <c r="W149" s="37">
        <f>VLOOKUP(A149,RPM_ProjectRecord!A:AB,8,FALSE)</f>
        <v>2023</v>
      </c>
      <c r="X149" s="38" t="str">
        <f t="shared" si="20"/>
        <v/>
      </c>
      <c r="Y149" s="38" t="str">
        <f t="shared" si="21"/>
        <v/>
      </c>
      <c r="Z149" s="38" t="str">
        <f t="shared" si="22"/>
        <v/>
      </c>
      <c r="AA149" s="38" t="str">
        <f t="shared" si="23"/>
        <v/>
      </c>
      <c r="AB149" s="38" t="str">
        <f t="shared" si="24"/>
        <v/>
      </c>
      <c r="AC149" s="38">
        <f>IF(VLOOKUP(A149,'3rdPhaseChipSeal'!A:L,12,FALSE)="","",VLOOKUP(A149,'3rdPhaseChipSeal'!A:L,12,FALSE))</f>
        <v>2043</v>
      </c>
      <c r="AD149" s="38" t="str">
        <f>IFERROR(IF(VLOOKUP(A149,RpmContracts!A:C,3,FALSE)="","",VLOOKUP(A149,RpmContracts!A:C,3,FALSE)),"")</f>
        <v/>
      </c>
      <c r="AE149" s="7" t="str">
        <f>IF(VLOOKUP(A149,'20yPlan'!A:B,2,FALSE)="","",VLOOKUP(A149,'20yPlan'!A:B,2,FALSE))</f>
        <v/>
      </c>
      <c r="AF149" s="7" t="str">
        <f>IF(VLOOKUP(A149,'20yPlan'!A:C,3,FALSE)="","",VLOOKUP(A149,'20yPlan'!A:C,3,FALSE))</f>
        <v/>
      </c>
      <c r="AG149" s="7" t="str">
        <f>IF(VLOOKUP(A149,'20yPlan'!A:D,4,FALSE)="","",VLOOKUP(A149,'20yPlan'!A:D,4,FALSE))</f>
        <v/>
      </c>
      <c r="AH149" s="7" t="str">
        <f>IF(VLOOKUP(A149,'20yPlan'!A:E,5,FALSE)="","",VLOOKUP(A149,'20yPlan'!A:E,5,FALSE))</f>
        <v/>
      </c>
      <c r="AI149" s="7" t="str">
        <f>IF(VLOOKUP(A149,'20yPlan'!A:F,6,FALSE)="","",VLOOKUP(A149,'20yPlan'!A:F,6,FALSE))</f>
        <v/>
      </c>
      <c r="AJ149" s="7" t="str">
        <f t="shared" si="25"/>
        <v>2043 Chip Seal</v>
      </c>
      <c r="AK149" s="7" t="str">
        <f t="shared" si="26"/>
        <v/>
      </c>
      <c r="AL149" s="39">
        <f t="shared" ca="1" si="27"/>
        <v>2027</v>
      </c>
      <c r="AM149" s="7" t="str">
        <f t="shared" si="28"/>
        <v/>
      </c>
      <c r="AN149" s="7" t="str">
        <f t="shared" si="29"/>
        <v/>
      </c>
    </row>
    <row r="150" spans="1:40">
      <c r="A150" s="6">
        <v>60155</v>
      </c>
      <c r="B150" s="6" t="s">
        <v>555</v>
      </c>
      <c r="C150" s="6" t="s">
        <v>566</v>
      </c>
      <c r="D150" s="6">
        <v>28.486650000000001</v>
      </c>
      <c r="E150" s="6">
        <v>29.793012000000001</v>
      </c>
      <c r="F150" s="6" t="s">
        <v>565</v>
      </c>
      <c r="G150" s="6" t="s">
        <v>567</v>
      </c>
      <c r="H150" s="35">
        <v>22880</v>
      </c>
      <c r="I150" s="6" t="s">
        <v>195</v>
      </c>
      <c r="J150" s="6">
        <v>16</v>
      </c>
      <c r="K150" s="6">
        <v>2030</v>
      </c>
      <c r="L150" s="6">
        <v>2</v>
      </c>
      <c r="M150" s="6" t="s">
        <v>45</v>
      </c>
      <c r="N150" s="6" t="s">
        <v>250</v>
      </c>
      <c r="O150" s="6" t="s">
        <v>165</v>
      </c>
      <c r="P150" s="6" t="s">
        <v>165</v>
      </c>
      <c r="Q150" s="6" t="s">
        <v>132</v>
      </c>
      <c r="R150" s="35">
        <v>2567</v>
      </c>
      <c r="S150" s="6">
        <v>310</v>
      </c>
      <c r="T150" s="36" t="s">
        <v>253</v>
      </c>
      <c r="U150" s="46">
        <f>IF($L150&lt;=2,
IF($R150&lt;=RpmDesignStandard!$C$2,RpmDesignStandard!$D$2,
IF(AND($R150&gt;RpmDesignStandard!$B$3,$R150&lt;=RpmDesignStandard!$C$3),RpmDesignStandard!$D$3,RpmDesignStandard!$D$4)),
IF($R150&lt;=RpmDesignStandard!$C$5, RpmDesignStandard!$D$5,
IF(AND($R150&gt;RpmDesignStandard!$B$6,$R150&lt;=RpmDesignStandard!$C$6),RpmDesignStandard!$D$6,
IF(AND($R150&gt;RpmDesignStandard!$B$7,$R150&lt;=RpmDesignStandard!$C$7),RpmDesignStandard!$D$7,RpmDesignStandard!$D$8))))</f>
        <v>4</v>
      </c>
      <c r="V150" s="47">
        <f>U150*RpmDesignStandard!$H$1</f>
        <v>8</v>
      </c>
      <c r="W150" s="37" t="str">
        <f>VLOOKUP(A150,RPM_ProjectRecord!A:AB,8,FALSE)</f>
        <v/>
      </c>
      <c r="X150" s="38" t="str">
        <f t="shared" si="20"/>
        <v/>
      </c>
      <c r="Y150" s="38" t="str">
        <f t="shared" si="21"/>
        <v/>
      </c>
      <c r="Z150" s="38" t="str">
        <f t="shared" si="22"/>
        <v/>
      </c>
      <c r="AA150" s="38" t="str">
        <f t="shared" si="23"/>
        <v/>
      </c>
      <c r="AB150" s="38" t="str">
        <f t="shared" si="24"/>
        <v/>
      </c>
      <c r="AC150" s="38">
        <f>IF(VLOOKUP(A150,'3rdPhaseChipSeal'!A:L,12,FALSE)="","",VLOOKUP(A150,'3rdPhaseChipSeal'!A:L,12,FALSE))</f>
        <v>2030</v>
      </c>
      <c r="AD150" s="38" t="str">
        <f>IFERROR(IF(VLOOKUP(A150,RpmContracts!A:C,3,FALSE)="","",VLOOKUP(A150,RpmContracts!A:C,3,FALSE)),"")</f>
        <v/>
      </c>
      <c r="AE150" s="7" t="str">
        <f>IF(VLOOKUP(A150,'20yPlan'!A:B,2,FALSE)="","",VLOOKUP(A150,'20yPlan'!A:B,2,FALSE))</f>
        <v/>
      </c>
      <c r="AF150" s="7" t="str">
        <f>IF(VLOOKUP(A150,'20yPlan'!A:C,3,FALSE)="","",VLOOKUP(A150,'20yPlan'!A:C,3,FALSE))</f>
        <v/>
      </c>
      <c r="AG150" s="7" t="str">
        <f>IF(VLOOKUP(A150,'20yPlan'!A:D,4,FALSE)="","",VLOOKUP(A150,'20yPlan'!A:D,4,FALSE))</f>
        <v/>
      </c>
      <c r="AH150" s="7" t="str">
        <f>IF(VLOOKUP(A150,'20yPlan'!A:E,5,FALSE)="","",VLOOKUP(A150,'20yPlan'!A:E,5,FALSE))</f>
        <v/>
      </c>
      <c r="AI150" s="7" t="str">
        <f>IF(VLOOKUP(A150,'20yPlan'!A:F,6,FALSE)="","",VLOOKUP(A150,'20yPlan'!A:F,6,FALSE))</f>
        <v/>
      </c>
      <c r="AJ150" s="7" t="str">
        <f t="shared" si="25"/>
        <v>2030 Chip Seal</v>
      </c>
      <c r="AK150" s="7" t="str">
        <f t="shared" si="26"/>
        <v/>
      </c>
      <c r="AL150" s="39">
        <f t="shared" ca="1" si="27"/>
        <v>2025</v>
      </c>
      <c r="AM150" s="7" t="str">
        <f t="shared" si="28"/>
        <v/>
      </c>
      <c r="AN150" s="7" t="str">
        <f t="shared" si="29"/>
        <v/>
      </c>
    </row>
    <row r="151" spans="1:40">
      <c r="A151" s="6">
        <v>60156</v>
      </c>
      <c r="B151" s="6" t="s">
        <v>555</v>
      </c>
      <c r="C151" s="6" t="s">
        <v>568</v>
      </c>
      <c r="D151" s="6">
        <v>29.793012000000001</v>
      </c>
      <c r="E151" s="6">
        <v>36.270291</v>
      </c>
      <c r="F151" s="6" t="s">
        <v>567</v>
      </c>
      <c r="G151" s="6" t="s">
        <v>569</v>
      </c>
      <c r="H151" s="35">
        <v>108907</v>
      </c>
      <c r="I151" s="6" t="s">
        <v>195</v>
      </c>
      <c r="J151" s="6">
        <v>14</v>
      </c>
      <c r="K151" s="6">
        <v>2025</v>
      </c>
      <c r="L151" s="6">
        <v>2</v>
      </c>
      <c r="M151" s="6" t="s">
        <v>45</v>
      </c>
      <c r="N151" s="6" t="s">
        <v>250</v>
      </c>
      <c r="O151" s="6" t="s">
        <v>165</v>
      </c>
      <c r="P151" s="6" t="s">
        <v>236</v>
      </c>
      <c r="Q151" s="6" t="s">
        <v>132</v>
      </c>
      <c r="R151" s="35">
        <v>1651</v>
      </c>
      <c r="S151" s="6">
        <v>197</v>
      </c>
      <c r="T151" s="36" t="s">
        <v>253</v>
      </c>
      <c r="U151" s="46">
        <f>IF($L151&lt;=2,
IF($R151&lt;=RpmDesignStandard!$C$2,RpmDesignStandard!$D$2,
IF(AND($R151&gt;RpmDesignStandard!$B$3,$R151&lt;=RpmDesignStandard!$C$3),RpmDesignStandard!$D$3,RpmDesignStandard!$D$4)),
IF($R151&lt;=RpmDesignStandard!$C$5, RpmDesignStandard!$D$5,
IF(AND($R151&gt;RpmDesignStandard!$B$6,$R151&lt;=RpmDesignStandard!$C$6),RpmDesignStandard!$D$6,
IF(AND($R151&gt;RpmDesignStandard!$B$7,$R151&lt;=RpmDesignStandard!$C$7),RpmDesignStandard!$D$7,RpmDesignStandard!$D$8))))</f>
        <v>4</v>
      </c>
      <c r="V151" s="47">
        <f>U151*RpmDesignStandard!$H$1</f>
        <v>8</v>
      </c>
      <c r="W151" s="37">
        <f>VLOOKUP(A151,RPM_ProjectRecord!A:AB,8,FALSE)</f>
        <v>2025</v>
      </c>
      <c r="X151" s="38" t="str">
        <f t="shared" si="20"/>
        <v/>
      </c>
      <c r="Y151" s="38" t="str">
        <f t="shared" si="21"/>
        <v/>
      </c>
      <c r="Z151" s="38" t="str">
        <f t="shared" si="22"/>
        <v/>
      </c>
      <c r="AA151" s="38" t="str">
        <f t="shared" si="23"/>
        <v/>
      </c>
      <c r="AB151" s="38" t="str">
        <f t="shared" si="24"/>
        <v/>
      </c>
      <c r="AC151" s="38">
        <f>IF(VLOOKUP(A151,'3rdPhaseChipSeal'!A:L,12,FALSE)="","",VLOOKUP(A151,'3rdPhaseChipSeal'!A:L,12,FALSE))</f>
        <v>2025</v>
      </c>
      <c r="AD151" s="38" t="str">
        <f>IFERROR(IF(VLOOKUP(A151,RpmContracts!A:C,3,FALSE)="","",VLOOKUP(A151,RpmContracts!A:C,3,FALSE)),"")</f>
        <v/>
      </c>
      <c r="AE151" s="7" t="str">
        <f>IF(VLOOKUP(A151,'20yPlan'!A:B,2,FALSE)="","",VLOOKUP(A151,'20yPlan'!A:B,2,FALSE))</f>
        <v/>
      </c>
      <c r="AF151" s="7" t="str">
        <f>IF(VLOOKUP(A151,'20yPlan'!A:C,3,FALSE)="","",VLOOKUP(A151,'20yPlan'!A:C,3,FALSE))</f>
        <v/>
      </c>
      <c r="AG151" s="7" t="str">
        <f>IF(VLOOKUP(A151,'20yPlan'!A:D,4,FALSE)="","",VLOOKUP(A151,'20yPlan'!A:D,4,FALSE))</f>
        <v/>
      </c>
      <c r="AH151" s="7" t="str">
        <f>IF(VLOOKUP(A151,'20yPlan'!A:E,5,FALSE)="","",VLOOKUP(A151,'20yPlan'!A:E,5,FALSE))</f>
        <v/>
      </c>
      <c r="AI151" s="7" t="str">
        <f>IF(VLOOKUP(A151,'20yPlan'!A:F,6,FALSE)="","",VLOOKUP(A151,'20yPlan'!A:F,6,FALSE))</f>
        <v/>
      </c>
      <c r="AJ151" s="7" t="str">
        <f t="shared" si="25"/>
        <v>2025 Chip Seal</v>
      </c>
      <c r="AK151" s="7" t="str">
        <f t="shared" si="26"/>
        <v/>
      </c>
      <c r="AL151" s="39">
        <f t="shared" ca="1" si="27"/>
        <v>2029</v>
      </c>
      <c r="AM151" s="7" t="str">
        <f t="shared" si="28"/>
        <v/>
      </c>
      <c r="AN151" s="7" t="str">
        <f t="shared" si="29"/>
        <v/>
      </c>
    </row>
    <row r="152" spans="1:40">
      <c r="A152" s="6">
        <v>60157</v>
      </c>
      <c r="B152" s="6" t="s">
        <v>555</v>
      </c>
      <c r="C152" s="6" t="s">
        <v>570</v>
      </c>
      <c r="D152" s="6">
        <v>36.271290999999998</v>
      </c>
      <c r="E152" s="6">
        <v>38.269964999999999</v>
      </c>
      <c r="F152" s="6" t="s">
        <v>571</v>
      </c>
      <c r="G152" s="6" t="s">
        <v>572</v>
      </c>
      <c r="H152" s="35">
        <v>31857</v>
      </c>
      <c r="I152" s="6" t="s">
        <v>195</v>
      </c>
      <c r="J152" s="6">
        <v>4</v>
      </c>
      <c r="K152" s="6">
        <v>2029</v>
      </c>
      <c r="L152" s="6">
        <v>2</v>
      </c>
      <c r="M152" s="6" t="s">
        <v>45</v>
      </c>
      <c r="N152" s="6" t="s">
        <v>250</v>
      </c>
      <c r="O152" s="6" t="s">
        <v>165</v>
      </c>
      <c r="P152" s="6" t="s">
        <v>236</v>
      </c>
      <c r="Q152" s="6" t="s">
        <v>136</v>
      </c>
      <c r="R152" s="35">
        <v>1762</v>
      </c>
      <c r="S152" s="6">
        <v>211</v>
      </c>
      <c r="T152" s="36" t="s">
        <v>253</v>
      </c>
      <c r="U152" s="46">
        <f>IF($L152&lt;=2,
IF($R152&lt;=RpmDesignStandard!$C$2,RpmDesignStandard!$D$2,
IF(AND($R152&gt;RpmDesignStandard!$B$3,$R152&lt;=RpmDesignStandard!$C$3),RpmDesignStandard!$D$3,RpmDesignStandard!$D$4)),
IF($R152&lt;=RpmDesignStandard!$C$5, RpmDesignStandard!$D$5,
IF(AND($R152&gt;RpmDesignStandard!$B$6,$R152&lt;=RpmDesignStandard!$C$6),RpmDesignStandard!$D$6,
IF(AND($R152&gt;RpmDesignStandard!$B$7,$R152&lt;=RpmDesignStandard!$C$7),RpmDesignStandard!$D$7,RpmDesignStandard!$D$8))))</f>
        <v>4</v>
      </c>
      <c r="V152" s="47">
        <f>U152*RpmDesignStandard!$H$1</f>
        <v>8</v>
      </c>
      <c r="W152" s="37" t="str">
        <f>VLOOKUP(A152,RPM_ProjectRecord!A:AB,8,FALSE)</f>
        <v/>
      </c>
      <c r="X152" s="38" t="str">
        <f t="shared" si="20"/>
        <v/>
      </c>
      <c r="Y152" s="38" t="str">
        <f t="shared" si="21"/>
        <v/>
      </c>
      <c r="Z152" s="38" t="str">
        <f t="shared" si="22"/>
        <v/>
      </c>
      <c r="AA152" s="38" t="str">
        <f t="shared" si="23"/>
        <v/>
      </c>
      <c r="AB152" s="38" t="str">
        <f t="shared" si="24"/>
        <v/>
      </c>
      <c r="AC152" s="38">
        <f>IF(VLOOKUP(A152,'3rdPhaseChipSeal'!A:L,12,FALSE)="","",VLOOKUP(A152,'3rdPhaseChipSeal'!A:L,12,FALSE))</f>
        <v>2043</v>
      </c>
      <c r="AD152" s="38" t="str">
        <f>IFERROR(IF(VLOOKUP(A152,RpmContracts!A:C,3,FALSE)="","",VLOOKUP(A152,RpmContracts!A:C,3,FALSE)),"")</f>
        <v/>
      </c>
      <c r="AE152" s="7" t="str">
        <f>IF(VLOOKUP(A152,'20yPlan'!A:B,2,FALSE)="","",VLOOKUP(A152,'20yPlan'!A:B,2,FALSE))</f>
        <v/>
      </c>
      <c r="AF152" s="7" t="str">
        <f>IF(VLOOKUP(A152,'20yPlan'!A:C,3,FALSE)="","",VLOOKUP(A152,'20yPlan'!A:C,3,FALSE))</f>
        <v/>
      </c>
      <c r="AG152" s="7" t="str">
        <f>IF(VLOOKUP(A152,'20yPlan'!A:D,4,FALSE)="","",VLOOKUP(A152,'20yPlan'!A:D,4,FALSE))</f>
        <v/>
      </c>
      <c r="AH152" s="7" t="str">
        <f>IF(VLOOKUP(A152,'20yPlan'!A:E,5,FALSE)="","",VLOOKUP(A152,'20yPlan'!A:E,5,FALSE))</f>
        <v/>
      </c>
      <c r="AI152" s="7" t="str">
        <f>IF(VLOOKUP(A152,'20yPlan'!A:F,6,FALSE)="","",VLOOKUP(A152,'20yPlan'!A:F,6,FALSE))</f>
        <v/>
      </c>
      <c r="AJ152" s="7" t="str">
        <f t="shared" si="25"/>
        <v>2043 Chip Seal</v>
      </c>
      <c r="AK152" s="7" t="str">
        <f t="shared" si="26"/>
        <v/>
      </c>
      <c r="AL152" s="39">
        <f t="shared" ca="1" si="27"/>
        <v>2025</v>
      </c>
      <c r="AM152" s="7" t="str">
        <f t="shared" si="28"/>
        <v/>
      </c>
      <c r="AN152" s="7" t="str">
        <f t="shared" si="29"/>
        <v/>
      </c>
    </row>
    <row r="153" spans="1:40">
      <c r="A153" s="6">
        <v>60159</v>
      </c>
      <c r="B153" s="6" t="s">
        <v>555</v>
      </c>
      <c r="C153" s="6" t="s">
        <v>573</v>
      </c>
      <c r="D153" s="6">
        <v>47.253658000000001</v>
      </c>
      <c r="E153" s="6">
        <v>54.905146000000002</v>
      </c>
      <c r="F153" s="6" t="s">
        <v>574</v>
      </c>
      <c r="G153" s="6" t="s">
        <v>575</v>
      </c>
      <c r="H153" s="35">
        <v>138834</v>
      </c>
      <c r="I153" s="6" t="s">
        <v>195</v>
      </c>
      <c r="J153" s="6">
        <v>4</v>
      </c>
      <c r="K153" s="6">
        <v>2029</v>
      </c>
      <c r="L153" s="6">
        <v>2</v>
      </c>
      <c r="M153" s="6" t="s">
        <v>45</v>
      </c>
      <c r="N153" s="6" t="s">
        <v>250</v>
      </c>
      <c r="O153" s="6" t="s">
        <v>196</v>
      </c>
      <c r="P153" s="6" t="s">
        <v>201</v>
      </c>
      <c r="Q153" s="6" t="s">
        <v>576</v>
      </c>
      <c r="R153" s="35">
        <v>3254</v>
      </c>
      <c r="S153" s="6">
        <v>296</v>
      </c>
      <c r="T153" s="36" t="s">
        <v>253</v>
      </c>
      <c r="U153" s="46">
        <f>IF($L153&lt;=2,
IF($R153&lt;=RpmDesignStandard!$C$2,RpmDesignStandard!$D$2,
IF(AND($R153&gt;RpmDesignStandard!$B$3,$R153&lt;=RpmDesignStandard!$C$3),RpmDesignStandard!$D$3,RpmDesignStandard!$D$4)),
IF($R153&lt;=RpmDesignStandard!$C$5, RpmDesignStandard!$D$5,
IF(AND($R153&gt;RpmDesignStandard!$B$6,$R153&lt;=RpmDesignStandard!$C$6),RpmDesignStandard!$D$6,
IF(AND($R153&gt;RpmDesignStandard!$B$7,$R153&lt;=RpmDesignStandard!$C$7),RpmDesignStandard!$D$7,RpmDesignStandard!$D$8))))</f>
        <v>4</v>
      </c>
      <c r="V153" s="47">
        <f>U153*RpmDesignStandard!$H$1</f>
        <v>8</v>
      </c>
      <c r="W153" s="37" t="str">
        <f>VLOOKUP(A153,RPM_ProjectRecord!A:AB,8,FALSE)</f>
        <v/>
      </c>
      <c r="X153" s="38" t="str">
        <f t="shared" si="20"/>
        <v/>
      </c>
      <c r="Y153" s="38" t="str">
        <f t="shared" si="21"/>
        <v/>
      </c>
      <c r="Z153" s="38" t="str">
        <f t="shared" si="22"/>
        <v/>
      </c>
      <c r="AA153" s="38" t="str">
        <f t="shared" si="23"/>
        <v/>
      </c>
      <c r="AB153" s="38" t="str">
        <f t="shared" si="24"/>
        <v/>
      </c>
      <c r="AC153" s="38">
        <f>IF(VLOOKUP(A153,'3rdPhaseChipSeal'!A:L,12,FALSE)="","",VLOOKUP(A153,'3rdPhaseChipSeal'!A:L,12,FALSE))</f>
        <v>2042</v>
      </c>
      <c r="AD153" s="38" t="str">
        <f>IFERROR(IF(VLOOKUP(A153,RpmContracts!A:C,3,FALSE)="","",VLOOKUP(A153,RpmContracts!A:C,3,FALSE)),"")</f>
        <v/>
      </c>
      <c r="AE153" s="7" t="str">
        <f>IF(VLOOKUP(A153,'20yPlan'!A:B,2,FALSE)="","",VLOOKUP(A153,'20yPlan'!A:B,2,FALSE))</f>
        <v/>
      </c>
      <c r="AF153" s="7" t="str">
        <f>IF(VLOOKUP(A153,'20yPlan'!A:C,3,FALSE)="","",VLOOKUP(A153,'20yPlan'!A:C,3,FALSE))</f>
        <v/>
      </c>
      <c r="AG153" s="7" t="str">
        <f>IF(VLOOKUP(A153,'20yPlan'!A:D,4,FALSE)="","",VLOOKUP(A153,'20yPlan'!A:D,4,FALSE))</f>
        <v/>
      </c>
      <c r="AH153" s="7" t="str">
        <f>IF(VLOOKUP(A153,'20yPlan'!A:E,5,FALSE)="","",VLOOKUP(A153,'20yPlan'!A:E,5,FALSE))</f>
        <v/>
      </c>
      <c r="AI153" s="7" t="str">
        <f>IF(VLOOKUP(A153,'20yPlan'!A:F,6,FALSE)="","",VLOOKUP(A153,'20yPlan'!A:F,6,FALSE))</f>
        <v/>
      </c>
      <c r="AJ153" s="7" t="str">
        <f t="shared" si="25"/>
        <v>2042 Chip Seal</v>
      </c>
      <c r="AK153" s="7" t="str">
        <f t="shared" si="26"/>
        <v/>
      </c>
      <c r="AL153" s="39">
        <f t="shared" ca="1" si="27"/>
        <v>2025</v>
      </c>
      <c r="AM153" s="7" t="str">
        <f t="shared" si="28"/>
        <v/>
      </c>
      <c r="AN153" s="7" t="str">
        <f t="shared" si="29"/>
        <v/>
      </c>
    </row>
    <row r="154" spans="1:40">
      <c r="A154" s="6">
        <v>60160</v>
      </c>
      <c r="B154" s="6" t="s">
        <v>555</v>
      </c>
      <c r="C154" s="6" t="s">
        <v>577</v>
      </c>
      <c r="D154" s="6">
        <v>54.906146</v>
      </c>
      <c r="E154" s="6">
        <v>59.625</v>
      </c>
      <c r="F154" s="6" t="s">
        <v>578</v>
      </c>
      <c r="G154" s="6" t="s">
        <v>579</v>
      </c>
      <c r="H154" s="35">
        <v>77844</v>
      </c>
      <c r="I154" s="6" t="s">
        <v>44</v>
      </c>
      <c r="J154" s="6">
        <v>9</v>
      </c>
      <c r="K154" s="6"/>
      <c r="L154" s="6">
        <v>2</v>
      </c>
      <c r="M154" s="6" t="s">
        <v>45</v>
      </c>
      <c r="N154" s="6" t="s">
        <v>250</v>
      </c>
      <c r="O154" s="6" t="s">
        <v>196</v>
      </c>
      <c r="P154" s="6" t="s">
        <v>201</v>
      </c>
      <c r="Q154" s="6" t="s">
        <v>198</v>
      </c>
      <c r="R154" s="35">
        <v>5166</v>
      </c>
      <c r="S154" s="6">
        <v>308</v>
      </c>
      <c r="T154" s="36" t="s">
        <v>50</v>
      </c>
      <c r="U154" s="46">
        <f>IF($L154&lt;=2,
IF($R154&lt;=RpmDesignStandard!$C$2,RpmDesignStandard!$D$2,
IF(AND($R154&gt;RpmDesignStandard!$B$3,$R154&lt;=RpmDesignStandard!$C$3),RpmDesignStandard!$D$3,RpmDesignStandard!$D$4)),
IF($R154&lt;=RpmDesignStandard!$C$5, RpmDesignStandard!$D$5,
IF(AND($R154&gt;RpmDesignStandard!$B$6,$R154&lt;=RpmDesignStandard!$C$6),RpmDesignStandard!$D$6,
IF(AND($R154&gt;RpmDesignStandard!$B$7,$R154&lt;=RpmDesignStandard!$C$7),RpmDesignStandard!$D$7,RpmDesignStandard!$D$8))))</f>
        <v>4</v>
      </c>
      <c r="V154" s="47">
        <f>U154*RpmDesignStandard!$H$1</f>
        <v>8</v>
      </c>
      <c r="W154" s="37" t="str">
        <f>VLOOKUP(A154,RPM_ProjectRecord!A:AB,8,FALSE)</f>
        <v/>
      </c>
      <c r="X154" s="38" t="str">
        <f t="shared" si="20"/>
        <v/>
      </c>
      <c r="Y154" s="38" t="str">
        <f t="shared" si="21"/>
        <v/>
      </c>
      <c r="Z154" s="38" t="str">
        <f t="shared" si="22"/>
        <v/>
      </c>
      <c r="AA154" s="38" t="str">
        <f t="shared" si="23"/>
        <v/>
      </c>
      <c r="AB154" s="38" t="str">
        <f t="shared" si="24"/>
        <v/>
      </c>
      <c r="AC154" s="38" t="str">
        <f>IF(VLOOKUP(A154,'3rdPhaseChipSeal'!A:L,12,FALSE)="","",VLOOKUP(A154,'3rdPhaseChipSeal'!A:L,12,FALSE))</f>
        <v/>
      </c>
      <c r="AD154" s="38">
        <f>IFERROR(IF(VLOOKUP(A154,RpmContracts!A:C,3,FALSE)="","",VLOOKUP(A154,RpmContracts!A:C,3,FALSE)),"")</f>
        <v>2026</v>
      </c>
      <c r="AE154" s="7" t="str">
        <f>IF(VLOOKUP(A154,'20yPlan'!A:B,2,FALSE)="","",VLOOKUP(A154,'20yPlan'!A:B,2,FALSE))</f>
        <v/>
      </c>
      <c r="AF154" s="7" t="str">
        <f>IF(VLOOKUP(A154,'20yPlan'!A:C,3,FALSE)="","",VLOOKUP(A154,'20yPlan'!A:C,3,FALSE))</f>
        <v/>
      </c>
      <c r="AG154" s="7" t="str">
        <f>IF(VLOOKUP(A154,'20yPlan'!A:D,4,FALSE)="","",VLOOKUP(A154,'20yPlan'!A:D,4,FALSE))</f>
        <v/>
      </c>
      <c r="AH154" s="7" t="str">
        <f>IF(VLOOKUP(A154,'20yPlan'!A:E,5,FALSE)="","",VLOOKUP(A154,'20yPlan'!A:E,5,FALSE))</f>
        <v/>
      </c>
      <c r="AI154" s="7" t="str">
        <f>IF(VLOOKUP(A154,'20yPlan'!A:F,6,FALSE)="","",VLOOKUP(A154,'20yPlan'!A:F,6,FALSE))</f>
        <v/>
      </c>
      <c r="AJ154" s="7" t="str">
        <f t="shared" si="25"/>
        <v/>
      </c>
      <c r="AK154" s="7" t="str">
        <f t="shared" si="26"/>
        <v>2026 RPM Replacement</v>
      </c>
      <c r="AL154" s="39">
        <f t="shared" ca="1" si="27"/>
        <v>2025</v>
      </c>
      <c r="AM154" s="7">
        <f t="shared" si="28"/>
        <v>2026</v>
      </c>
      <c r="AN154" s="7" t="str">
        <f t="shared" si="29"/>
        <v>2026 RPM Replacement</v>
      </c>
    </row>
    <row r="155" spans="1:40">
      <c r="A155" s="6">
        <v>60161</v>
      </c>
      <c r="B155" s="6" t="s">
        <v>555</v>
      </c>
      <c r="C155" s="6" t="s">
        <v>580</v>
      </c>
      <c r="D155" s="6">
        <v>59.625</v>
      </c>
      <c r="E155" s="6">
        <v>66.471132999999995</v>
      </c>
      <c r="F155" s="6" t="s">
        <v>579</v>
      </c>
      <c r="G155" s="6" t="s">
        <v>581</v>
      </c>
      <c r="H155" s="35">
        <v>101720</v>
      </c>
      <c r="I155" s="6" t="s">
        <v>195</v>
      </c>
      <c r="J155" s="6">
        <v>2</v>
      </c>
      <c r="K155" s="6">
        <v>2028</v>
      </c>
      <c r="L155" s="6">
        <v>2</v>
      </c>
      <c r="M155" s="6" t="s">
        <v>45</v>
      </c>
      <c r="N155" s="6" t="s">
        <v>250</v>
      </c>
      <c r="O155" s="6" t="s">
        <v>196</v>
      </c>
      <c r="P155" s="6" t="s">
        <v>201</v>
      </c>
      <c r="Q155" s="6" t="s">
        <v>198</v>
      </c>
      <c r="R155" s="6">
        <v>613</v>
      </c>
      <c r="S155" s="6">
        <v>36</v>
      </c>
      <c r="T155" s="36" t="s">
        <v>253</v>
      </c>
      <c r="U155" s="46">
        <f>IF($L155&lt;=2,
IF($R155&lt;=RpmDesignStandard!$C$2,RpmDesignStandard!$D$2,
IF(AND($R155&gt;RpmDesignStandard!$B$3,$R155&lt;=RpmDesignStandard!$C$3),RpmDesignStandard!$D$3,RpmDesignStandard!$D$4)),
IF($R155&lt;=RpmDesignStandard!$C$5, RpmDesignStandard!$D$5,
IF(AND($R155&gt;RpmDesignStandard!$B$6,$R155&lt;=RpmDesignStandard!$C$6),RpmDesignStandard!$D$6,
IF(AND($R155&gt;RpmDesignStandard!$B$7,$R155&lt;=RpmDesignStandard!$C$7),RpmDesignStandard!$D$7,RpmDesignStandard!$D$8))))</f>
        <v>4</v>
      </c>
      <c r="V155" s="47">
        <f>U155*RpmDesignStandard!$H$1</f>
        <v>8</v>
      </c>
      <c r="W155" s="37">
        <f>VLOOKUP(A155,RPM_ProjectRecord!A:AB,8,FALSE)</f>
        <v>2021</v>
      </c>
      <c r="X155" s="38" t="str">
        <f t="shared" si="20"/>
        <v/>
      </c>
      <c r="Y155" s="38" t="str">
        <f t="shared" si="21"/>
        <v/>
      </c>
      <c r="Z155" s="38" t="str">
        <f t="shared" si="22"/>
        <v/>
      </c>
      <c r="AA155" s="38" t="str">
        <f t="shared" si="23"/>
        <v/>
      </c>
      <c r="AB155" s="38" t="str">
        <f t="shared" si="24"/>
        <v/>
      </c>
      <c r="AC155" s="38">
        <f>IF(VLOOKUP(A155,'3rdPhaseChipSeal'!A:L,12,FALSE)="","",VLOOKUP(A155,'3rdPhaseChipSeal'!A:L,12,FALSE))</f>
        <v>2042</v>
      </c>
      <c r="AD155" s="38">
        <f>IFERROR(IF(VLOOKUP(A155,RpmContracts!A:C,3,FALSE)="","",VLOOKUP(A155,RpmContracts!A:C,3,FALSE)),"")</f>
        <v>2026</v>
      </c>
      <c r="AE155" s="7" t="str">
        <f>IF(VLOOKUP(A155,'20yPlan'!A:B,2,FALSE)="","",VLOOKUP(A155,'20yPlan'!A:B,2,FALSE))</f>
        <v/>
      </c>
      <c r="AF155" s="7" t="str">
        <f>IF(VLOOKUP(A155,'20yPlan'!A:C,3,FALSE)="","",VLOOKUP(A155,'20yPlan'!A:C,3,FALSE))</f>
        <v/>
      </c>
      <c r="AG155" s="7" t="str">
        <f>IF(VLOOKUP(A155,'20yPlan'!A:D,4,FALSE)="","",VLOOKUP(A155,'20yPlan'!A:D,4,FALSE))</f>
        <v/>
      </c>
      <c r="AH155" s="7" t="str">
        <f>IF(VLOOKUP(A155,'20yPlan'!A:E,5,FALSE)="","",VLOOKUP(A155,'20yPlan'!A:E,5,FALSE))</f>
        <v/>
      </c>
      <c r="AI155" s="7" t="str">
        <f>IF(VLOOKUP(A155,'20yPlan'!A:F,6,FALSE)="","",VLOOKUP(A155,'20yPlan'!A:F,6,FALSE))</f>
        <v/>
      </c>
      <c r="AJ155" s="7" t="str">
        <f t="shared" si="25"/>
        <v>2042 Chip Seal</v>
      </c>
      <c r="AK155" s="7" t="str">
        <f t="shared" si="26"/>
        <v>2026 RPM Replacement</v>
      </c>
      <c r="AL155" s="39">
        <f t="shared" ca="1" si="27"/>
        <v>2025</v>
      </c>
      <c r="AM155" s="7">
        <f t="shared" si="28"/>
        <v>2026</v>
      </c>
      <c r="AN155" s="7" t="str">
        <f t="shared" si="29"/>
        <v>2026 RPM Replacement</v>
      </c>
    </row>
    <row r="156" spans="1:40">
      <c r="A156" s="6">
        <v>60162</v>
      </c>
      <c r="B156" s="6" t="s">
        <v>582</v>
      </c>
      <c r="C156" s="6" t="s">
        <v>583</v>
      </c>
      <c r="D156" s="6">
        <v>0</v>
      </c>
      <c r="E156" s="6">
        <v>1.6047370000000001</v>
      </c>
      <c r="F156" s="6" t="s">
        <v>53</v>
      </c>
      <c r="G156" s="6" t="s">
        <v>584</v>
      </c>
      <c r="H156" s="35">
        <v>32177</v>
      </c>
      <c r="I156" s="6" t="s">
        <v>44</v>
      </c>
      <c r="J156" s="6">
        <v>20</v>
      </c>
      <c r="K156" s="6"/>
      <c r="L156" s="6">
        <v>2</v>
      </c>
      <c r="M156" s="6" t="s">
        <v>45</v>
      </c>
      <c r="N156" s="6" t="s">
        <v>250</v>
      </c>
      <c r="O156" s="6" t="s">
        <v>165</v>
      </c>
      <c r="P156" s="6" t="s">
        <v>165</v>
      </c>
      <c r="Q156" s="6" t="s">
        <v>132</v>
      </c>
      <c r="R156" s="35">
        <v>1176</v>
      </c>
      <c r="S156" s="6">
        <v>68</v>
      </c>
      <c r="T156" s="36" t="s">
        <v>50</v>
      </c>
      <c r="U156" s="46">
        <f>IF($L156&lt;=2,
IF($R156&lt;=RpmDesignStandard!$C$2,RpmDesignStandard!$D$2,
IF(AND($R156&gt;RpmDesignStandard!$B$3,$R156&lt;=RpmDesignStandard!$C$3),RpmDesignStandard!$D$3,RpmDesignStandard!$D$4)),
IF($R156&lt;=RpmDesignStandard!$C$5, RpmDesignStandard!$D$5,
IF(AND($R156&gt;RpmDesignStandard!$B$6,$R156&lt;=RpmDesignStandard!$C$6),RpmDesignStandard!$D$6,
IF(AND($R156&gt;RpmDesignStandard!$B$7,$R156&lt;=RpmDesignStandard!$C$7),RpmDesignStandard!$D$7,RpmDesignStandard!$D$8))))</f>
        <v>4</v>
      </c>
      <c r="V156" s="47">
        <f>U156*RpmDesignStandard!$H$1</f>
        <v>8</v>
      </c>
      <c r="W156" s="37">
        <f>VLOOKUP(A156,RPM_ProjectRecord!A:AB,8,FALSE)</f>
        <v>2024</v>
      </c>
      <c r="X156" s="38" t="str">
        <f t="shared" si="20"/>
        <v/>
      </c>
      <c r="Y156" s="38" t="str">
        <f t="shared" si="21"/>
        <v/>
      </c>
      <c r="Z156" s="38" t="str">
        <f t="shared" si="22"/>
        <v/>
      </c>
      <c r="AA156" s="38" t="str">
        <f t="shared" si="23"/>
        <v/>
      </c>
      <c r="AB156" s="38" t="str">
        <f t="shared" si="24"/>
        <v/>
      </c>
      <c r="AC156" s="38" t="str">
        <f>IF(VLOOKUP(A156,'3rdPhaseChipSeal'!A:L,12,FALSE)="","",VLOOKUP(A156,'3rdPhaseChipSeal'!A:L,12,FALSE))</f>
        <v/>
      </c>
      <c r="AD156" s="38" t="str">
        <f>IFERROR(IF(VLOOKUP(A156,RpmContracts!A:C,3,FALSE)="","",VLOOKUP(A156,RpmContracts!A:C,3,FALSE)),"")</f>
        <v/>
      </c>
      <c r="AE156" s="7" t="str">
        <f>IF(VLOOKUP(A156,'20yPlan'!A:B,2,FALSE)="","",VLOOKUP(A156,'20yPlan'!A:B,2,FALSE))</f>
        <v/>
      </c>
      <c r="AF156" s="7" t="str">
        <f>IF(VLOOKUP(A156,'20yPlan'!A:C,3,FALSE)="","",VLOOKUP(A156,'20yPlan'!A:C,3,FALSE))</f>
        <v/>
      </c>
      <c r="AG156" s="7" t="str">
        <f>IF(VLOOKUP(A156,'20yPlan'!A:D,4,FALSE)="","",VLOOKUP(A156,'20yPlan'!A:D,4,FALSE))</f>
        <v/>
      </c>
      <c r="AH156" s="7" t="str">
        <f>IF(VLOOKUP(A156,'20yPlan'!A:E,5,FALSE)="","",VLOOKUP(A156,'20yPlan'!A:E,5,FALSE))</f>
        <v/>
      </c>
      <c r="AI156" s="7" t="str">
        <f>IF(VLOOKUP(A156,'20yPlan'!A:F,6,FALSE)="","",VLOOKUP(A156,'20yPlan'!A:F,6,FALSE))</f>
        <v/>
      </c>
      <c r="AJ156" s="7" t="str">
        <f t="shared" si="25"/>
        <v/>
      </c>
      <c r="AK156" s="7" t="str">
        <f t="shared" si="26"/>
        <v/>
      </c>
      <c r="AL156" s="39">
        <f t="shared" ca="1" si="27"/>
        <v>2028</v>
      </c>
      <c r="AM156" s="7" t="str">
        <f t="shared" si="28"/>
        <v/>
      </c>
      <c r="AN156" s="7" t="str">
        <f t="shared" si="29"/>
        <v/>
      </c>
    </row>
    <row r="157" spans="1:40">
      <c r="A157" s="6">
        <v>60163</v>
      </c>
      <c r="B157" s="6" t="s">
        <v>582</v>
      </c>
      <c r="C157" s="6" t="s">
        <v>585</v>
      </c>
      <c r="D157" s="6">
        <v>1.6047370000000001</v>
      </c>
      <c r="E157" s="6">
        <v>10.79987</v>
      </c>
      <c r="F157" s="6" t="s">
        <v>584</v>
      </c>
      <c r="G157" s="6" t="s">
        <v>586</v>
      </c>
      <c r="H157" s="35">
        <v>146629</v>
      </c>
      <c r="I157" s="6" t="s">
        <v>195</v>
      </c>
      <c r="J157" s="6">
        <v>20</v>
      </c>
      <c r="K157" s="6">
        <v>2025</v>
      </c>
      <c r="L157" s="6">
        <v>2</v>
      </c>
      <c r="M157" s="6" t="s">
        <v>45</v>
      </c>
      <c r="N157" s="6" t="s">
        <v>250</v>
      </c>
      <c r="O157" s="6" t="s">
        <v>165</v>
      </c>
      <c r="P157" s="6" t="s">
        <v>165</v>
      </c>
      <c r="Q157" s="6" t="s">
        <v>587</v>
      </c>
      <c r="R157" s="35">
        <v>2173</v>
      </c>
      <c r="S157" s="6">
        <v>261</v>
      </c>
      <c r="T157" s="36" t="s">
        <v>253</v>
      </c>
      <c r="U157" s="46">
        <f>IF($L157&lt;=2,
IF($R157&lt;=RpmDesignStandard!$C$2,RpmDesignStandard!$D$2,
IF(AND($R157&gt;RpmDesignStandard!$B$3,$R157&lt;=RpmDesignStandard!$C$3),RpmDesignStandard!$D$3,RpmDesignStandard!$D$4)),
IF($R157&lt;=RpmDesignStandard!$C$5, RpmDesignStandard!$D$5,
IF(AND($R157&gt;RpmDesignStandard!$B$6,$R157&lt;=RpmDesignStandard!$C$6),RpmDesignStandard!$D$6,
IF(AND($R157&gt;RpmDesignStandard!$B$7,$R157&lt;=RpmDesignStandard!$C$7),RpmDesignStandard!$D$7,RpmDesignStandard!$D$8))))</f>
        <v>4</v>
      </c>
      <c r="V157" s="47">
        <f>U157*RpmDesignStandard!$H$1</f>
        <v>8</v>
      </c>
      <c r="W157" s="37" t="str">
        <f>VLOOKUP(A157,RPM_ProjectRecord!A:AB,8,FALSE)</f>
        <v/>
      </c>
      <c r="X157" s="38" t="str">
        <f t="shared" si="20"/>
        <v/>
      </c>
      <c r="Y157" s="38" t="str">
        <f t="shared" si="21"/>
        <v/>
      </c>
      <c r="Z157" s="38" t="str">
        <f t="shared" si="22"/>
        <v/>
      </c>
      <c r="AA157" s="38" t="str">
        <f t="shared" si="23"/>
        <v/>
      </c>
      <c r="AB157" s="38" t="str">
        <f t="shared" si="24"/>
        <v/>
      </c>
      <c r="AC157" s="38">
        <f>IF(VLOOKUP(A157,'3rdPhaseChipSeal'!A:L,12,FALSE)="","",VLOOKUP(A157,'3rdPhaseChipSeal'!A:L,12,FALSE))</f>
        <v>2031</v>
      </c>
      <c r="AD157" s="38" t="str">
        <f>IFERROR(IF(VLOOKUP(A157,RpmContracts!A:C,3,FALSE)="","",VLOOKUP(A157,RpmContracts!A:C,3,FALSE)),"")</f>
        <v/>
      </c>
      <c r="AE157" s="7" t="str">
        <f>IF(VLOOKUP(A157,'20yPlan'!A:B,2,FALSE)="","",VLOOKUP(A157,'20yPlan'!A:B,2,FALSE))</f>
        <v/>
      </c>
      <c r="AF157" s="7" t="str">
        <f>IF(VLOOKUP(A157,'20yPlan'!A:C,3,FALSE)="","",VLOOKUP(A157,'20yPlan'!A:C,3,FALSE))</f>
        <v/>
      </c>
      <c r="AG157" s="7" t="str">
        <f>IF(VLOOKUP(A157,'20yPlan'!A:D,4,FALSE)="","",VLOOKUP(A157,'20yPlan'!A:D,4,FALSE))</f>
        <v/>
      </c>
      <c r="AH157" s="7" t="str">
        <f>IF(VLOOKUP(A157,'20yPlan'!A:E,5,FALSE)="","",VLOOKUP(A157,'20yPlan'!A:E,5,FALSE))</f>
        <v/>
      </c>
      <c r="AI157" s="7" t="str">
        <f>IF(VLOOKUP(A157,'20yPlan'!A:F,6,FALSE)="","",VLOOKUP(A157,'20yPlan'!A:F,6,FALSE))</f>
        <v/>
      </c>
      <c r="AJ157" s="7" t="str">
        <f t="shared" si="25"/>
        <v>2031 Chip Seal</v>
      </c>
      <c r="AK157" s="7" t="str">
        <f t="shared" si="26"/>
        <v/>
      </c>
      <c r="AL157" s="39">
        <f t="shared" ca="1" si="27"/>
        <v>2025</v>
      </c>
      <c r="AM157" s="7" t="str">
        <f t="shared" si="28"/>
        <v/>
      </c>
      <c r="AN157" s="7" t="str">
        <f t="shared" si="29"/>
        <v/>
      </c>
    </row>
    <row r="158" spans="1:40">
      <c r="A158" s="6">
        <v>60164</v>
      </c>
      <c r="B158" s="6" t="s">
        <v>582</v>
      </c>
      <c r="C158" s="6" t="s">
        <v>588</v>
      </c>
      <c r="D158" s="6">
        <v>11.846913000000001</v>
      </c>
      <c r="E158" s="6">
        <v>18.712309000000001</v>
      </c>
      <c r="F158" s="6" t="s">
        <v>589</v>
      </c>
      <c r="G158" s="6" t="s">
        <v>590</v>
      </c>
      <c r="H158" s="35">
        <v>114934</v>
      </c>
      <c r="I158" s="6" t="s">
        <v>195</v>
      </c>
      <c r="J158" s="6">
        <v>17</v>
      </c>
      <c r="K158" s="6">
        <v>2026</v>
      </c>
      <c r="L158" s="6">
        <v>2</v>
      </c>
      <c r="M158" s="6" t="s">
        <v>45</v>
      </c>
      <c r="N158" s="6" t="s">
        <v>250</v>
      </c>
      <c r="O158" s="6" t="s">
        <v>165</v>
      </c>
      <c r="P158" s="6" t="s">
        <v>165</v>
      </c>
      <c r="Q158" s="6" t="s">
        <v>240</v>
      </c>
      <c r="R158" s="35">
        <v>3861</v>
      </c>
      <c r="S158" s="6">
        <v>463</v>
      </c>
      <c r="T158" s="36" t="s">
        <v>253</v>
      </c>
      <c r="U158" s="46">
        <f>IF($L158&lt;=2,
IF($R158&lt;=RpmDesignStandard!$C$2,RpmDesignStandard!$D$2,
IF(AND($R158&gt;RpmDesignStandard!$B$3,$R158&lt;=RpmDesignStandard!$C$3),RpmDesignStandard!$D$3,RpmDesignStandard!$D$4)),
IF($R158&lt;=RpmDesignStandard!$C$5, RpmDesignStandard!$D$5,
IF(AND($R158&gt;RpmDesignStandard!$B$6,$R158&lt;=RpmDesignStandard!$C$6),RpmDesignStandard!$D$6,
IF(AND($R158&gt;RpmDesignStandard!$B$7,$R158&lt;=RpmDesignStandard!$C$7),RpmDesignStandard!$D$7,RpmDesignStandard!$D$8))))</f>
        <v>4</v>
      </c>
      <c r="V158" s="47">
        <f>U158*RpmDesignStandard!$H$1</f>
        <v>8</v>
      </c>
      <c r="W158" s="37">
        <f>VLOOKUP(A158,RPM_ProjectRecord!A:AB,8,FALSE)</f>
        <v>2024</v>
      </c>
      <c r="X158" s="38" t="str">
        <f t="shared" si="20"/>
        <v/>
      </c>
      <c r="Y158" s="38" t="str">
        <f t="shared" si="21"/>
        <v/>
      </c>
      <c r="Z158" s="38" t="str">
        <f t="shared" si="22"/>
        <v/>
      </c>
      <c r="AA158" s="38" t="str">
        <f t="shared" si="23"/>
        <v/>
      </c>
      <c r="AB158" s="38" t="str">
        <f t="shared" si="24"/>
        <v/>
      </c>
      <c r="AC158" s="38">
        <f>IF(VLOOKUP(A158,'3rdPhaseChipSeal'!A:L,12,FALSE)="","",VLOOKUP(A158,'3rdPhaseChipSeal'!A:L,12,FALSE))</f>
        <v>2040</v>
      </c>
      <c r="AD158" s="38" t="str">
        <f>IFERROR(IF(VLOOKUP(A158,RpmContracts!A:C,3,FALSE)="","",VLOOKUP(A158,RpmContracts!A:C,3,FALSE)),"")</f>
        <v/>
      </c>
      <c r="AE158" s="7" t="str">
        <f>IF(VLOOKUP(A158,'20yPlan'!A:B,2,FALSE)="","",VLOOKUP(A158,'20yPlan'!A:B,2,FALSE))</f>
        <v/>
      </c>
      <c r="AF158" s="7" t="str">
        <f>IF(VLOOKUP(A158,'20yPlan'!A:C,3,FALSE)="","",VLOOKUP(A158,'20yPlan'!A:C,3,FALSE))</f>
        <v/>
      </c>
      <c r="AG158" s="7" t="str">
        <f>IF(VLOOKUP(A158,'20yPlan'!A:D,4,FALSE)="","",VLOOKUP(A158,'20yPlan'!A:D,4,FALSE))</f>
        <v/>
      </c>
      <c r="AH158" s="7" t="str">
        <f>IF(VLOOKUP(A158,'20yPlan'!A:E,5,FALSE)="","",VLOOKUP(A158,'20yPlan'!A:E,5,FALSE))</f>
        <v/>
      </c>
      <c r="AI158" s="7" t="str">
        <f>IF(VLOOKUP(A158,'20yPlan'!A:F,6,FALSE)="","",VLOOKUP(A158,'20yPlan'!A:F,6,FALSE))</f>
        <v/>
      </c>
      <c r="AJ158" s="7" t="str">
        <f t="shared" si="25"/>
        <v>2040 Chip Seal</v>
      </c>
      <c r="AK158" s="7" t="str">
        <f t="shared" si="26"/>
        <v/>
      </c>
      <c r="AL158" s="39">
        <f t="shared" ca="1" si="27"/>
        <v>2028</v>
      </c>
      <c r="AM158" s="7" t="str">
        <f t="shared" si="28"/>
        <v/>
      </c>
      <c r="AN158" s="7" t="str">
        <f t="shared" si="29"/>
        <v/>
      </c>
    </row>
    <row r="159" spans="1:40">
      <c r="A159" s="6">
        <v>60165</v>
      </c>
      <c r="B159" s="6" t="s">
        <v>591</v>
      </c>
      <c r="C159" s="6" t="s">
        <v>592</v>
      </c>
      <c r="D159" s="6">
        <v>0</v>
      </c>
      <c r="E159" s="6">
        <v>8.8407330000000002</v>
      </c>
      <c r="F159" s="6" t="s">
        <v>593</v>
      </c>
      <c r="G159" s="6" t="s">
        <v>594</v>
      </c>
      <c r="H159" s="35">
        <v>167414</v>
      </c>
      <c r="I159" s="6" t="s">
        <v>195</v>
      </c>
      <c r="J159" s="6">
        <v>6</v>
      </c>
      <c r="K159" s="6">
        <v>2027</v>
      </c>
      <c r="L159" s="6">
        <v>2</v>
      </c>
      <c r="M159" s="6" t="s">
        <v>45</v>
      </c>
      <c r="N159" s="6" t="s">
        <v>250</v>
      </c>
      <c r="O159" s="6" t="s">
        <v>196</v>
      </c>
      <c r="P159" s="6" t="s">
        <v>197</v>
      </c>
      <c r="Q159" s="6" t="s">
        <v>198</v>
      </c>
      <c r="R159" s="35">
        <v>2238</v>
      </c>
      <c r="S159" s="6">
        <v>232</v>
      </c>
      <c r="T159" s="36" t="s">
        <v>253</v>
      </c>
      <c r="U159" s="46">
        <f>IF($L159&lt;=2,
IF($R159&lt;=RpmDesignStandard!$C$2,RpmDesignStandard!$D$2,
IF(AND($R159&gt;RpmDesignStandard!$B$3,$R159&lt;=RpmDesignStandard!$C$3),RpmDesignStandard!$D$3,RpmDesignStandard!$D$4)),
IF($R159&lt;=RpmDesignStandard!$C$5, RpmDesignStandard!$D$5,
IF(AND($R159&gt;RpmDesignStandard!$B$6,$R159&lt;=RpmDesignStandard!$C$6),RpmDesignStandard!$D$6,
IF(AND($R159&gt;RpmDesignStandard!$B$7,$R159&lt;=RpmDesignStandard!$C$7),RpmDesignStandard!$D$7,RpmDesignStandard!$D$8))))</f>
        <v>4</v>
      </c>
      <c r="V159" s="47">
        <f>U159*RpmDesignStandard!$H$1</f>
        <v>8</v>
      </c>
      <c r="W159" s="37" t="str">
        <f>VLOOKUP(A159,RPM_ProjectRecord!A:AB,8,FALSE)</f>
        <v/>
      </c>
      <c r="X159" s="38" t="str">
        <f t="shared" si="20"/>
        <v/>
      </c>
      <c r="Y159" s="38" t="str">
        <f t="shared" si="21"/>
        <v/>
      </c>
      <c r="Z159" s="38" t="str">
        <f t="shared" si="22"/>
        <v/>
      </c>
      <c r="AA159" s="38" t="str">
        <f t="shared" si="23"/>
        <v/>
      </c>
      <c r="AB159" s="38" t="str">
        <f t="shared" si="24"/>
        <v/>
      </c>
      <c r="AC159" s="38">
        <f>IF(VLOOKUP(A159,'3rdPhaseChipSeal'!A:L,12,FALSE)="","",VLOOKUP(A159,'3rdPhaseChipSeal'!A:L,12,FALSE))</f>
        <v>2039</v>
      </c>
      <c r="AD159" s="38" t="str">
        <f>IFERROR(IF(VLOOKUP(A159,RpmContracts!A:C,3,FALSE)="","",VLOOKUP(A159,RpmContracts!A:C,3,FALSE)),"")</f>
        <v/>
      </c>
      <c r="AE159" s="7" t="str">
        <f>IF(VLOOKUP(A159,'20yPlan'!A:B,2,FALSE)="","",VLOOKUP(A159,'20yPlan'!A:B,2,FALSE))</f>
        <v/>
      </c>
      <c r="AF159" s="7" t="str">
        <f>IF(VLOOKUP(A159,'20yPlan'!A:C,3,FALSE)="","",VLOOKUP(A159,'20yPlan'!A:C,3,FALSE))</f>
        <v/>
      </c>
      <c r="AG159" s="7" t="str">
        <f>IF(VLOOKUP(A159,'20yPlan'!A:D,4,FALSE)="","",VLOOKUP(A159,'20yPlan'!A:D,4,FALSE))</f>
        <v/>
      </c>
      <c r="AH159" s="7" t="str">
        <f>IF(VLOOKUP(A159,'20yPlan'!A:E,5,FALSE)="","",VLOOKUP(A159,'20yPlan'!A:E,5,FALSE))</f>
        <v/>
      </c>
      <c r="AI159" s="7" t="str">
        <f>IF(VLOOKUP(A159,'20yPlan'!A:F,6,FALSE)="","",VLOOKUP(A159,'20yPlan'!A:F,6,FALSE))</f>
        <v/>
      </c>
      <c r="AJ159" s="7" t="str">
        <f t="shared" si="25"/>
        <v>2039 Chip Seal</v>
      </c>
      <c r="AK159" s="7" t="str">
        <f t="shared" si="26"/>
        <v/>
      </c>
      <c r="AL159" s="39">
        <f t="shared" ca="1" si="27"/>
        <v>2025</v>
      </c>
      <c r="AM159" s="7" t="str">
        <f t="shared" si="28"/>
        <v/>
      </c>
      <c r="AN159" s="7" t="str">
        <f t="shared" si="29"/>
        <v/>
      </c>
    </row>
    <row r="160" spans="1:40">
      <c r="A160" s="6">
        <v>60166</v>
      </c>
      <c r="B160" s="6" t="s">
        <v>591</v>
      </c>
      <c r="C160" s="6" t="s">
        <v>595</v>
      </c>
      <c r="D160" s="6">
        <v>8.8417329999999996</v>
      </c>
      <c r="E160" s="6">
        <v>20.140032999999999</v>
      </c>
      <c r="F160" s="6" t="s">
        <v>596</v>
      </c>
      <c r="G160" s="6" t="s">
        <v>597</v>
      </c>
      <c r="H160" s="35">
        <v>201896</v>
      </c>
      <c r="I160" s="6" t="s">
        <v>195</v>
      </c>
      <c r="J160" s="6">
        <v>2</v>
      </c>
      <c r="K160" s="6">
        <v>2029</v>
      </c>
      <c r="L160" s="6">
        <v>2</v>
      </c>
      <c r="M160" s="6" t="s">
        <v>45</v>
      </c>
      <c r="N160" s="6" t="s">
        <v>46</v>
      </c>
      <c r="O160" s="6" t="s">
        <v>196</v>
      </c>
      <c r="P160" s="6" t="s">
        <v>197</v>
      </c>
      <c r="Q160" s="6" t="s">
        <v>598</v>
      </c>
      <c r="R160" s="35">
        <v>3518</v>
      </c>
      <c r="S160" s="6">
        <v>445</v>
      </c>
      <c r="T160" s="36" t="s">
        <v>253</v>
      </c>
      <c r="U160" s="46">
        <f>IF($L160&lt;=2,
IF($R160&lt;=RpmDesignStandard!$C$2,RpmDesignStandard!$D$2,
IF(AND($R160&gt;RpmDesignStandard!$B$3,$R160&lt;=RpmDesignStandard!$C$3),RpmDesignStandard!$D$3,RpmDesignStandard!$D$4)),
IF($R160&lt;=RpmDesignStandard!$C$5, RpmDesignStandard!$D$5,
IF(AND($R160&gt;RpmDesignStandard!$B$6,$R160&lt;=RpmDesignStandard!$C$6),RpmDesignStandard!$D$6,
IF(AND($R160&gt;RpmDesignStandard!$B$7,$R160&lt;=RpmDesignStandard!$C$7),RpmDesignStandard!$D$7,RpmDesignStandard!$D$8))))</f>
        <v>4</v>
      </c>
      <c r="V160" s="47">
        <f>U160*RpmDesignStandard!$H$1</f>
        <v>8</v>
      </c>
      <c r="W160" s="37">
        <f>VLOOKUP(A160,RPM_ProjectRecord!A:AB,8,FALSE)</f>
        <v>2021</v>
      </c>
      <c r="X160" s="38" t="str">
        <f t="shared" si="20"/>
        <v/>
      </c>
      <c r="Y160" s="38" t="str">
        <f t="shared" si="21"/>
        <v/>
      </c>
      <c r="Z160" s="38" t="str">
        <f t="shared" si="22"/>
        <v/>
      </c>
      <c r="AA160" s="38" t="str">
        <f t="shared" si="23"/>
        <v/>
      </c>
      <c r="AB160" s="38" t="str">
        <f t="shared" si="24"/>
        <v/>
      </c>
      <c r="AC160" s="38">
        <f>IF(VLOOKUP(A160,'3rdPhaseChipSeal'!A:L,12,FALSE)="","",VLOOKUP(A160,'3rdPhaseChipSeal'!A:L,12,FALSE))</f>
        <v>2043</v>
      </c>
      <c r="AD160" s="38" t="str">
        <f>IFERROR(IF(VLOOKUP(A160,RpmContracts!A:C,3,FALSE)="","",VLOOKUP(A160,RpmContracts!A:C,3,FALSE)),"")</f>
        <v/>
      </c>
      <c r="AE160" s="7" t="str">
        <f>IF(VLOOKUP(A160,'20yPlan'!A:B,2,FALSE)="","",VLOOKUP(A160,'20yPlan'!A:B,2,FALSE))</f>
        <v/>
      </c>
      <c r="AF160" s="7" t="str">
        <f>IF(VLOOKUP(A160,'20yPlan'!A:C,3,FALSE)="","",VLOOKUP(A160,'20yPlan'!A:C,3,FALSE))</f>
        <v/>
      </c>
      <c r="AG160" s="7" t="str">
        <f>IF(VLOOKUP(A160,'20yPlan'!A:D,4,FALSE)="","",VLOOKUP(A160,'20yPlan'!A:D,4,FALSE))</f>
        <v/>
      </c>
      <c r="AH160" s="7" t="str">
        <f>IF(VLOOKUP(A160,'20yPlan'!A:E,5,FALSE)="","",VLOOKUP(A160,'20yPlan'!A:E,5,FALSE))</f>
        <v/>
      </c>
      <c r="AI160" s="7" t="str">
        <f>IF(VLOOKUP(A160,'20yPlan'!A:F,6,FALSE)="","",VLOOKUP(A160,'20yPlan'!A:F,6,FALSE))</f>
        <v/>
      </c>
      <c r="AJ160" s="7" t="str">
        <f t="shared" si="25"/>
        <v>2043 Chip Seal</v>
      </c>
      <c r="AK160" s="7" t="str">
        <f t="shared" si="26"/>
        <v/>
      </c>
      <c r="AL160" s="39">
        <f t="shared" ca="1" si="27"/>
        <v>2025</v>
      </c>
      <c r="AM160" s="7" t="str">
        <f t="shared" si="28"/>
        <v/>
      </c>
      <c r="AN160" s="7" t="str">
        <f t="shared" si="29"/>
        <v/>
      </c>
    </row>
    <row r="161" spans="1:40">
      <c r="A161" s="6">
        <v>60167</v>
      </c>
      <c r="B161" s="6" t="s">
        <v>599</v>
      </c>
      <c r="C161" s="6" t="s">
        <v>600</v>
      </c>
      <c r="D161" s="6">
        <v>0</v>
      </c>
      <c r="E161" s="6">
        <v>8.8229980000000001</v>
      </c>
      <c r="F161" s="6" t="s">
        <v>53</v>
      </c>
      <c r="G161" s="6" t="s">
        <v>601</v>
      </c>
      <c r="H161" s="35">
        <v>244874</v>
      </c>
      <c r="I161" s="6" t="s">
        <v>195</v>
      </c>
      <c r="J161" s="6">
        <v>8</v>
      </c>
      <c r="K161" s="6">
        <v>2032</v>
      </c>
      <c r="L161" s="6">
        <v>2</v>
      </c>
      <c r="M161" s="6" t="s">
        <v>111</v>
      </c>
      <c r="N161" s="6" t="s">
        <v>250</v>
      </c>
      <c r="O161" s="6" t="s">
        <v>61</v>
      </c>
      <c r="P161" s="6" t="s">
        <v>70</v>
      </c>
      <c r="Q161" s="6" t="s">
        <v>382</v>
      </c>
      <c r="R161" s="35">
        <v>3680</v>
      </c>
      <c r="S161" s="6">
        <v>233</v>
      </c>
      <c r="T161" s="36" t="s">
        <v>50</v>
      </c>
      <c r="U161" s="46">
        <f>IF($L161&lt;=2,
IF($R161&lt;=RpmDesignStandard!$C$2,RpmDesignStandard!$D$2,
IF(AND($R161&gt;RpmDesignStandard!$B$3,$R161&lt;=RpmDesignStandard!$C$3),RpmDesignStandard!$D$3,RpmDesignStandard!$D$4)),
IF($R161&lt;=RpmDesignStandard!$C$5, RpmDesignStandard!$D$5,
IF(AND($R161&gt;RpmDesignStandard!$B$6,$R161&lt;=RpmDesignStandard!$C$6),RpmDesignStandard!$D$6,
IF(AND($R161&gt;RpmDesignStandard!$B$7,$R161&lt;=RpmDesignStandard!$C$7),RpmDesignStandard!$D$7,RpmDesignStandard!$D$8))))</f>
        <v>4</v>
      </c>
      <c r="V161" s="47">
        <f>U161*RpmDesignStandard!$H$1</f>
        <v>8</v>
      </c>
      <c r="W161" s="37" t="str">
        <f>VLOOKUP(A161,RPM_ProjectRecord!A:AB,8,FALSE)</f>
        <v/>
      </c>
      <c r="X161" s="38">
        <f t="shared" si="20"/>
        <v>2032</v>
      </c>
      <c r="Y161" s="38" t="str">
        <f t="shared" si="21"/>
        <v/>
      </c>
      <c r="Z161" s="38" t="str">
        <f t="shared" si="22"/>
        <v/>
      </c>
      <c r="AA161" s="38" t="str">
        <f t="shared" si="23"/>
        <v/>
      </c>
      <c r="AB161" s="38" t="str">
        <f t="shared" si="24"/>
        <v/>
      </c>
      <c r="AC161" s="38" t="str">
        <f>IF(VLOOKUP(A161,'3rdPhaseChipSeal'!A:L,12,FALSE)="","",VLOOKUP(A161,'3rdPhaseChipSeal'!A:L,12,FALSE))</f>
        <v/>
      </c>
      <c r="AD161" s="38">
        <f>IFERROR(IF(VLOOKUP(A161,RpmContracts!A:C,3,FALSE)="","",VLOOKUP(A161,RpmContracts!A:C,3,FALSE)),"")</f>
        <v>2026</v>
      </c>
      <c r="AE161" s="7" t="str">
        <f>IF(VLOOKUP(A161,'20yPlan'!A:B,2,FALSE)="","",VLOOKUP(A161,'20yPlan'!A:B,2,FALSE))</f>
        <v>2032 Preventive Maintenance</v>
      </c>
      <c r="AF161" s="7" t="str">
        <f>IF(VLOOKUP(A161,'20yPlan'!A:C,3,FALSE)="","",VLOOKUP(A161,'20yPlan'!A:C,3,FALSE))</f>
        <v/>
      </c>
      <c r="AG161" s="7" t="str">
        <f>IF(VLOOKUP(A161,'20yPlan'!A:D,4,FALSE)="","",VLOOKUP(A161,'20yPlan'!A:D,4,FALSE))</f>
        <v/>
      </c>
      <c r="AH161" s="7" t="str">
        <f>IF(VLOOKUP(A161,'20yPlan'!A:E,5,FALSE)="","",VLOOKUP(A161,'20yPlan'!A:E,5,FALSE))</f>
        <v/>
      </c>
      <c r="AI161" s="7" t="str">
        <f>IF(VLOOKUP(A161,'20yPlan'!A:F,6,FALSE)="","",VLOOKUP(A161,'20yPlan'!A:F,6,FALSE))</f>
        <v/>
      </c>
      <c r="AJ161" s="7" t="str">
        <f t="shared" si="25"/>
        <v/>
      </c>
      <c r="AK161" s="7" t="str">
        <f t="shared" si="26"/>
        <v>2026 RPM Replacement</v>
      </c>
      <c r="AL161" s="39">
        <f t="shared" ca="1" si="27"/>
        <v>2025</v>
      </c>
      <c r="AM161" s="7">
        <f t="shared" si="28"/>
        <v>2026</v>
      </c>
      <c r="AN161" s="7" t="str">
        <f t="shared" si="29"/>
        <v>2026 RPM Replacement</v>
      </c>
    </row>
    <row r="162" spans="1:40">
      <c r="A162" s="6">
        <v>60168</v>
      </c>
      <c r="B162" s="6" t="s">
        <v>599</v>
      </c>
      <c r="C162" s="6" t="s">
        <v>602</v>
      </c>
      <c r="D162" s="6">
        <v>8.8229980000000001</v>
      </c>
      <c r="E162" s="6">
        <v>9.2745490000000004</v>
      </c>
      <c r="F162" s="6" t="s">
        <v>601</v>
      </c>
      <c r="G162" s="6" t="s">
        <v>603</v>
      </c>
      <c r="H162" s="35">
        <v>29625</v>
      </c>
      <c r="I162" s="6" t="s">
        <v>154</v>
      </c>
      <c r="J162" s="6">
        <v>1</v>
      </c>
      <c r="K162" s="6"/>
      <c r="L162" s="6">
        <v>4</v>
      </c>
      <c r="M162" s="6" t="s">
        <v>111</v>
      </c>
      <c r="N162" s="6" t="s">
        <v>250</v>
      </c>
      <c r="O162" s="6" t="s">
        <v>61</v>
      </c>
      <c r="P162" s="6" t="s">
        <v>381</v>
      </c>
      <c r="Q162" s="6" t="s">
        <v>382</v>
      </c>
      <c r="R162" s="35">
        <v>18159</v>
      </c>
      <c r="S162" s="35">
        <v>1020</v>
      </c>
      <c r="T162" s="36" t="s">
        <v>50</v>
      </c>
      <c r="U162" s="46">
        <f>IF($L162&lt;=2,
IF($R162&lt;=RpmDesignStandard!$C$2,RpmDesignStandard!$D$2,
IF(AND($R162&gt;RpmDesignStandard!$B$3,$R162&lt;=RpmDesignStandard!$C$3),RpmDesignStandard!$D$3,RpmDesignStandard!$D$4)),
IF($R162&lt;=RpmDesignStandard!$C$5, RpmDesignStandard!$D$5,
IF(AND($R162&gt;RpmDesignStandard!$B$6,$R162&lt;=RpmDesignStandard!$C$6),RpmDesignStandard!$D$6,
IF(AND($R162&gt;RpmDesignStandard!$B$7,$R162&lt;=RpmDesignStandard!$C$7),RpmDesignStandard!$D$7,RpmDesignStandard!$D$8))))</f>
        <v>3</v>
      </c>
      <c r="V162" s="47">
        <f>U162*RpmDesignStandard!$H$1</f>
        <v>6</v>
      </c>
      <c r="W162" s="37" t="str">
        <f>VLOOKUP(A162,RPM_ProjectRecord!A:AB,8,FALSE)</f>
        <v/>
      </c>
      <c r="X162" s="38" t="str">
        <f t="shared" si="20"/>
        <v/>
      </c>
      <c r="Y162" s="38" t="str">
        <f t="shared" si="21"/>
        <v/>
      </c>
      <c r="Z162" s="38" t="str">
        <f t="shared" si="22"/>
        <v/>
      </c>
      <c r="AA162" s="38" t="str">
        <f t="shared" si="23"/>
        <v/>
      </c>
      <c r="AB162" s="38" t="str">
        <f t="shared" si="24"/>
        <v/>
      </c>
      <c r="AC162" s="38" t="str">
        <f>IF(VLOOKUP(A162,'3rdPhaseChipSeal'!A:L,12,FALSE)="","",VLOOKUP(A162,'3rdPhaseChipSeal'!A:L,12,FALSE))</f>
        <v/>
      </c>
      <c r="AD162" s="38">
        <f>IFERROR(IF(VLOOKUP(A162,RpmContracts!A:C,3,FALSE)="","",VLOOKUP(A162,RpmContracts!A:C,3,FALSE)),"")</f>
        <v>2026</v>
      </c>
      <c r="AE162" s="7" t="str">
        <f>IF(VLOOKUP(A162,'20yPlan'!A:B,2,FALSE)="","",VLOOKUP(A162,'20yPlan'!A:B,2,FALSE))</f>
        <v/>
      </c>
      <c r="AF162" s="7" t="str">
        <f>IF(VLOOKUP(A162,'20yPlan'!A:C,3,FALSE)="","",VLOOKUP(A162,'20yPlan'!A:C,3,FALSE))</f>
        <v/>
      </c>
      <c r="AG162" s="7" t="str">
        <f>IF(VLOOKUP(A162,'20yPlan'!A:D,4,FALSE)="","",VLOOKUP(A162,'20yPlan'!A:D,4,FALSE))</f>
        <v/>
      </c>
      <c r="AH162" s="7" t="str">
        <f>IF(VLOOKUP(A162,'20yPlan'!A:E,5,FALSE)="","",VLOOKUP(A162,'20yPlan'!A:E,5,FALSE))</f>
        <v/>
      </c>
      <c r="AI162" s="7" t="str">
        <f>IF(VLOOKUP(A162,'20yPlan'!A:F,6,FALSE)="","",VLOOKUP(A162,'20yPlan'!A:F,6,FALSE))</f>
        <v/>
      </c>
      <c r="AJ162" s="7" t="str">
        <f t="shared" si="25"/>
        <v/>
      </c>
      <c r="AK162" s="7" t="str">
        <f t="shared" si="26"/>
        <v>2026 RPM Replacement</v>
      </c>
      <c r="AL162" s="39">
        <f t="shared" ca="1" si="27"/>
        <v>2025</v>
      </c>
      <c r="AM162" s="7">
        <f t="shared" si="28"/>
        <v>2026</v>
      </c>
      <c r="AN162" s="7" t="str">
        <f t="shared" si="29"/>
        <v>2026 RPM Replacement</v>
      </c>
    </row>
    <row r="163" spans="1:40">
      <c r="A163" s="6">
        <v>60169</v>
      </c>
      <c r="B163" s="6" t="s">
        <v>599</v>
      </c>
      <c r="C163" s="6" t="s">
        <v>604</v>
      </c>
      <c r="D163" s="6">
        <v>13.481595</v>
      </c>
      <c r="E163" s="6">
        <v>20.696159000000002</v>
      </c>
      <c r="F163" s="6" t="s">
        <v>605</v>
      </c>
      <c r="G163" s="6" t="s">
        <v>606</v>
      </c>
      <c r="H163" s="35">
        <v>124454</v>
      </c>
      <c r="I163" s="6" t="s">
        <v>195</v>
      </c>
      <c r="J163" s="6">
        <v>14</v>
      </c>
      <c r="K163" s="6">
        <v>2026</v>
      </c>
      <c r="L163" s="6">
        <v>2</v>
      </c>
      <c r="M163" s="6" t="s">
        <v>45</v>
      </c>
      <c r="N163" s="6" t="s">
        <v>250</v>
      </c>
      <c r="O163" s="6" t="s">
        <v>302</v>
      </c>
      <c r="P163" s="6" t="s">
        <v>607</v>
      </c>
      <c r="Q163" s="6" t="s">
        <v>382</v>
      </c>
      <c r="R163" s="35">
        <v>4290</v>
      </c>
      <c r="S163" s="6">
        <v>239</v>
      </c>
      <c r="T163" s="36" t="s">
        <v>304</v>
      </c>
      <c r="U163" s="46">
        <f>IF($L163&lt;=2,
IF($R163&lt;=RpmDesignStandard!$C$2,RpmDesignStandard!$D$2,
IF(AND($R163&gt;RpmDesignStandard!$B$3,$R163&lt;=RpmDesignStandard!$C$3),RpmDesignStandard!$D$3,RpmDesignStandard!$D$4)),
IF($R163&lt;=RpmDesignStandard!$C$5, RpmDesignStandard!$D$5,
IF(AND($R163&gt;RpmDesignStandard!$B$6,$R163&lt;=RpmDesignStandard!$C$6),RpmDesignStandard!$D$6,
IF(AND($R163&gt;RpmDesignStandard!$B$7,$R163&lt;=RpmDesignStandard!$C$7),RpmDesignStandard!$D$7,RpmDesignStandard!$D$8))))</f>
        <v>4</v>
      </c>
      <c r="V163" s="47">
        <f>U163*RpmDesignStandard!$H$1</f>
        <v>8</v>
      </c>
      <c r="W163" s="37" t="str">
        <f>VLOOKUP(A163,RPM_ProjectRecord!A:AB,8,FALSE)</f>
        <v/>
      </c>
      <c r="X163" s="38" t="str">
        <f t="shared" si="20"/>
        <v/>
      </c>
      <c r="Y163" s="38" t="str">
        <f t="shared" si="21"/>
        <v/>
      </c>
      <c r="Z163" s="38" t="str">
        <f t="shared" si="22"/>
        <v/>
      </c>
      <c r="AA163" s="38" t="str">
        <f t="shared" si="23"/>
        <v/>
      </c>
      <c r="AB163" s="38" t="str">
        <f t="shared" si="24"/>
        <v/>
      </c>
      <c r="AC163" s="38" t="str">
        <f>IF(VLOOKUP(A163,'3rdPhaseChipSeal'!A:L,12,FALSE)="","",VLOOKUP(A163,'3rdPhaseChipSeal'!A:L,12,FALSE))</f>
        <v/>
      </c>
      <c r="AD163" s="38" t="str">
        <f>IFERROR(IF(VLOOKUP(A163,RpmContracts!A:C,3,FALSE)="","",VLOOKUP(A163,RpmContracts!A:C,3,FALSE)),"")</f>
        <v/>
      </c>
      <c r="AE163" s="7" t="str">
        <f>IF(VLOOKUP(A163,'20yPlan'!A:B,2,FALSE)="","",VLOOKUP(A163,'20yPlan'!A:B,2,FALSE))</f>
        <v/>
      </c>
      <c r="AF163" s="7" t="str">
        <f>IF(VLOOKUP(A163,'20yPlan'!A:C,3,FALSE)="","",VLOOKUP(A163,'20yPlan'!A:C,3,FALSE))</f>
        <v/>
      </c>
      <c r="AG163" s="7" t="str">
        <f>IF(VLOOKUP(A163,'20yPlan'!A:D,4,FALSE)="","",VLOOKUP(A163,'20yPlan'!A:D,4,FALSE))</f>
        <v/>
      </c>
      <c r="AH163" s="7" t="str">
        <f>IF(VLOOKUP(A163,'20yPlan'!A:E,5,FALSE)="","",VLOOKUP(A163,'20yPlan'!A:E,5,FALSE))</f>
        <v/>
      </c>
      <c r="AI163" s="7" t="str">
        <f>IF(VLOOKUP(A163,'20yPlan'!A:F,6,FALSE)="","",VLOOKUP(A163,'20yPlan'!A:F,6,FALSE))</f>
        <v/>
      </c>
      <c r="AJ163" s="7" t="str">
        <f t="shared" si="25"/>
        <v/>
      </c>
      <c r="AK163" s="7" t="str">
        <f t="shared" si="26"/>
        <v/>
      </c>
      <c r="AL163" s="39">
        <f t="shared" ca="1" si="27"/>
        <v>2025</v>
      </c>
      <c r="AM163" s="7" t="str">
        <f t="shared" si="28"/>
        <v/>
      </c>
      <c r="AN163" s="7" t="str">
        <f t="shared" si="29"/>
        <v/>
      </c>
    </row>
    <row r="164" spans="1:40">
      <c r="A164" s="6">
        <v>60170</v>
      </c>
      <c r="B164" s="6" t="s">
        <v>599</v>
      </c>
      <c r="C164" s="6" t="s">
        <v>608</v>
      </c>
      <c r="D164" s="6">
        <v>21.987145000000002</v>
      </c>
      <c r="E164" s="6">
        <v>33.209761999999998</v>
      </c>
      <c r="F164" s="6" t="s">
        <v>609</v>
      </c>
      <c r="G164" s="6" t="s">
        <v>610</v>
      </c>
      <c r="H164" s="35">
        <v>190852</v>
      </c>
      <c r="I164" s="6" t="s">
        <v>195</v>
      </c>
      <c r="J164" s="6">
        <v>19</v>
      </c>
      <c r="K164" s="6">
        <v>2024</v>
      </c>
      <c r="L164" s="6">
        <v>2</v>
      </c>
      <c r="M164" s="6" t="s">
        <v>45</v>
      </c>
      <c r="N164" s="6" t="s">
        <v>250</v>
      </c>
      <c r="O164" s="6" t="s">
        <v>302</v>
      </c>
      <c r="P164" s="6" t="s">
        <v>611</v>
      </c>
      <c r="Q164" s="6" t="s">
        <v>612</v>
      </c>
      <c r="R164" s="6">
        <v>755</v>
      </c>
      <c r="S164" s="6">
        <v>100</v>
      </c>
      <c r="T164" s="36" t="s">
        <v>253</v>
      </c>
      <c r="U164" s="46">
        <f>IF($L164&lt;=2,
IF($R164&lt;=RpmDesignStandard!$C$2,RpmDesignStandard!$D$2,
IF(AND($R164&gt;RpmDesignStandard!$B$3,$R164&lt;=RpmDesignStandard!$C$3),RpmDesignStandard!$D$3,RpmDesignStandard!$D$4)),
IF($R164&lt;=RpmDesignStandard!$C$5, RpmDesignStandard!$D$5,
IF(AND($R164&gt;RpmDesignStandard!$B$6,$R164&lt;=RpmDesignStandard!$C$6),RpmDesignStandard!$D$6,
IF(AND($R164&gt;RpmDesignStandard!$B$7,$R164&lt;=RpmDesignStandard!$C$7),RpmDesignStandard!$D$7,RpmDesignStandard!$D$8))))</f>
        <v>4</v>
      </c>
      <c r="V164" s="47">
        <f>U164*RpmDesignStandard!$H$1</f>
        <v>8</v>
      </c>
      <c r="W164" s="37" t="str">
        <f>VLOOKUP(A164,RPM_ProjectRecord!A:AB,8,FALSE)</f>
        <v/>
      </c>
      <c r="X164" s="38" t="str">
        <f t="shared" si="20"/>
        <v/>
      </c>
      <c r="Y164" s="38" t="str">
        <f t="shared" si="21"/>
        <v/>
      </c>
      <c r="Z164" s="38" t="str">
        <f t="shared" si="22"/>
        <v/>
      </c>
      <c r="AA164" s="38" t="str">
        <f t="shared" si="23"/>
        <v/>
      </c>
      <c r="AB164" s="38" t="str">
        <f t="shared" si="24"/>
        <v/>
      </c>
      <c r="AC164" s="38" t="str">
        <f>IF(VLOOKUP(A164,'3rdPhaseChipSeal'!A:L,12,FALSE)="","",VLOOKUP(A164,'3rdPhaseChipSeal'!A:L,12,FALSE))</f>
        <v/>
      </c>
      <c r="AD164" s="38" t="str">
        <f>IFERROR(IF(VLOOKUP(A164,RpmContracts!A:C,3,FALSE)="","",VLOOKUP(A164,RpmContracts!A:C,3,FALSE)),"")</f>
        <v/>
      </c>
      <c r="AE164" s="7" t="str">
        <f>IF(VLOOKUP(A164,'20yPlan'!A:B,2,FALSE)="","",VLOOKUP(A164,'20yPlan'!A:B,2,FALSE))</f>
        <v/>
      </c>
      <c r="AF164" s="7" t="str">
        <f>IF(VLOOKUP(A164,'20yPlan'!A:C,3,FALSE)="","",VLOOKUP(A164,'20yPlan'!A:C,3,FALSE))</f>
        <v/>
      </c>
      <c r="AG164" s="7" t="str">
        <f>IF(VLOOKUP(A164,'20yPlan'!A:D,4,FALSE)="","",VLOOKUP(A164,'20yPlan'!A:D,4,FALSE))</f>
        <v/>
      </c>
      <c r="AH164" s="7" t="str">
        <f>IF(VLOOKUP(A164,'20yPlan'!A:E,5,FALSE)="","",VLOOKUP(A164,'20yPlan'!A:E,5,FALSE))</f>
        <v/>
      </c>
      <c r="AI164" s="7" t="str">
        <f>IF(VLOOKUP(A164,'20yPlan'!A:F,6,FALSE)="","",VLOOKUP(A164,'20yPlan'!A:F,6,FALSE))</f>
        <v/>
      </c>
      <c r="AJ164" s="7" t="str">
        <f t="shared" si="25"/>
        <v/>
      </c>
      <c r="AK164" s="7" t="str">
        <f t="shared" si="26"/>
        <v/>
      </c>
      <c r="AL164" s="39">
        <f t="shared" ca="1" si="27"/>
        <v>2025</v>
      </c>
      <c r="AM164" s="7" t="str">
        <f t="shared" si="28"/>
        <v/>
      </c>
      <c r="AN164" s="7" t="str">
        <f t="shared" si="29"/>
        <v/>
      </c>
    </row>
    <row r="165" spans="1:40">
      <c r="A165" s="6">
        <v>60171</v>
      </c>
      <c r="B165" s="6" t="s">
        <v>599</v>
      </c>
      <c r="C165" s="6" t="s">
        <v>613</v>
      </c>
      <c r="D165" s="6">
        <v>33.209761999999998</v>
      </c>
      <c r="E165" s="6">
        <v>36.517510999999999</v>
      </c>
      <c r="F165" s="6" t="s">
        <v>610</v>
      </c>
      <c r="G165" s="6" t="s">
        <v>614</v>
      </c>
      <c r="H165" s="35">
        <v>58252</v>
      </c>
      <c r="I165" s="6" t="s">
        <v>195</v>
      </c>
      <c r="J165" s="6">
        <v>7</v>
      </c>
      <c r="K165" s="6">
        <v>2025</v>
      </c>
      <c r="L165" s="6">
        <v>2</v>
      </c>
      <c r="M165" s="6" t="s">
        <v>45</v>
      </c>
      <c r="N165" s="6" t="s">
        <v>250</v>
      </c>
      <c r="O165" s="6" t="s">
        <v>121</v>
      </c>
      <c r="P165" s="6" t="s">
        <v>122</v>
      </c>
      <c r="Q165" s="6" t="s">
        <v>370</v>
      </c>
      <c r="R165" s="35">
        <v>1765</v>
      </c>
      <c r="S165" s="6">
        <v>233</v>
      </c>
      <c r="T165" s="36" t="s">
        <v>253</v>
      </c>
      <c r="U165" s="46">
        <f>IF($L165&lt;=2,
IF($R165&lt;=RpmDesignStandard!$C$2,RpmDesignStandard!$D$2,
IF(AND($R165&gt;RpmDesignStandard!$B$3,$R165&lt;=RpmDesignStandard!$C$3),RpmDesignStandard!$D$3,RpmDesignStandard!$D$4)),
IF($R165&lt;=RpmDesignStandard!$C$5, RpmDesignStandard!$D$5,
IF(AND($R165&gt;RpmDesignStandard!$B$6,$R165&lt;=RpmDesignStandard!$C$6),RpmDesignStandard!$D$6,
IF(AND($R165&gt;RpmDesignStandard!$B$7,$R165&lt;=RpmDesignStandard!$C$7),RpmDesignStandard!$D$7,RpmDesignStandard!$D$8))))</f>
        <v>4</v>
      </c>
      <c r="V165" s="47">
        <f>U165*RpmDesignStandard!$H$1</f>
        <v>8</v>
      </c>
      <c r="W165" s="37" t="str">
        <f>VLOOKUP(A165,RPM_ProjectRecord!A:AB,8,FALSE)</f>
        <v/>
      </c>
      <c r="X165" s="38" t="str">
        <f t="shared" si="20"/>
        <v/>
      </c>
      <c r="Y165" s="38" t="str">
        <f t="shared" si="21"/>
        <v/>
      </c>
      <c r="Z165" s="38" t="str">
        <f t="shared" si="22"/>
        <v/>
      </c>
      <c r="AA165" s="38" t="str">
        <f t="shared" si="23"/>
        <v/>
      </c>
      <c r="AB165" s="38" t="str">
        <f t="shared" si="24"/>
        <v/>
      </c>
      <c r="AC165" s="38">
        <f>IF(VLOOKUP(A165,'3rdPhaseChipSeal'!A:L,12,FALSE)="","",VLOOKUP(A165,'3rdPhaseChipSeal'!A:L,12,FALSE))</f>
        <v>2039</v>
      </c>
      <c r="AD165" s="38">
        <f>IFERROR(IF(VLOOKUP(A165,RpmContracts!A:C,3,FALSE)="","",VLOOKUP(A165,RpmContracts!A:C,3,FALSE)),"")</f>
        <v>2026</v>
      </c>
      <c r="AE165" s="7" t="str">
        <f>IF(VLOOKUP(A165,'20yPlan'!A:B,2,FALSE)="","",VLOOKUP(A165,'20yPlan'!A:B,2,FALSE))</f>
        <v/>
      </c>
      <c r="AF165" s="7" t="str">
        <f>IF(VLOOKUP(A165,'20yPlan'!A:C,3,FALSE)="","",VLOOKUP(A165,'20yPlan'!A:C,3,FALSE))</f>
        <v/>
      </c>
      <c r="AG165" s="7" t="str">
        <f>IF(VLOOKUP(A165,'20yPlan'!A:D,4,FALSE)="","",VLOOKUP(A165,'20yPlan'!A:D,4,FALSE))</f>
        <v/>
      </c>
      <c r="AH165" s="7" t="str">
        <f>IF(VLOOKUP(A165,'20yPlan'!A:E,5,FALSE)="","",VLOOKUP(A165,'20yPlan'!A:E,5,FALSE))</f>
        <v/>
      </c>
      <c r="AI165" s="7" t="str">
        <f>IF(VLOOKUP(A165,'20yPlan'!A:F,6,FALSE)="","",VLOOKUP(A165,'20yPlan'!A:F,6,FALSE))</f>
        <v/>
      </c>
      <c r="AJ165" s="7" t="str">
        <f t="shared" si="25"/>
        <v>2039 Chip Seal</v>
      </c>
      <c r="AK165" s="7" t="str">
        <f t="shared" si="26"/>
        <v>2026 RPM Replacement</v>
      </c>
      <c r="AL165" s="39">
        <f t="shared" ca="1" si="27"/>
        <v>2025</v>
      </c>
      <c r="AM165" s="7">
        <f t="shared" si="28"/>
        <v>2026</v>
      </c>
      <c r="AN165" s="7" t="str">
        <f t="shared" si="29"/>
        <v>2026 RPM Replacement</v>
      </c>
    </row>
    <row r="166" spans="1:40">
      <c r="A166" s="6">
        <v>60172</v>
      </c>
      <c r="B166" s="6" t="s">
        <v>599</v>
      </c>
      <c r="C166" s="6" t="s">
        <v>615</v>
      </c>
      <c r="D166" s="6">
        <v>42.325566000000002</v>
      </c>
      <c r="E166" s="6">
        <v>51.015478999999999</v>
      </c>
      <c r="F166" s="6" t="s">
        <v>616</v>
      </c>
      <c r="G166" s="6" t="s">
        <v>617</v>
      </c>
      <c r="H166" s="35">
        <v>157208</v>
      </c>
      <c r="I166" s="6" t="s">
        <v>195</v>
      </c>
      <c r="J166" s="6">
        <v>24</v>
      </c>
      <c r="K166" s="6">
        <v>2025</v>
      </c>
      <c r="L166" s="6">
        <v>2</v>
      </c>
      <c r="M166" s="6" t="s">
        <v>45</v>
      </c>
      <c r="N166" s="6" t="s">
        <v>250</v>
      </c>
      <c r="O166" s="6" t="s">
        <v>121</v>
      </c>
      <c r="P166" s="6" t="s">
        <v>122</v>
      </c>
      <c r="Q166" s="6" t="s">
        <v>510</v>
      </c>
      <c r="R166" s="35">
        <v>1888</v>
      </c>
      <c r="S166" s="6">
        <v>249</v>
      </c>
      <c r="T166" s="36" t="s">
        <v>253</v>
      </c>
      <c r="U166" s="46">
        <f>IF($L166&lt;=2,
IF($R166&lt;=RpmDesignStandard!$C$2,RpmDesignStandard!$D$2,
IF(AND($R166&gt;RpmDesignStandard!$B$3,$R166&lt;=RpmDesignStandard!$C$3),RpmDesignStandard!$D$3,RpmDesignStandard!$D$4)),
IF($R166&lt;=RpmDesignStandard!$C$5, RpmDesignStandard!$D$5,
IF(AND($R166&gt;RpmDesignStandard!$B$6,$R166&lt;=RpmDesignStandard!$C$6),RpmDesignStandard!$D$6,
IF(AND($R166&gt;RpmDesignStandard!$B$7,$R166&lt;=RpmDesignStandard!$C$7),RpmDesignStandard!$D$7,RpmDesignStandard!$D$8))))</f>
        <v>4</v>
      </c>
      <c r="V166" s="47">
        <f>U166*RpmDesignStandard!$H$1</f>
        <v>8</v>
      </c>
      <c r="W166" s="37" t="str">
        <f>VLOOKUP(A166,RPM_ProjectRecord!A:AB,8,FALSE)</f>
        <v/>
      </c>
      <c r="X166" s="38" t="str">
        <f t="shared" si="20"/>
        <v/>
      </c>
      <c r="Y166" s="38" t="str">
        <f t="shared" si="21"/>
        <v/>
      </c>
      <c r="Z166" s="38" t="str">
        <f t="shared" si="22"/>
        <v/>
      </c>
      <c r="AA166" s="38" t="str">
        <f t="shared" si="23"/>
        <v/>
      </c>
      <c r="AB166" s="38" t="str">
        <f t="shared" si="24"/>
        <v/>
      </c>
      <c r="AC166" s="38">
        <f>IF(VLOOKUP(A166,'3rdPhaseChipSeal'!A:L,12,FALSE)="","",VLOOKUP(A166,'3rdPhaseChipSeal'!A:L,12,FALSE))</f>
        <v>2033</v>
      </c>
      <c r="AD166" s="38" t="str">
        <f>IFERROR(IF(VLOOKUP(A166,RpmContracts!A:C,3,FALSE)="","",VLOOKUP(A166,RpmContracts!A:C,3,FALSE)),"")</f>
        <v/>
      </c>
      <c r="AE166" s="7" t="str">
        <f>IF(VLOOKUP(A166,'20yPlan'!A:B,2,FALSE)="","",VLOOKUP(A166,'20yPlan'!A:B,2,FALSE))</f>
        <v/>
      </c>
      <c r="AF166" s="7" t="str">
        <f>IF(VLOOKUP(A166,'20yPlan'!A:C,3,FALSE)="","",VLOOKUP(A166,'20yPlan'!A:C,3,FALSE))</f>
        <v/>
      </c>
      <c r="AG166" s="7" t="str">
        <f>IF(VLOOKUP(A166,'20yPlan'!A:D,4,FALSE)="","",VLOOKUP(A166,'20yPlan'!A:D,4,FALSE))</f>
        <v/>
      </c>
      <c r="AH166" s="7" t="str">
        <f>IF(VLOOKUP(A166,'20yPlan'!A:E,5,FALSE)="","",VLOOKUP(A166,'20yPlan'!A:E,5,FALSE))</f>
        <v/>
      </c>
      <c r="AI166" s="7" t="str">
        <f>IF(VLOOKUP(A166,'20yPlan'!A:F,6,FALSE)="","",VLOOKUP(A166,'20yPlan'!A:F,6,FALSE))</f>
        <v/>
      </c>
      <c r="AJ166" s="7" t="str">
        <f t="shared" si="25"/>
        <v>2033 Chip Seal</v>
      </c>
      <c r="AK166" s="7" t="str">
        <f t="shared" si="26"/>
        <v/>
      </c>
      <c r="AL166" s="39">
        <f t="shared" ca="1" si="27"/>
        <v>2025</v>
      </c>
      <c r="AM166" s="7" t="str">
        <f t="shared" si="28"/>
        <v/>
      </c>
      <c r="AN166" s="7" t="str">
        <f t="shared" si="29"/>
        <v/>
      </c>
    </row>
    <row r="167" spans="1:40">
      <c r="A167" s="6">
        <v>60173</v>
      </c>
      <c r="B167" s="6" t="s">
        <v>599</v>
      </c>
      <c r="C167" s="6" t="s">
        <v>618</v>
      </c>
      <c r="D167" s="6">
        <v>52.335059000000001</v>
      </c>
      <c r="E167" s="6">
        <v>60.764626</v>
      </c>
      <c r="F167" s="6" t="s">
        <v>619</v>
      </c>
      <c r="G167" s="6" t="s">
        <v>620</v>
      </c>
      <c r="H167" s="35">
        <v>141238</v>
      </c>
      <c r="I167" s="6" t="s">
        <v>195</v>
      </c>
      <c r="J167" s="6">
        <v>21</v>
      </c>
      <c r="K167" s="6">
        <v>2031</v>
      </c>
      <c r="L167" s="6">
        <v>2</v>
      </c>
      <c r="M167" s="6" t="s">
        <v>45</v>
      </c>
      <c r="N167" s="6" t="s">
        <v>250</v>
      </c>
      <c r="O167" s="6" t="s">
        <v>121</v>
      </c>
      <c r="P167" s="6" t="s">
        <v>122</v>
      </c>
      <c r="Q167" s="6" t="s">
        <v>162</v>
      </c>
      <c r="R167" s="35">
        <v>2654</v>
      </c>
      <c r="S167" s="6">
        <v>350</v>
      </c>
      <c r="T167" s="36" t="s">
        <v>253</v>
      </c>
      <c r="U167" s="46">
        <f>IF($L167&lt;=2,
IF($R167&lt;=RpmDesignStandard!$C$2,RpmDesignStandard!$D$2,
IF(AND($R167&gt;RpmDesignStandard!$B$3,$R167&lt;=RpmDesignStandard!$C$3),RpmDesignStandard!$D$3,RpmDesignStandard!$D$4)),
IF($R167&lt;=RpmDesignStandard!$C$5, RpmDesignStandard!$D$5,
IF(AND($R167&gt;RpmDesignStandard!$B$6,$R167&lt;=RpmDesignStandard!$C$6),RpmDesignStandard!$D$6,
IF(AND($R167&gt;RpmDesignStandard!$B$7,$R167&lt;=RpmDesignStandard!$C$7),RpmDesignStandard!$D$7,RpmDesignStandard!$D$8))))</f>
        <v>4</v>
      </c>
      <c r="V167" s="47">
        <f>U167*RpmDesignStandard!$H$1</f>
        <v>8</v>
      </c>
      <c r="W167" s="37">
        <f>VLOOKUP(A167,RPM_ProjectRecord!A:AB,8,FALSE)</f>
        <v>2024</v>
      </c>
      <c r="X167" s="38" t="str">
        <f t="shared" si="20"/>
        <v/>
      </c>
      <c r="Y167" s="38" t="str">
        <f t="shared" si="21"/>
        <v/>
      </c>
      <c r="Z167" s="38" t="str">
        <f t="shared" si="22"/>
        <v/>
      </c>
      <c r="AA167" s="38" t="str">
        <f t="shared" si="23"/>
        <v/>
      </c>
      <c r="AB167" s="38" t="str">
        <f t="shared" si="24"/>
        <v/>
      </c>
      <c r="AC167" s="38" t="str">
        <f>IF(VLOOKUP(A167,'3rdPhaseChipSeal'!A:L,12,FALSE)="","",VLOOKUP(A167,'3rdPhaseChipSeal'!A:L,12,FALSE))</f>
        <v/>
      </c>
      <c r="AD167" s="38" t="str">
        <f>IFERROR(IF(VLOOKUP(A167,RpmContracts!A:C,3,FALSE)="","",VLOOKUP(A167,RpmContracts!A:C,3,FALSE)),"")</f>
        <v/>
      </c>
      <c r="AE167" s="7" t="str">
        <f>IF(VLOOKUP(A167,'20yPlan'!A:B,2,FALSE)="","",VLOOKUP(A167,'20yPlan'!A:B,2,FALSE))</f>
        <v/>
      </c>
      <c r="AF167" s="7" t="str">
        <f>IF(VLOOKUP(A167,'20yPlan'!A:C,3,FALSE)="","",VLOOKUP(A167,'20yPlan'!A:C,3,FALSE))</f>
        <v/>
      </c>
      <c r="AG167" s="7" t="str">
        <f>IF(VLOOKUP(A167,'20yPlan'!A:D,4,FALSE)="","",VLOOKUP(A167,'20yPlan'!A:D,4,FALSE))</f>
        <v/>
      </c>
      <c r="AH167" s="7" t="str">
        <f>IF(VLOOKUP(A167,'20yPlan'!A:E,5,FALSE)="","",VLOOKUP(A167,'20yPlan'!A:E,5,FALSE))</f>
        <v/>
      </c>
      <c r="AI167" s="7" t="str">
        <f>IF(VLOOKUP(A167,'20yPlan'!A:F,6,FALSE)="","",VLOOKUP(A167,'20yPlan'!A:F,6,FALSE))</f>
        <v/>
      </c>
      <c r="AJ167" s="7" t="str">
        <f t="shared" si="25"/>
        <v/>
      </c>
      <c r="AK167" s="7" t="str">
        <f t="shared" si="26"/>
        <v/>
      </c>
      <c r="AL167" s="39">
        <f t="shared" ca="1" si="27"/>
        <v>2028</v>
      </c>
      <c r="AM167" s="7" t="str">
        <f t="shared" si="28"/>
        <v/>
      </c>
      <c r="AN167" s="7" t="str">
        <f t="shared" si="29"/>
        <v/>
      </c>
    </row>
    <row r="168" spans="1:40">
      <c r="A168" s="6">
        <v>60174</v>
      </c>
      <c r="B168" s="6" t="s">
        <v>621</v>
      </c>
      <c r="C168" s="6" t="s">
        <v>622</v>
      </c>
      <c r="D168" s="6">
        <v>0</v>
      </c>
      <c r="E168" s="6">
        <v>7.3704700000000001</v>
      </c>
      <c r="F168" s="6" t="s">
        <v>623</v>
      </c>
      <c r="G168" s="6" t="s">
        <v>624</v>
      </c>
      <c r="H168" s="35">
        <v>138968</v>
      </c>
      <c r="I168" s="6" t="s">
        <v>195</v>
      </c>
      <c r="J168" s="6">
        <v>13</v>
      </c>
      <c r="K168" s="6">
        <v>2028</v>
      </c>
      <c r="L168" s="6">
        <v>2</v>
      </c>
      <c r="M168" s="6" t="s">
        <v>45</v>
      </c>
      <c r="N168" s="6" t="s">
        <v>250</v>
      </c>
      <c r="O168" s="6" t="s">
        <v>61</v>
      </c>
      <c r="P168" s="6" t="s">
        <v>338</v>
      </c>
      <c r="Q168" s="6" t="s">
        <v>339</v>
      </c>
      <c r="R168" s="35">
        <v>4846</v>
      </c>
      <c r="S168" s="6">
        <v>642</v>
      </c>
      <c r="T168" s="36" t="s">
        <v>50</v>
      </c>
      <c r="U168" s="46">
        <f>IF($L168&lt;=2,
IF($R168&lt;=RpmDesignStandard!$C$2,RpmDesignStandard!$D$2,
IF(AND($R168&gt;RpmDesignStandard!$B$3,$R168&lt;=RpmDesignStandard!$C$3),RpmDesignStandard!$D$3,RpmDesignStandard!$D$4)),
IF($R168&lt;=RpmDesignStandard!$C$5, RpmDesignStandard!$D$5,
IF(AND($R168&gt;RpmDesignStandard!$B$6,$R168&lt;=RpmDesignStandard!$C$6),RpmDesignStandard!$D$6,
IF(AND($R168&gt;RpmDesignStandard!$B$7,$R168&lt;=RpmDesignStandard!$C$7),RpmDesignStandard!$D$7,RpmDesignStandard!$D$8))))</f>
        <v>4</v>
      </c>
      <c r="V168" s="47">
        <f>U168*RpmDesignStandard!$H$1</f>
        <v>8</v>
      </c>
      <c r="W168" s="37" t="str">
        <f>VLOOKUP(A168,RPM_ProjectRecord!A:AB,8,FALSE)</f>
        <v/>
      </c>
      <c r="X168" s="38" t="str">
        <f t="shared" si="20"/>
        <v/>
      </c>
      <c r="Y168" s="38" t="str">
        <f t="shared" si="21"/>
        <v/>
      </c>
      <c r="Z168" s="38" t="str">
        <f t="shared" si="22"/>
        <v/>
      </c>
      <c r="AA168" s="38" t="str">
        <f t="shared" si="23"/>
        <v/>
      </c>
      <c r="AB168" s="38" t="str">
        <f t="shared" si="24"/>
        <v/>
      </c>
      <c r="AC168" s="38">
        <f>IF(VLOOKUP(A168,'3rdPhaseChipSeal'!A:L,12,FALSE)="","",VLOOKUP(A168,'3rdPhaseChipSeal'!A:L,12,FALSE))</f>
        <v>2042</v>
      </c>
      <c r="AD168" s="38" t="str">
        <f>IFERROR(IF(VLOOKUP(A168,RpmContracts!A:C,3,FALSE)="","",VLOOKUP(A168,RpmContracts!A:C,3,FALSE)),"")</f>
        <v/>
      </c>
      <c r="AE168" s="7" t="str">
        <f>IF(VLOOKUP(A168,'20yPlan'!A:B,2,FALSE)="","",VLOOKUP(A168,'20yPlan'!A:B,2,FALSE))</f>
        <v/>
      </c>
      <c r="AF168" s="7" t="str">
        <f>IF(VLOOKUP(A168,'20yPlan'!A:C,3,FALSE)="","",VLOOKUP(A168,'20yPlan'!A:C,3,FALSE))</f>
        <v/>
      </c>
      <c r="AG168" s="7" t="str">
        <f>IF(VLOOKUP(A168,'20yPlan'!A:D,4,FALSE)="","",VLOOKUP(A168,'20yPlan'!A:D,4,FALSE))</f>
        <v/>
      </c>
      <c r="AH168" s="7" t="str">
        <f>IF(VLOOKUP(A168,'20yPlan'!A:E,5,FALSE)="","",VLOOKUP(A168,'20yPlan'!A:E,5,FALSE))</f>
        <v/>
      </c>
      <c r="AI168" s="7" t="str">
        <f>IF(VLOOKUP(A168,'20yPlan'!A:F,6,FALSE)="","",VLOOKUP(A168,'20yPlan'!A:F,6,FALSE))</f>
        <v/>
      </c>
      <c r="AJ168" s="7" t="str">
        <f t="shared" si="25"/>
        <v>2042 Chip Seal</v>
      </c>
      <c r="AK168" s="7" t="str">
        <f t="shared" si="26"/>
        <v/>
      </c>
      <c r="AL168" s="39">
        <f t="shared" ca="1" si="27"/>
        <v>2025</v>
      </c>
      <c r="AM168" s="7" t="str">
        <f t="shared" si="28"/>
        <v/>
      </c>
      <c r="AN168" s="7" t="str">
        <f t="shared" si="29"/>
        <v/>
      </c>
    </row>
    <row r="169" spans="1:40">
      <c r="A169" s="6">
        <v>60175</v>
      </c>
      <c r="B169" s="6" t="s">
        <v>621</v>
      </c>
      <c r="C169" s="6" t="s">
        <v>625</v>
      </c>
      <c r="D169" s="6">
        <v>7.3704700000000001</v>
      </c>
      <c r="E169" s="6">
        <v>9.3486670000000007</v>
      </c>
      <c r="F169" s="6" t="s">
        <v>624</v>
      </c>
      <c r="G169" s="6" t="s">
        <v>626</v>
      </c>
      <c r="H169" s="35">
        <v>57069</v>
      </c>
      <c r="I169" s="6" t="s">
        <v>141</v>
      </c>
      <c r="J169" s="6">
        <v>5</v>
      </c>
      <c r="K169" s="6"/>
      <c r="L169" s="6">
        <v>2</v>
      </c>
      <c r="M169" s="6" t="s">
        <v>45</v>
      </c>
      <c r="N169" s="6" t="s">
        <v>250</v>
      </c>
      <c r="O169" s="6" t="s">
        <v>61</v>
      </c>
      <c r="P169" s="6" t="s">
        <v>627</v>
      </c>
      <c r="Q169" s="6" t="s">
        <v>339</v>
      </c>
      <c r="R169" s="35">
        <v>12781</v>
      </c>
      <c r="S169" s="35">
        <v>1333</v>
      </c>
      <c r="T169" s="36" t="s">
        <v>50</v>
      </c>
      <c r="U169" s="46">
        <f>IF($L169&lt;=2,
IF($R169&lt;=RpmDesignStandard!$C$2,RpmDesignStandard!$D$2,
IF(AND($R169&gt;RpmDesignStandard!$B$3,$R169&lt;=RpmDesignStandard!$C$3),RpmDesignStandard!$D$3,RpmDesignStandard!$D$4)),
IF($R169&lt;=RpmDesignStandard!$C$5, RpmDesignStandard!$D$5,
IF(AND($R169&gt;RpmDesignStandard!$B$6,$R169&lt;=RpmDesignStandard!$C$6),RpmDesignStandard!$D$6,
IF(AND($R169&gt;RpmDesignStandard!$B$7,$R169&lt;=RpmDesignStandard!$C$7),RpmDesignStandard!$D$7,RpmDesignStandard!$D$8))))</f>
        <v>3</v>
      </c>
      <c r="V169" s="47">
        <f>U169*RpmDesignStandard!$H$1</f>
        <v>6</v>
      </c>
      <c r="W169" s="37" t="str">
        <f>VLOOKUP(A169,RPM_ProjectRecord!A:AB,8,FALSE)</f>
        <v/>
      </c>
      <c r="X169" s="38">
        <f t="shared" si="20"/>
        <v>2041</v>
      </c>
      <c r="Y169" s="38" t="str">
        <f t="shared" si="21"/>
        <v/>
      </c>
      <c r="Z169" s="38" t="str">
        <f t="shared" si="22"/>
        <v/>
      </c>
      <c r="AA169" s="38" t="str">
        <f t="shared" si="23"/>
        <v/>
      </c>
      <c r="AB169" s="38" t="str">
        <f t="shared" si="24"/>
        <v/>
      </c>
      <c r="AC169" s="38" t="str">
        <f>IF(VLOOKUP(A169,'3rdPhaseChipSeal'!A:L,12,FALSE)="","",VLOOKUP(A169,'3rdPhaseChipSeal'!A:L,12,FALSE))</f>
        <v/>
      </c>
      <c r="AD169" s="38" t="str">
        <f>IFERROR(IF(VLOOKUP(A169,RpmContracts!A:C,3,FALSE)="","",VLOOKUP(A169,RpmContracts!A:C,3,FALSE)),"")</f>
        <v/>
      </c>
      <c r="AE169" s="7" t="str">
        <f>IF(VLOOKUP(A169,'20yPlan'!A:B,2,FALSE)="","",VLOOKUP(A169,'20yPlan'!A:B,2,FALSE))</f>
        <v>2041 Preventive Maintenance</v>
      </c>
      <c r="AF169" s="7" t="str">
        <f>IF(VLOOKUP(A169,'20yPlan'!A:C,3,FALSE)="","",VLOOKUP(A169,'20yPlan'!A:C,3,FALSE))</f>
        <v/>
      </c>
      <c r="AG169" s="7" t="str">
        <f>IF(VLOOKUP(A169,'20yPlan'!A:D,4,FALSE)="","",VLOOKUP(A169,'20yPlan'!A:D,4,FALSE))</f>
        <v/>
      </c>
      <c r="AH169" s="7" t="str">
        <f>IF(VLOOKUP(A169,'20yPlan'!A:E,5,FALSE)="","",VLOOKUP(A169,'20yPlan'!A:E,5,FALSE))</f>
        <v/>
      </c>
      <c r="AI169" s="7" t="str">
        <f>IF(VLOOKUP(A169,'20yPlan'!A:F,6,FALSE)="","",VLOOKUP(A169,'20yPlan'!A:F,6,FALSE))</f>
        <v/>
      </c>
      <c r="AJ169" s="7" t="str">
        <f t="shared" si="25"/>
        <v/>
      </c>
      <c r="AK169" s="7" t="str">
        <f t="shared" si="26"/>
        <v/>
      </c>
      <c r="AL169" s="39">
        <f t="shared" ca="1" si="27"/>
        <v>2025</v>
      </c>
      <c r="AM169" s="7" t="str">
        <f t="shared" si="28"/>
        <v/>
      </c>
      <c r="AN169" s="7" t="str">
        <f t="shared" si="29"/>
        <v/>
      </c>
    </row>
    <row r="170" spans="1:40">
      <c r="A170" s="6">
        <v>60176</v>
      </c>
      <c r="B170" s="6" t="s">
        <v>621</v>
      </c>
      <c r="C170" s="6" t="s">
        <v>628</v>
      </c>
      <c r="D170" s="6">
        <v>9.3486670000000007</v>
      </c>
      <c r="E170" s="6">
        <v>19.142448000000002</v>
      </c>
      <c r="F170" s="6" t="s">
        <v>626</v>
      </c>
      <c r="G170" s="6" t="s">
        <v>629</v>
      </c>
      <c r="H170" s="35">
        <v>455979</v>
      </c>
      <c r="I170" s="6" t="s">
        <v>154</v>
      </c>
      <c r="J170" s="6">
        <v>5</v>
      </c>
      <c r="K170" s="6"/>
      <c r="L170" s="6">
        <v>4</v>
      </c>
      <c r="M170" s="6" t="s">
        <v>111</v>
      </c>
      <c r="N170" s="6" t="s">
        <v>46</v>
      </c>
      <c r="O170" s="6" t="s">
        <v>61</v>
      </c>
      <c r="P170" s="6" t="s">
        <v>627</v>
      </c>
      <c r="Q170" s="6" t="s">
        <v>339</v>
      </c>
      <c r="R170" s="35">
        <v>15442</v>
      </c>
      <c r="S170" s="35">
        <v>1774</v>
      </c>
      <c r="T170" s="36" t="s">
        <v>50</v>
      </c>
      <c r="U170" s="46">
        <f>IF($L170&lt;=2,
IF($R170&lt;=RpmDesignStandard!$C$2,RpmDesignStandard!$D$2,
IF(AND($R170&gt;RpmDesignStandard!$B$3,$R170&lt;=RpmDesignStandard!$C$3),RpmDesignStandard!$D$3,RpmDesignStandard!$D$4)),
IF($R170&lt;=RpmDesignStandard!$C$5, RpmDesignStandard!$D$5,
IF(AND($R170&gt;RpmDesignStandard!$B$6,$R170&lt;=RpmDesignStandard!$C$6),RpmDesignStandard!$D$6,
IF(AND($R170&gt;RpmDesignStandard!$B$7,$R170&lt;=RpmDesignStandard!$C$7),RpmDesignStandard!$D$7,RpmDesignStandard!$D$8))))</f>
        <v>3</v>
      </c>
      <c r="V170" s="47">
        <f>U170*RpmDesignStandard!$H$1</f>
        <v>6</v>
      </c>
      <c r="W170" s="37" t="str">
        <f>VLOOKUP(A170,RPM_ProjectRecord!A:AB,8,FALSE)</f>
        <v/>
      </c>
      <c r="X170" s="38">
        <f t="shared" si="20"/>
        <v>2028</v>
      </c>
      <c r="Y170" s="38">
        <f t="shared" si="21"/>
        <v>2035</v>
      </c>
      <c r="Z170" s="38" t="str">
        <f t="shared" si="22"/>
        <v/>
      </c>
      <c r="AA170" s="38" t="str">
        <f t="shared" si="23"/>
        <v/>
      </c>
      <c r="AB170" s="38" t="str">
        <f t="shared" si="24"/>
        <v/>
      </c>
      <c r="AC170" s="38" t="str">
        <f>IF(VLOOKUP(A170,'3rdPhaseChipSeal'!A:L,12,FALSE)="","",VLOOKUP(A170,'3rdPhaseChipSeal'!A:L,12,FALSE))</f>
        <v/>
      </c>
      <c r="AD170" s="38">
        <f>IFERROR(IF(VLOOKUP(A170,RpmContracts!A:C,3,FALSE)="","",VLOOKUP(A170,RpmContracts!A:C,3,FALSE)),"")</f>
        <v>2027</v>
      </c>
      <c r="AE170" s="7" t="str">
        <f>IF(VLOOKUP(A170,'20yPlan'!A:B,2,FALSE)="","",VLOOKUP(A170,'20yPlan'!A:B,2,FALSE))</f>
        <v>2028 Pavement Patching</v>
      </c>
      <c r="AF170" s="7" t="str">
        <f>IF(VLOOKUP(A170,'20yPlan'!A:C,3,FALSE)="","",VLOOKUP(A170,'20yPlan'!A:C,3,FALSE))</f>
        <v>2035 Minor Structural</v>
      </c>
      <c r="AG170" s="7" t="str">
        <f>IF(VLOOKUP(A170,'20yPlan'!A:D,4,FALSE)="","",VLOOKUP(A170,'20yPlan'!A:D,4,FALSE))</f>
        <v/>
      </c>
      <c r="AH170" s="7" t="str">
        <f>IF(VLOOKUP(A170,'20yPlan'!A:E,5,FALSE)="","",VLOOKUP(A170,'20yPlan'!A:E,5,FALSE))</f>
        <v/>
      </c>
      <c r="AI170" s="7" t="str">
        <f>IF(VLOOKUP(A170,'20yPlan'!A:F,6,FALSE)="","",VLOOKUP(A170,'20yPlan'!A:F,6,FALSE))</f>
        <v/>
      </c>
      <c r="AJ170" s="7" t="str">
        <f t="shared" si="25"/>
        <v/>
      </c>
      <c r="AK170" s="7" t="str">
        <f t="shared" si="26"/>
        <v>2027 RPM Replacement</v>
      </c>
      <c r="AL170" s="39">
        <f t="shared" ca="1" si="27"/>
        <v>2025</v>
      </c>
      <c r="AM170" s="7">
        <f t="shared" si="28"/>
        <v>2027</v>
      </c>
      <c r="AN170" s="7" t="str">
        <f t="shared" si="29"/>
        <v>2027 RPM Replacement</v>
      </c>
    </row>
    <row r="171" spans="1:40">
      <c r="A171" s="6">
        <v>60178</v>
      </c>
      <c r="B171" s="6" t="s">
        <v>621</v>
      </c>
      <c r="C171" s="6" t="s">
        <v>630</v>
      </c>
      <c r="D171" s="6">
        <v>28.238835000000002</v>
      </c>
      <c r="E171" s="6">
        <v>32.520614999999999</v>
      </c>
      <c r="F171" s="6" t="s">
        <v>631</v>
      </c>
      <c r="G171" s="6" t="s">
        <v>632</v>
      </c>
      <c r="H171" s="35">
        <v>150728</v>
      </c>
      <c r="I171" s="6" t="s">
        <v>154</v>
      </c>
      <c r="J171" s="6">
        <v>4</v>
      </c>
      <c r="K171" s="6"/>
      <c r="L171" s="6">
        <v>4</v>
      </c>
      <c r="M171" s="6" t="s">
        <v>45</v>
      </c>
      <c r="N171" s="6" t="s">
        <v>250</v>
      </c>
      <c r="O171" s="6" t="s">
        <v>61</v>
      </c>
      <c r="P171" s="6" t="s">
        <v>112</v>
      </c>
      <c r="Q171" s="6" t="s">
        <v>633</v>
      </c>
      <c r="R171" s="35">
        <v>19552</v>
      </c>
      <c r="S171" s="6">
        <v>604</v>
      </c>
      <c r="T171" s="36" t="s">
        <v>50</v>
      </c>
      <c r="U171" s="46">
        <f>IF($L171&lt;=2,
IF($R171&lt;=RpmDesignStandard!$C$2,RpmDesignStandard!$D$2,
IF(AND($R171&gt;RpmDesignStandard!$B$3,$R171&lt;=RpmDesignStandard!$C$3),RpmDesignStandard!$D$3,RpmDesignStandard!$D$4)),
IF($R171&lt;=RpmDesignStandard!$C$5, RpmDesignStandard!$D$5,
IF(AND($R171&gt;RpmDesignStandard!$B$6,$R171&lt;=RpmDesignStandard!$C$6),RpmDesignStandard!$D$6,
IF(AND($R171&gt;RpmDesignStandard!$B$7,$R171&lt;=RpmDesignStandard!$C$7),RpmDesignStandard!$D$7,RpmDesignStandard!$D$8))))</f>
        <v>3</v>
      </c>
      <c r="V171" s="47">
        <f>U171*RpmDesignStandard!$H$1</f>
        <v>6</v>
      </c>
      <c r="W171" s="37" t="str">
        <f>VLOOKUP(A171,RPM_ProjectRecord!A:AB,8,FALSE)</f>
        <v/>
      </c>
      <c r="X171" s="38" t="str">
        <f t="shared" si="20"/>
        <v/>
      </c>
      <c r="Y171" s="38" t="str">
        <f t="shared" si="21"/>
        <v/>
      </c>
      <c r="Z171" s="38" t="str">
        <f t="shared" si="22"/>
        <v/>
      </c>
      <c r="AA171" s="38" t="str">
        <f t="shared" si="23"/>
        <v/>
      </c>
      <c r="AB171" s="38" t="str">
        <f t="shared" si="24"/>
        <v/>
      </c>
      <c r="AC171" s="38" t="str">
        <f>IF(VLOOKUP(A171,'3rdPhaseChipSeal'!A:L,12,FALSE)="","",VLOOKUP(A171,'3rdPhaseChipSeal'!A:L,12,FALSE))</f>
        <v/>
      </c>
      <c r="AD171" s="38" t="str">
        <f>IFERROR(IF(VLOOKUP(A171,RpmContracts!A:C,3,FALSE)="","",VLOOKUP(A171,RpmContracts!A:C,3,FALSE)),"")</f>
        <v/>
      </c>
      <c r="AE171" s="7" t="str">
        <f>IF(VLOOKUP(A171,'20yPlan'!A:B,2,FALSE)="","",VLOOKUP(A171,'20yPlan'!A:B,2,FALSE))</f>
        <v/>
      </c>
      <c r="AF171" s="7" t="str">
        <f>IF(VLOOKUP(A171,'20yPlan'!A:C,3,FALSE)="","",VLOOKUP(A171,'20yPlan'!A:C,3,FALSE))</f>
        <v/>
      </c>
      <c r="AG171" s="7" t="str">
        <f>IF(VLOOKUP(A171,'20yPlan'!A:D,4,FALSE)="","",VLOOKUP(A171,'20yPlan'!A:D,4,FALSE))</f>
        <v/>
      </c>
      <c r="AH171" s="7" t="str">
        <f>IF(VLOOKUP(A171,'20yPlan'!A:E,5,FALSE)="","",VLOOKUP(A171,'20yPlan'!A:E,5,FALSE))</f>
        <v/>
      </c>
      <c r="AI171" s="7" t="str">
        <f>IF(VLOOKUP(A171,'20yPlan'!A:F,6,FALSE)="","",VLOOKUP(A171,'20yPlan'!A:F,6,FALSE))</f>
        <v/>
      </c>
      <c r="AJ171" s="7" t="str">
        <f t="shared" si="25"/>
        <v/>
      </c>
      <c r="AK171" s="7" t="str">
        <f t="shared" si="26"/>
        <v/>
      </c>
      <c r="AL171" s="39">
        <f t="shared" ca="1" si="27"/>
        <v>2025</v>
      </c>
      <c r="AM171" s="7" t="str">
        <f t="shared" si="28"/>
        <v/>
      </c>
      <c r="AN171" s="7" t="str">
        <f t="shared" si="29"/>
        <v/>
      </c>
    </row>
    <row r="172" spans="1:40">
      <c r="A172" s="6">
        <v>60179</v>
      </c>
      <c r="B172" s="6" t="s">
        <v>621</v>
      </c>
      <c r="C172" s="6" t="s">
        <v>634</v>
      </c>
      <c r="D172" s="6">
        <v>19.142448000000002</v>
      </c>
      <c r="E172" s="6">
        <v>22.630545999999999</v>
      </c>
      <c r="F172" s="6" t="s">
        <v>629</v>
      </c>
      <c r="G172" s="6" t="s">
        <v>635</v>
      </c>
      <c r="H172" s="35">
        <v>190791</v>
      </c>
      <c r="I172" s="6" t="s">
        <v>141</v>
      </c>
      <c r="J172" s="6">
        <v>4</v>
      </c>
      <c r="K172" s="6">
        <v>2024</v>
      </c>
      <c r="L172" s="6">
        <v>4</v>
      </c>
      <c r="M172" s="6" t="s">
        <v>45</v>
      </c>
      <c r="N172" s="6" t="s">
        <v>46</v>
      </c>
      <c r="O172" s="6" t="s">
        <v>61</v>
      </c>
      <c r="P172" s="6" t="s">
        <v>627</v>
      </c>
      <c r="Q172" s="6" t="s">
        <v>636</v>
      </c>
      <c r="R172" s="35">
        <v>26205</v>
      </c>
      <c r="S172" s="35">
        <v>1557</v>
      </c>
      <c r="T172" s="36" t="s">
        <v>50</v>
      </c>
      <c r="U172" s="46">
        <f>IF($L172&lt;=2,
IF($R172&lt;=RpmDesignStandard!$C$2,RpmDesignStandard!$D$2,
IF(AND($R172&gt;RpmDesignStandard!$B$3,$R172&lt;=RpmDesignStandard!$C$3),RpmDesignStandard!$D$3,RpmDesignStandard!$D$4)),
IF($R172&lt;=RpmDesignStandard!$C$5, RpmDesignStandard!$D$5,
IF(AND($R172&gt;RpmDesignStandard!$B$6,$R172&lt;=RpmDesignStandard!$C$6),RpmDesignStandard!$D$6,
IF(AND($R172&gt;RpmDesignStandard!$B$7,$R172&lt;=RpmDesignStandard!$C$7),RpmDesignStandard!$D$7,RpmDesignStandard!$D$8))))</f>
        <v>3</v>
      </c>
      <c r="V172" s="47">
        <f>U172*RpmDesignStandard!$H$1</f>
        <v>6</v>
      </c>
      <c r="W172" s="37" t="str">
        <f>VLOOKUP(A172,RPM_ProjectRecord!A:AB,8,FALSE)</f>
        <v/>
      </c>
      <c r="X172" s="38">
        <f t="shared" si="20"/>
        <v>2042</v>
      </c>
      <c r="Y172" s="38" t="str">
        <f t="shared" si="21"/>
        <v/>
      </c>
      <c r="Z172" s="38" t="str">
        <f t="shared" si="22"/>
        <v/>
      </c>
      <c r="AA172" s="38" t="str">
        <f t="shared" si="23"/>
        <v/>
      </c>
      <c r="AB172" s="38" t="str">
        <f t="shared" si="24"/>
        <v/>
      </c>
      <c r="AC172" s="38" t="str">
        <f>IF(VLOOKUP(A172,'3rdPhaseChipSeal'!A:L,12,FALSE)="","",VLOOKUP(A172,'3rdPhaseChipSeal'!A:L,12,FALSE))</f>
        <v/>
      </c>
      <c r="AD172" s="38" t="str">
        <f>IFERROR(IF(VLOOKUP(A172,RpmContracts!A:C,3,FALSE)="","",VLOOKUP(A172,RpmContracts!A:C,3,FALSE)),"")</f>
        <v/>
      </c>
      <c r="AE172" s="7" t="str">
        <f>IF(VLOOKUP(A172,'20yPlan'!A:B,2,FALSE)="","",VLOOKUP(A172,'20yPlan'!A:B,2,FALSE))</f>
        <v>2042 Preventive Maintenance</v>
      </c>
      <c r="AF172" s="7" t="str">
        <f>IF(VLOOKUP(A172,'20yPlan'!A:C,3,FALSE)="","",VLOOKUP(A172,'20yPlan'!A:C,3,FALSE))</f>
        <v/>
      </c>
      <c r="AG172" s="7" t="str">
        <f>IF(VLOOKUP(A172,'20yPlan'!A:D,4,FALSE)="","",VLOOKUP(A172,'20yPlan'!A:D,4,FALSE))</f>
        <v/>
      </c>
      <c r="AH172" s="7" t="str">
        <f>IF(VLOOKUP(A172,'20yPlan'!A:E,5,FALSE)="","",VLOOKUP(A172,'20yPlan'!A:E,5,FALSE))</f>
        <v/>
      </c>
      <c r="AI172" s="7" t="str">
        <f>IF(VLOOKUP(A172,'20yPlan'!A:F,6,FALSE)="","",VLOOKUP(A172,'20yPlan'!A:F,6,FALSE))</f>
        <v/>
      </c>
      <c r="AJ172" s="7" t="str">
        <f t="shared" si="25"/>
        <v/>
      </c>
      <c r="AK172" s="7" t="str">
        <f t="shared" si="26"/>
        <v/>
      </c>
      <c r="AL172" s="39">
        <f t="shared" ca="1" si="27"/>
        <v>2025</v>
      </c>
      <c r="AM172" s="7" t="str">
        <f t="shared" si="28"/>
        <v/>
      </c>
      <c r="AN172" s="7" t="str">
        <f t="shared" si="29"/>
        <v/>
      </c>
    </row>
    <row r="173" spans="1:40">
      <c r="A173" s="6">
        <v>60180</v>
      </c>
      <c r="B173" s="6" t="s">
        <v>621</v>
      </c>
      <c r="C173" s="6" t="s">
        <v>637</v>
      </c>
      <c r="D173" s="6">
        <v>42.874743000000002</v>
      </c>
      <c r="E173" s="6">
        <v>44.680981000000003</v>
      </c>
      <c r="F173" s="6" t="s">
        <v>638</v>
      </c>
      <c r="G173" s="6" t="s">
        <v>639</v>
      </c>
      <c r="H173" s="35">
        <v>27060</v>
      </c>
      <c r="I173" s="6" t="s">
        <v>141</v>
      </c>
      <c r="J173" s="6">
        <v>3</v>
      </c>
      <c r="K173" s="6"/>
      <c r="L173" s="6">
        <v>2</v>
      </c>
      <c r="M173" s="6" t="s">
        <v>45</v>
      </c>
      <c r="N173" s="6" t="s">
        <v>250</v>
      </c>
      <c r="O173" s="6" t="s">
        <v>302</v>
      </c>
      <c r="P173" s="6" t="s">
        <v>303</v>
      </c>
      <c r="Q173" s="6" t="s">
        <v>81</v>
      </c>
      <c r="R173" s="35">
        <v>11860</v>
      </c>
      <c r="S173" s="6">
        <v>439</v>
      </c>
      <c r="T173" s="36" t="s">
        <v>50</v>
      </c>
      <c r="U173" s="46">
        <f>IF($L173&lt;=2,
IF($R173&lt;=RpmDesignStandard!$C$2,RpmDesignStandard!$D$2,
IF(AND($R173&gt;RpmDesignStandard!$B$3,$R173&lt;=RpmDesignStandard!$C$3),RpmDesignStandard!$D$3,RpmDesignStandard!$D$4)),
IF($R173&lt;=RpmDesignStandard!$C$5, RpmDesignStandard!$D$5,
IF(AND($R173&gt;RpmDesignStandard!$B$6,$R173&lt;=RpmDesignStandard!$C$6),RpmDesignStandard!$D$6,
IF(AND($R173&gt;RpmDesignStandard!$B$7,$R173&lt;=RpmDesignStandard!$C$7),RpmDesignStandard!$D$7,RpmDesignStandard!$D$8))))</f>
        <v>3</v>
      </c>
      <c r="V173" s="47">
        <f>U173*RpmDesignStandard!$H$1</f>
        <v>6</v>
      </c>
      <c r="W173" s="37" t="str">
        <f>VLOOKUP(A173,RPM_ProjectRecord!A:AB,8,FALSE)</f>
        <v/>
      </c>
      <c r="X173" s="38">
        <f t="shared" si="20"/>
        <v>2036</v>
      </c>
      <c r="Y173" s="38" t="str">
        <f t="shared" si="21"/>
        <v/>
      </c>
      <c r="Z173" s="38" t="str">
        <f t="shared" si="22"/>
        <v/>
      </c>
      <c r="AA173" s="38" t="str">
        <f t="shared" si="23"/>
        <v/>
      </c>
      <c r="AB173" s="38" t="str">
        <f t="shared" si="24"/>
        <v/>
      </c>
      <c r="AC173" s="38" t="str">
        <f>IF(VLOOKUP(A173,'3rdPhaseChipSeal'!A:L,12,FALSE)="","",VLOOKUP(A173,'3rdPhaseChipSeal'!A:L,12,FALSE))</f>
        <v/>
      </c>
      <c r="AD173" s="38" t="str">
        <f>IFERROR(IF(VLOOKUP(A173,RpmContracts!A:C,3,FALSE)="","",VLOOKUP(A173,RpmContracts!A:C,3,FALSE)),"")</f>
        <v/>
      </c>
      <c r="AE173" s="7" t="str">
        <f>IF(VLOOKUP(A173,'20yPlan'!A:B,2,FALSE)="","",VLOOKUP(A173,'20yPlan'!A:B,2,FALSE))</f>
        <v>2036 Preventive Maintenance</v>
      </c>
      <c r="AF173" s="7" t="str">
        <f>IF(VLOOKUP(A173,'20yPlan'!A:C,3,FALSE)="","",VLOOKUP(A173,'20yPlan'!A:C,3,FALSE))</f>
        <v/>
      </c>
      <c r="AG173" s="7" t="str">
        <f>IF(VLOOKUP(A173,'20yPlan'!A:D,4,FALSE)="","",VLOOKUP(A173,'20yPlan'!A:D,4,FALSE))</f>
        <v/>
      </c>
      <c r="AH173" s="7" t="str">
        <f>IF(VLOOKUP(A173,'20yPlan'!A:E,5,FALSE)="","",VLOOKUP(A173,'20yPlan'!A:E,5,FALSE))</f>
        <v/>
      </c>
      <c r="AI173" s="7" t="str">
        <f>IF(VLOOKUP(A173,'20yPlan'!A:F,6,FALSE)="","",VLOOKUP(A173,'20yPlan'!A:F,6,FALSE))</f>
        <v/>
      </c>
      <c r="AJ173" s="7" t="str">
        <f t="shared" si="25"/>
        <v/>
      </c>
      <c r="AK173" s="7" t="str">
        <f t="shared" si="26"/>
        <v/>
      </c>
      <c r="AL173" s="39">
        <f t="shared" ca="1" si="27"/>
        <v>2025</v>
      </c>
      <c r="AM173" s="7" t="str">
        <f t="shared" si="28"/>
        <v/>
      </c>
      <c r="AN173" s="7" t="str">
        <f t="shared" si="29"/>
        <v/>
      </c>
    </row>
    <row r="174" spans="1:40">
      <c r="A174" s="6">
        <v>60181</v>
      </c>
      <c r="B174" s="6" t="s">
        <v>621</v>
      </c>
      <c r="C174" s="6" t="s">
        <v>640</v>
      </c>
      <c r="D174" s="6">
        <v>44.680981000000003</v>
      </c>
      <c r="E174" s="6">
        <v>53.537968999999997</v>
      </c>
      <c r="F174" s="6" t="s">
        <v>639</v>
      </c>
      <c r="G174" s="6" t="s">
        <v>641</v>
      </c>
      <c r="H174" s="35">
        <v>159881</v>
      </c>
      <c r="I174" s="6" t="s">
        <v>195</v>
      </c>
      <c r="J174" s="6">
        <v>18</v>
      </c>
      <c r="K174" s="6">
        <v>2029</v>
      </c>
      <c r="L174" s="6">
        <v>2</v>
      </c>
      <c r="M174" s="6" t="s">
        <v>45</v>
      </c>
      <c r="N174" s="6" t="s">
        <v>250</v>
      </c>
      <c r="O174" s="6" t="s">
        <v>302</v>
      </c>
      <c r="P174" s="6" t="s">
        <v>303</v>
      </c>
      <c r="Q174" s="6" t="s">
        <v>81</v>
      </c>
      <c r="R174" s="35">
        <v>2739</v>
      </c>
      <c r="S174" s="6">
        <v>101</v>
      </c>
      <c r="T174" s="36" t="s">
        <v>253</v>
      </c>
      <c r="U174" s="46">
        <f>IF($L174&lt;=2,
IF($R174&lt;=RpmDesignStandard!$C$2,RpmDesignStandard!$D$2,
IF(AND($R174&gt;RpmDesignStandard!$B$3,$R174&lt;=RpmDesignStandard!$C$3),RpmDesignStandard!$D$3,RpmDesignStandard!$D$4)),
IF($R174&lt;=RpmDesignStandard!$C$5, RpmDesignStandard!$D$5,
IF(AND($R174&gt;RpmDesignStandard!$B$6,$R174&lt;=RpmDesignStandard!$C$6),RpmDesignStandard!$D$6,
IF(AND($R174&gt;RpmDesignStandard!$B$7,$R174&lt;=RpmDesignStandard!$C$7),RpmDesignStandard!$D$7,RpmDesignStandard!$D$8))))</f>
        <v>4</v>
      </c>
      <c r="V174" s="47">
        <f>U174*RpmDesignStandard!$H$1</f>
        <v>8</v>
      </c>
      <c r="W174" s="37">
        <f>VLOOKUP(A174,RPM_ProjectRecord!A:AB,8,FALSE)</f>
        <v>2023</v>
      </c>
      <c r="X174" s="38" t="str">
        <f t="shared" si="20"/>
        <v/>
      </c>
      <c r="Y174" s="38" t="str">
        <f t="shared" si="21"/>
        <v/>
      </c>
      <c r="Z174" s="38" t="str">
        <f t="shared" si="22"/>
        <v/>
      </c>
      <c r="AA174" s="38" t="str">
        <f t="shared" si="23"/>
        <v/>
      </c>
      <c r="AB174" s="38" t="str">
        <f t="shared" si="24"/>
        <v/>
      </c>
      <c r="AC174" s="38">
        <f>IF(VLOOKUP(A174,'3rdPhaseChipSeal'!A:L,12,FALSE)="","",VLOOKUP(A174,'3rdPhaseChipSeal'!A:L,12,FALSE))</f>
        <v>2029</v>
      </c>
      <c r="AD174" s="38" t="str">
        <f>IFERROR(IF(VLOOKUP(A174,RpmContracts!A:C,3,FALSE)="","",VLOOKUP(A174,RpmContracts!A:C,3,FALSE)),"")</f>
        <v/>
      </c>
      <c r="AE174" s="7" t="str">
        <f>IF(VLOOKUP(A174,'20yPlan'!A:B,2,FALSE)="","",VLOOKUP(A174,'20yPlan'!A:B,2,FALSE))</f>
        <v/>
      </c>
      <c r="AF174" s="7" t="str">
        <f>IF(VLOOKUP(A174,'20yPlan'!A:C,3,FALSE)="","",VLOOKUP(A174,'20yPlan'!A:C,3,FALSE))</f>
        <v/>
      </c>
      <c r="AG174" s="7" t="str">
        <f>IF(VLOOKUP(A174,'20yPlan'!A:D,4,FALSE)="","",VLOOKUP(A174,'20yPlan'!A:D,4,FALSE))</f>
        <v/>
      </c>
      <c r="AH174" s="7" t="str">
        <f>IF(VLOOKUP(A174,'20yPlan'!A:E,5,FALSE)="","",VLOOKUP(A174,'20yPlan'!A:E,5,FALSE))</f>
        <v/>
      </c>
      <c r="AI174" s="7" t="str">
        <f>IF(VLOOKUP(A174,'20yPlan'!A:F,6,FALSE)="","",VLOOKUP(A174,'20yPlan'!A:F,6,FALSE))</f>
        <v/>
      </c>
      <c r="AJ174" s="7" t="str">
        <f t="shared" si="25"/>
        <v>2029 Chip Seal</v>
      </c>
      <c r="AK174" s="7" t="str">
        <f t="shared" si="26"/>
        <v/>
      </c>
      <c r="AL174" s="39">
        <f t="shared" ca="1" si="27"/>
        <v>2027</v>
      </c>
      <c r="AM174" s="7">
        <f t="shared" si="28"/>
        <v>2029</v>
      </c>
      <c r="AN174" s="7" t="str">
        <f t="shared" si="29"/>
        <v>2029 Chip Seal</v>
      </c>
    </row>
    <row r="175" spans="1:40">
      <c r="A175" s="6">
        <v>60182</v>
      </c>
      <c r="B175" s="6" t="s">
        <v>621</v>
      </c>
      <c r="C175" s="6" t="s">
        <v>642</v>
      </c>
      <c r="D175" s="6">
        <v>53.537968999999997</v>
      </c>
      <c r="E175" s="6">
        <v>64.595296000000005</v>
      </c>
      <c r="F175" s="6" t="s">
        <v>641</v>
      </c>
      <c r="G175" s="6" t="s">
        <v>643</v>
      </c>
      <c r="H175" s="35">
        <v>205120</v>
      </c>
      <c r="I175" s="6" t="s">
        <v>195</v>
      </c>
      <c r="J175" s="6">
        <v>15</v>
      </c>
      <c r="K175" s="6">
        <v>2029</v>
      </c>
      <c r="L175" s="6">
        <v>2</v>
      </c>
      <c r="M175" s="6" t="s">
        <v>45</v>
      </c>
      <c r="N175" s="6" t="s">
        <v>250</v>
      </c>
      <c r="O175" s="6" t="s">
        <v>79</v>
      </c>
      <c r="P175" s="6" t="s">
        <v>210</v>
      </c>
      <c r="Q175" s="6" t="s">
        <v>81</v>
      </c>
      <c r="R175" s="35">
        <v>1430</v>
      </c>
      <c r="S175" s="6">
        <v>121</v>
      </c>
      <c r="T175" s="36" t="s">
        <v>253</v>
      </c>
      <c r="U175" s="46">
        <f>IF($L175&lt;=2,
IF($R175&lt;=RpmDesignStandard!$C$2,RpmDesignStandard!$D$2,
IF(AND($R175&gt;RpmDesignStandard!$B$3,$R175&lt;=RpmDesignStandard!$C$3),RpmDesignStandard!$D$3,RpmDesignStandard!$D$4)),
IF($R175&lt;=RpmDesignStandard!$C$5, RpmDesignStandard!$D$5,
IF(AND($R175&gt;RpmDesignStandard!$B$6,$R175&lt;=RpmDesignStandard!$C$6),RpmDesignStandard!$D$6,
IF(AND($R175&gt;RpmDesignStandard!$B$7,$R175&lt;=RpmDesignStandard!$C$7),RpmDesignStandard!$D$7,RpmDesignStandard!$D$8))))</f>
        <v>4</v>
      </c>
      <c r="V175" s="47">
        <f>U175*RpmDesignStandard!$H$1</f>
        <v>8</v>
      </c>
      <c r="W175" s="37">
        <f>VLOOKUP(A175,RPM_ProjectRecord!A:AB,8,FALSE)</f>
        <v>2023</v>
      </c>
      <c r="X175" s="38" t="str">
        <f t="shared" si="20"/>
        <v/>
      </c>
      <c r="Y175" s="38" t="str">
        <f t="shared" si="21"/>
        <v/>
      </c>
      <c r="Z175" s="38" t="str">
        <f t="shared" si="22"/>
        <v/>
      </c>
      <c r="AA175" s="38" t="str">
        <f t="shared" si="23"/>
        <v/>
      </c>
      <c r="AB175" s="38" t="str">
        <f t="shared" si="24"/>
        <v/>
      </c>
      <c r="AC175" s="38">
        <f>IF(VLOOKUP(A175,'3rdPhaseChipSeal'!A:L,12,FALSE)="","",VLOOKUP(A175,'3rdPhaseChipSeal'!A:L,12,FALSE))</f>
        <v>2029</v>
      </c>
      <c r="AD175" s="38" t="str">
        <f>IFERROR(IF(VLOOKUP(A175,RpmContracts!A:C,3,FALSE)="","",VLOOKUP(A175,RpmContracts!A:C,3,FALSE)),"")</f>
        <v/>
      </c>
      <c r="AE175" s="7" t="str">
        <f>IF(VLOOKUP(A175,'20yPlan'!A:B,2,FALSE)="","",VLOOKUP(A175,'20yPlan'!A:B,2,FALSE))</f>
        <v/>
      </c>
      <c r="AF175" s="7" t="str">
        <f>IF(VLOOKUP(A175,'20yPlan'!A:C,3,FALSE)="","",VLOOKUP(A175,'20yPlan'!A:C,3,FALSE))</f>
        <v/>
      </c>
      <c r="AG175" s="7" t="str">
        <f>IF(VLOOKUP(A175,'20yPlan'!A:D,4,FALSE)="","",VLOOKUP(A175,'20yPlan'!A:D,4,FALSE))</f>
        <v/>
      </c>
      <c r="AH175" s="7" t="str">
        <f>IF(VLOOKUP(A175,'20yPlan'!A:E,5,FALSE)="","",VLOOKUP(A175,'20yPlan'!A:E,5,FALSE))</f>
        <v/>
      </c>
      <c r="AI175" s="7" t="str">
        <f>IF(VLOOKUP(A175,'20yPlan'!A:F,6,FALSE)="","",VLOOKUP(A175,'20yPlan'!A:F,6,FALSE))</f>
        <v/>
      </c>
      <c r="AJ175" s="7" t="str">
        <f t="shared" si="25"/>
        <v>2029 Chip Seal</v>
      </c>
      <c r="AK175" s="7" t="str">
        <f t="shared" si="26"/>
        <v/>
      </c>
      <c r="AL175" s="39">
        <f t="shared" ca="1" si="27"/>
        <v>2027</v>
      </c>
      <c r="AM175" s="7">
        <f t="shared" si="28"/>
        <v>2029</v>
      </c>
      <c r="AN175" s="7" t="str">
        <f t="shared" si="29"/>
        <v>2029 Chip Seal</v>
      </c>
    </row>
    <row r="176" spans="1:40">
      <c r="A176" s="6">
        <v>60183</v>
      </c>
      <c r="B176" s="6" t="s">
        <v>621</v>
      </c>
      <c r="C176" s="6" t="s">
        <v>644</v>
      </c>
      <c r="D176" s="6">
        <v>64.596295999999995</v>
      </c>
      <c r="E176" s="6">
        <v>66.191772</v>
      </c>
      <c r="F176" s="6" t="s">
        <v>645</v>
      </c>
      <c r="G176" s="6" t="s">
        <v>646</v>
      </c>
      <c r="H176" s="35">
        <v>35538</v>
      </c>
      <c r="I176" s="6" t="s">
        <v>44</v>
      </c>
      <c r="J176" s="6">
        <v>1</v>
      </c>
      <c r="K176" s="6"/>
      <c r="L176" s="6">
        <v>2</v>
      </c>
      <c r="M176" s="6" t="s">
        <v>45</v>
      </c>
      <c r="N176" s="6" t="s">
        <v>250</v>
      </c>
      <c r="O176" s="6" t="s">
        <v>79</v>
      </c>
      <c r="P176" s="6" t="s">
        <v>80</v>
      </c>
      <c r="Q176" s="6" t="s">
        <v>321</v>
      </c>
      <c r="R176" s="35">
        <v>2424</v>
      </c>
      <c r="S176" s="6">
        <v>261</v>
      </c>
      <c r="T176" s="36" t="s">
        <v>50</v>
      </c>
      <c r="U176" s="46">
        <f>IF($L176&lt;=2,
IF($R176&lt;=RpmDesignStandard!$C$2,RpmDesignStandard!$D$2,
IF(AND($R176&gt;RpmDesignStandard!$B$3,$R176&lt;=RpmDesignStandard!$C$3),RpmDesignStandard!$D$3,RpmDesignStandard!$D$4)),
IF($R176&lt;=RpmDesignStandard!$C$5, RpmDesignStandard!$D$5,
IF(AND($R176&gt;RpmDesignStandard!$B$6,$R176&lt;=RpmDesignStandard!$C$6),RpmDesignStandard!$D$6,
IF(AND($R176&gt;RpmDesignStandard!$B$7,$R176&lt;=RpmDesignStandard!$C$7),RpmDesignStandard!$D$7,RpmDesignStandard!$D$8))))</f>
        <v>4</v>
      </c>
      <c r="V176" s="47">
        <f>U176*RpmDesignStandard!$H$1</f>
        <v>8</v>
      </c>
      <c r="W176" s="37">
        <f>VLOOKUP(A176,RPM_ProjectRecord!A:AB,8,FALSE)</f>
        <v>2022</v>
      </c>
      <c r="X176" s="38" t="str">
        <f t="shared" si="20"/>
        <v/>
      </c>
      <c r="Y176" s="38" t="str">
        <f t="shared" si="21"/>
        <v/>
      </c>
      <c r="Z176" s="38" t="str">
        <f t="shared" si="22"/>
        <v/>
      </c>
      <c r="AA176" s="38" t="str">
        <f t="shared" si="23"/>
        <v/>
      </c>
      <c r="AB176" s="38" t="str">
        <f t="shared" si="24"/>
        <v/>
      </c>
      <c r="AC176" s="38" t="str">
        <f>IF(VLOOKUP(A176,'3rdPhaseChipSeal'!A:L,12,FALSE)="","",VLOOKUP(A176,'3rdPhaseChipSeal'!A:L,12,FALSE))</f>
        <v/>
      </c>
      <c r="AD176" s="38">
        <f>IFERROR(IF(VLOOKUP(A176,RpmContracts!A:C,3,FALSE)="","",VLOOKUP(A176,RpmContracts!A:C,3,FALSE)),"")</f>
        <v>2027</v>
      </c>
      <c r="AE176" s="7" t="str">
        <f>IF(VLOOKUP(A176,'20yPlan'!A:B,2,FALSE)="","",VLOOKUP(A176,'20yPlan'!A:B,2,FALSE))</f>
        <v/>
      </c>
      <c r="AF176" s="7" t="str">
        <f>IF(VLOOKUP(A176,'20yPlan'!A:C,3,FALSE)="","",VLOOKUP(A176,'20yPlan'!A:C,3,FALSE))</f>
        <v/>
      </c>
      <c r="AG176" s="7" t="str">
        <f>IF(VLOOKUP(A176,'20yPlan'!A:D,4,FALSE)="","",VLOOKUP(A176,'20yPlan'!A:D,4,FALSE))</f>
        <v/>
      </c>
      <c r="AH176" s="7" t="str">
        <f>IF(VLOOKUP(A176,'20yPlan'!A:E,5,FALSE)="","",VLOOKUP(A176,'20yPlan'!A:E,5,FALSE))</f>
        <v/>
      </c>
      <c r="AI176" s="7" t="str">
        <f>IF(VLOOKUP(A176,'20yPlan'!A:F,6,FALSE)="","",VLOOKUP(A176,'20yPlan'!A:F,6,FALSE))</f>
        <v/>
      </c>
      <c r="AJ176" s="7" t="str">
        <f t="shared" si="25"/>
        <v/>
      </c>
      <c r="AK176" s="7" t="str">
        <f t="shared" si="26"/>
        <v>2027 RPM Replacement</v>
      </c>
      <c r="AL176" s="39">
        <f t="shared" ca="1" si="27"/>
        <v>2026</v>
      </c>
      <c r="AM176" s="7">
        <f t="shared" si="28"/>
        <v>2027</v>
      </c>
      <c r="AN176" s="7" t="str">
        <f t="shared" si="29"/>
        <v>2027 RPM Replacement</v>
      </c>
    </row>
    <row r="177" spans="1:40">
      <c r="A177" s="6">
        <v>60184</v>
      </c>
      <c r="B177" s="6" t="s">
        <v>621</v>
      </c>
      <c r="C177" s="6" t="s">
        <v>647</v>
      </c>
      <c r="D177" s="6">
        <v>66.191772</v>
      </c>
      <c r="E177" s="6">
        <v>71.324960000000004</v>
      </c>
      <c r="F177" s="6" t="s">
        <v>646</v>
      </c>
      <c r="G177" s="6" t="s">
        <v>648</v>
      </c>
      <c r="H177" s="35">
        <v>89367</v>
      </c>
      <c r="I177" s="6" t="s">
        <v>195</v>
      </c>
      <c r="J177" s="6">
        <v>18</v>
      </c>
      <c r="K177" s="6">
        <v>2028</v>
      </c>
      <c r="L177" s="6">
        <v>2</v>
      </c>
      <c r="M177" s="6" t="s">
        <v>45</v>
      </c>
      <c r="N177" s="6" t="s">
        <v>250</v>
      </c>
      <c r="O177" s="6" t="s">
        <v>79</v>
      </c>
      <c r="P177" s="6" t="s">
        <v>80</v>
      </c>
      <c r="Q177" s="6" t="s">
        <v>321</v>
      </c>
      <c r="R177" s="35">
        <v>1367</v>
      </c>
      <c r="S177" s="6">
        <v>125</v>
      </c>
      <c r="T177" s="36" t="s">
        <v>253</v>
      </c>
      <c r="U177" s="46">
        <f>IF($L177&lt;=2,
IF($R177&lt;=RpmDesignStandard!$C$2,RpmDesignStandard!$D$2,
IF(AND($R177&gt;RpmDesignStandard!$B$3,$R177&lt;=RpmDesignStandard!$C$3),RpmDesignStandard!$D$3,RpmDesignStandard!$D$4)),
IF($R177&lt;=RpmDesignStandard!$C$5, RpmDesignStandard!$D$5,
IF(AND($R177&gt;RpmDesignStandard!$B$6,$R177&lt;=RpmDesignStandard!$C$6),RpmDesignStandard!$D$6,
IF(AND($R177&gt;RpmDesignStandard!$B$7,$R177&lt;=RpmDesignStandard!$C$7),RpmDesignStandard!$D$7,RpmDesignStandard!$D$8))))</f>
        <v>4</v>
      </c>
      <c r="V177" s="47">
        <f>U177*RpmDesignStandard!$H$1</f>
        <v>8</v>
      </c>
      <c r="W177" s="37" t="str">
        <f>VLOOKUP(A177,RPM_ProjectRecord!A:AB,8,FALSE)</f>
        <v/>
      </c>
      <c r="X177" s="38" t="str">
        <f t="shared" si="20"/>
        <v/>
      </c>
      <c r="Y177" s="38" t="str">
        <f t="shared" si="21"/>
        <v/>
      </c>
      <c r="Z177" s="38" t="str">
        <f t="shared" si="22"/>
        <v/>
      </c>
      <c r="AA177" s="38" t="str">
        <f t="shared" si="23"/>
        <v/>
      </c>
      <c r="AB177" s="38" t="str">
        <f t="shared" si="24"/>
        <v/>
      </c>
      <c r="AC177" s="38">
        <f>IF(VLOOKUP(A177,'3rdPhaseChipSeal'!A:L,12,FALSE)="","",VLOOKUP(A177,'3rdPhaseChipSeal'!A:L,12,FALSE))</f>
        <v>2028</v>
      </c>
      <c r="AD177" s="38" t="str">
        <f>IFERROR(IF(VLOOKUP(A177,RpmContracts!A:C,3,FALSE)="","",VLOOKUP(A177,RpmContracts!A:C,3,FALSE)),"")</f>
        <v/>
      </c>
      <c r="AE177" s="7" t="str">
        <f>IF(VLOOKUP(A177,'20yPlan'!A:B,2,FALSE)="","",VLOOKUP(A177,'20yPlan'!A:B,2,FALSE))</f>
        <v/>
      </c>
      <c r="AF177" s="7" t="str">
        <f>IF(VLOOKUP(A177,'20yPlan'!A:C,3,FALSE)="","",VLOOKUP(A177,'20yPlan'!A:C,3,FALSE))</f>
        <v/>
      </c>
      <c r="AG177" s="7" t="str">
        <f>IF(VLOOKUP(A177,'20yPlan'!A:D,4,FALSE)="","",VLOOKUP(A177,'20yPlan'!A:D,4,FALSE))</f>
        <v/>
      </c>
      <c r="AH177" s="7" t="str">
        <f>IF(VLOOKUP(A177,'20yPlan'!A:E,5,FALSE)="","",VLOOKUP(A177,'20yPlan'!A:E,5,FALSE))</f>
        <v/>
      </c>
      <c r="AI177" s="7" t="str">
        <f>IF(VLOOKUP(A177,'20yPlan'!A:F,6,FALSE)="","",VLOOKUP(A177,'20yPlan'!A:F,6,FALSE))</f>
        <v/>
      </c>
      <c r="AJ177" s="7" t="str">
        <f t="shared" si="25"/>
        <v>2028 Chip Seal</v>
      </c>
      <c r="AK177" s="7" t="str">
        <f t="shared" si="26"/>
        <v/>
      </c>
      <c r="AL177" s="39">
        <f t="shared" ca="1" si="27"/>
        <v>2025</v>
      </c>
      <c r="AM177" s="7" t="str">
        <f t="shared" si="28"/>
        <v/>
      </c>
      <c r="AN177" s="7" t="str">
        <f t="shared" si="29"/>
        <v/>
      </c>
    </row>
    <row r="178" spans="1:40">
      <c r="A178" s="6">
        <v>60187</v>
      </c>
      <c r="B178" s="6" t="s">
        <v>621</v>
      </c>
      <c r="C178" s="6" t="s">
        <v>649</v>
      </c>
      <c r="D178" s="6">
        <v>84.008572999999998</v>
      </c>
      <c r="E178" s="6">
        <v>90.185308000000006</v>
      </c>
      <c r="F178" s="6" t="s">
        <v>650</v>
      </c>
      <c r="G178" s="6" t="s">
        <v>651</v>
      </c>
      <c r="H178" s="35">
        <v>95136</v>
      </c>
      <c r="I178" s="6" t="s">
        <v>195</v>
      </c>
      <c r="J178" s="6">
        <v>22</v>
      </c>
      <c r="K178" s="6">
        <v>2026</v>
      </c>
      <c r="L178" s="6">
        <v>2</v>
      </c>
      <c r="M178" s="6" t="s">
        <v>45</v>
      </c>
      <c r="N178" s="6" t="s">
        <v>250</v>
      </c>
      <c r="O178" s="6" t="s">
        <v>215</v>
      </c>
      <c r="P178" s="6" t="s">
        <v>492</v>
      </c>
      <c r="Q178" s="6" t="s">
        <v>269</v>
      </c>
      <c r="R178" s="6">
        <v>258</v>
      </c>
      <c r="S178" s="6">
        <v>41</v>
      </c>
      <c r="T178" s="36" t="s">
        <v>253</v>
      </c>
      <c r="U178" s="46">
        <f>IF($L178&lt;=2,
IF($R178&lt;=RpmDesignStandard!$C$2,RpmDesignStandard!$D$2,
IF(AND($R178&gt;RpmDesignStandard!$B$3,$R178&lt;=RpmDesignStandard!$C$3),RpmDesignStandard!$D$3,RpmDesignStandard!$D$4)),
IF($R178&lt;=RpmDesignStandard!$C$5, RpmDesignStandard!$D$5,
IF(AND($R178&gt;RpmDesignStandard!$B$6,$R178&lt;=RpmDesignStandard!$C$6),RpmDesignStandard!$D$6,
IF(AND($R178&gt;RpmDesignStandard!$B$7,$R178&lt;=RpmDesignStandard!$C$7),RpmDesignStandard!$D$7,RpmDesignStandard!$D$8))))</f>
        <v>4</v>
      </c>
      <c r="V178" s="47">
        <f>U178*RpmDesignStandard!$H$1</f>
        <v>8</v>
      </c>
      <c r="W178" s="37" t="str">
        <f>VLOOKUP(A178,RPM_ProjectRecord!A:AB,8,FALSE)</f>
        <v/>
      </c>
      <c r="X178" s="38" t="str">
        <f t="shared" si="20"/>
        <v/>
      </c>
      <c r="Y178" s="38" t="str">
        <f t="shared" si="21"/>
        <v/>
      </c>
      <c r="Z178" s="38" t="str">
        <f t="shared" si="22"/>
        <v/>
      </c>
      <c r="AA178" s="38" t="str">
        <f t="shared" si="23"/>
        <v/>
      </c>
      <c r="AB178" s="38" t="str">
        <f t="shared" si="24"/>
        <v/>
      </c>
      <c r="AC178" s="38">
        <f>IF(VLOOKUP(A178,'3rdPhaseChipSeal'!A:L,12,FALSE)="","",VLOOKUP(A178,'3rdPhaseChipSeal'!A:L,12,FALSE))</f>
        <v>2026</v>
      </c>
      <c r="AD178" s="38">
        <f>IFERROR(IF(VLOOKUP(A178,RpmContracts!A:C,3,FALSE)="","",VLOOKUP(A178,RpmContracts!A:C,3,FALSE)),"")</f>
        <v>2027</v>
      </c>
      <c r="AE178" s="7" t="str">
        <f>IF(VLOOKUP(A178,'20yPlan'!A:B,2,FALSE)="","",VLOOKUP(A178,'20yPlan'!A:B,2,FALSE))</f>
        <v/>
      </c>
      <c r="AF178" s="7" t="str">
        <f>IF(VLOOKUP(A178,'20yPlan'!A:C,3,FALSE)="","",VLOOKUP(A178,'20yPlan'!A:C,3,FALSE))</f>
        <v/>
      </c>
      <c r="AG178" s="7" t="str">
        <f>IF(VLOOKUP(A178,'20yPlan'!A:D,4,FALSE)="","",VLOOKUP(A178,'20yPlan'!A:D,4,FALSE))</f>
        <v/>
      </c>
      <c r="AH178" s="7" t="str">
        <f>IF(VLOOKUP(A178,'20yPlan'!A:E,5,FALSE)="","",VLOOKUP(A178,'20yPlan'!A:E,5,FALSE))</f>
        <v/>
      </c>
      <c r="AI178" s="7" t="str">
        <f>IF(VLOOKUP(A178,'20yPlan'!A:F,6,FALSE)="","",VLOOKUP(A178,'20yPlan'!A:F,6,FALSE))</f>
        <v/>
      </c>
      <c r="AJ178" s="7" t="str">
        <f t="shared" si="25"/>
        <v>2026 Chip Seal</v>
      </c>
      <c r="AK178" s="7" t="str">
        <f t="shared" si="26"/>
        <v>2027 RPM Replacement</v>
      </c>
      <c r="AL178" s="39">
        <f t="shared" ca="1" si="27"/>
        <v>2025</v>
      </c>
      <c r="AM178" s="7">
        <f t="shared" si="28"/>
        <v>2027</v>
      </c>
      <c r="AN178" s="7" t="str">
        <f t="shared" si="29"/>
        <v>2027 RPM Replacement</v>
      </c>
    </row>
    <row r="179" spans="1:40">
      <c r="A179" s="6">
        <v>60188</v>
      </c>
      <c r="B179" s="6" t="s">
        <v>621</v>
      </c>
      <c r="C179" s="6" t="s">
        <v>652</v>
      </c>
      <c r="D179" s="6">
        <v>90.185308000000006</v>
      </c>
      <c r="E179" s="6">
        <v>97.480028000000004</v>
      </c>
      <c r="F179" s="6" t="s">
        <v>651</v>
      </c>
      <c r="G179" s="6" t="s">
        <v>653</v>
      </c>
      <c r="H179" s="35">
        <v>100879</v>
      </c>
      <c r="I179" s="6" t="s">
        <v>195</v>
      </c>
      <c r="J179" s="6">
        <v>19</v>
      </c>
      <c r="K179" s="6">
        <v>2030</v>
      </c>
      <c r="L179" s="6">
        <v>2</v>
      </c>
      <c r="M179" s="6" t="s">
        <v>45</v>
      </c>
      <c r="N179" s="6" t="s">
        <v>250</v>
      </c>
      <c r="O179" s="6" t="s">
        <v>79</v>
      </c>
      <c r="P179" s="6" t="s">
        <v>92</v>
      </c>
      <c r="Q179" s="6" t="s">
        <v>96</v>
      </c>
      <c r="R179" s="6">
        <v>269</v>
      </c>
      <c r="S179" s="6">
        <v>16</v>
      </c>
      <c r="T179" s="36" t="s">
        <v>253</v>
      </c>
      <c r="U179" s="46">
        <f>IF($L179&lt;=2,
IF($R179&lt;=RpmDesignStandard!$C$2,RpmDesignStandard!$D$2,
IF(AND($R179&gt;RpmDesignStandard!$B$3,$R179&lt;=RpmDesignStandard!$C$3),RpmDesignStandard!$D$3,RpmDesignStandard!$D$4)),
IF($R179&lt;=RpmDesignStandard!$C$5, RpmDesignStandard!$D$5,
IF(AND($R179&gt;RpmDesignStandard!$B$6,$R179&lt;=RpmDesignStandard!$C$6),RpmDesignStandard!$D$6,
IF(AND($R179&gt;RpmDesignStandard!$B$7,$R179&lt;=RpmDesignStandard!$C$7),RpmDesignStandard!$D$7,RpmDesignStandard!$D$8))))</f>
        <v>4</v>
      </c>
      <c r="V179" s="47">
        <f>U179*RpmDesignStandard!$H$1</f>
        <v>8</v>
      </c>
      <c r="W179" s="37" t="str">
        <f>VLOOKUP(A179,RPM_ProjectRecord!A:AB,8,FALSE)</f>
        <v/>
      </c>
      <c r="X179" s="38" t="str">
        <f t="shared" si="20"/>
        <v/>
      </c>
      <c r="Y179" s="38" t="str">
        <f t="shared" si="21"/>
        <v/>
      </c>
      <c r="Z179" s="38" t="str">
        <f t="shared" si="22"/>
        <v/>
      </c>
      <c r="AA179" s="38" t="str">
        <f t="shared" si="23"/>
        <v/>
      </c>
      <c r="AB179" s="38" t="str">
        <f t="shared" si="24"/>
        <v/>
      </c>
      <c r="AC179" s="38">
        <f>IF(VLOOKUP(A179,'3rdPhaseChipSeal'!A:L,12,FALSE)="","",VLOOKUP(A179,'3rdPhaseChipSeal'!A:L,12,FALSE))</f>
        <v>2037</v>
      </c>
      <c r="AD179" s="38">
        <f>IFERROR(IF(VLOOKUP(A179,RpmContracts!A:C,3,FALSE)="","",VLOOKUP(A179,RpmContracts!A:C,3,FALSE)),"")</f>
        <v>2027</v>
      </c>
      <c r="AE179" s="7" t="str">
        <f>IF(VLOOKUP(A179,'20yPlan'!A:B,2,FALSE)="","",VLOOKUP(A179,'20yPlan'!A:B,2,FALSE))</f>
        <v/>
      </c>
      <c r="AF179" s="7" t="str">
        <f>IF(VLOOKUP(A179,'20yPlan'!A:C,3,FALSE)="","",VLOOKUP(A179,'20yPlan'!A:C,3,FALSE))</f>
        <v/>
      </c>
      <c r="AG179" s="7" t="str">
        <f>IF(VLOOKUP(A179,'20yPlan'!A:D,4,FALSE)="","",VLOOKUP(A179,'20yPlan'!A:D,4,FALSE))</f>
        <v/>
      </c>
      <c r="AH179" s="7" t="str">
        <f>IF(VLOOKUP(A179,'20yPlan'!A:E,5,FALSE)="","",VLOOKUP(A179,'20yPlan'!A:E,5,FALSE))</f>
        <v/>
      </c>
      <c r="AI179" s="7" t="str">
        <f>IF(VLOOKUP(A179,'20yPlan'!A:F,6,FALSE)="","",VLOOKUP(A179,'20yPlan'!A:F,6,FALSE))</f>
        <v/>
      </c>
      <c r="AJ179" s="7" t="str">
        <f t="shared" si="25"/>
        <v>2037 Chip Seal</v>
      </c>
      <c r="AK179" s="7" t="str">
        <f t="shared" si="26"/>
        <v>2027 RPM Replacement</v>
      </c>
      <c r="AL179" s="39">
        <f t="shared" ca="1" si="27"/>
        <v>2025</v>
      </c>
      <c r="AM179" s="7">
        <f t="shared" si="28"/>
        <v>2027</v>
      </c>
      <c r="AN179" s="7" t="str">
        <f t="shared" si="29"/>
        <v>2027 RPM Replacement</v>
      </c>
    </row>
    <row r="180" spans="1:40">
      <c r="A180" s="6">
        <v>60189</v>
      </c>
      <c r="B180" s="6" t="s">
        <v>621</v>
      </c>
      <c r="C180" s="6" t="s">
        <v>654</v>
      </c>
      <c r="D180" s="6">
        <v>97.480028000000004</v>
      </c>
      <c r="E180" s="6">
        <v>105.22165200000001</v>
      </c>
      <c r="F180" s="6" t="s">
        <v>653</v>
      </c>
      <c r="G180" s="6" t="s">
        <v>655</v>
      </c>
      <c r="H180" s="35">
        <v>112499</v>
      </c>
      <c r="I180" s="6" t="s">
        <v>195</v>
      </c>
      <c r="J180" s="6">
        <v>19</v>
      </c>
      <c r="K180" s="6">
        <v>2030</v>
      </c>
      <c r="L180" s="6">
        <v>2</v>
      </c>
      <c r="M180" s="6" t="s">
        <v>45</v>
      </c>
      <c r="N180" s="6" t="s">
        <v>250</v>
      </c>
      <c r="O180" s="6" t="s">
        <v>79</v>
      </c>
      <c r="P180" s="6" t="s">
        <v>92</v>
      </c>
      <c r="Q180" s="6" t="s">
        <v>96</v>
      </c>
      <c r="R180" s="6">
        <v>393</v>
      </c>
      <c r="S180" s="6">
        <v>15</v>
      </c>
      <c r="T180" s="36" t="s">
        <v>253</v>
      </c>
      <c r="U180" s="46">
        <f>IF($L180&lt;=2,
IF($R180&lt;=RpmDesignStandard!$C$2,RpmDesignStandard!$D$2,
IF(AND($R180&gt;RpmDesignStandard!$B$3,$R180&lt;=RpmDesignStandard!$C$3),RpmDesignStandard!$D$3,RpmDesignStandard!$D$4)),
IF($R180&lt;=RpmDesignStandard!$C$5, RpmDesignStandard!$D$5,
IF(AND($R180&gt;RpmDesignStandard!$B$6,$R180&lt;=RpmDesignStandard!$C$6),RpmDesignStandard!$D$6,
IF(AND($R180&gt;RpmDesignStandard!$B$7,$R180&lt;=RpmDesignStandard!$C$7),RpmDesignStandard!$D$7,RpmDesignStandard!$D$8))))</f>
        <v>4</v>
      </c>
      <c r="V180" s="47">
        <f>U180*RpmDesignStandard!$H$1</f>
        <v>8</v>
      </c>
      <c r="W180" s="37" t="str">
        <f>VLOOKUP(A180,RPM_ProjectRecord!A:AB,8,FALSE)</f>
        <v/>
      </c>
      <c r="X180" s="38" t="str">
        <f t="shared" si="20"/>
        <v/>
      </c>
      <c r="Y180" s="38" t="str">
        <f t="shared" si="21"/>
        <v/>
      </c>
      <c r="Z180" s="38" t="str">
        <f t="shared" si="22"/>
        <v/>
      </c>
      <c r="AA180" s="38" t="str">
        <f t="shared" si="23"/>
        <v/>
      </c>
      <c r="AB180" s="38" t="str">
        <f t="shared" si="24"/>
        <v/>
      </c>
      <c r="AC180" s="38">
        <f>IF(VLOOKUP(A180,'3rdPhaseChipSeal'!A:L,12,FALSE)="","",VLOOKUP(A180,'3rdPhaseChipSeal'!A:L,12,FALSE))</f>
        <v>2030</v>
      </c>
      <c r="AD180" s="38">
        <f>IFERROR(IF(VLOOKUP(A180,RpmContracts!A:C,3,FALSE)="","",VLOOKUP(A180,RpmContracts!A:C,3,FALSE)),"")</f>
        <v>2027</v>
      </c>
      <c r="AE180" s="7" t="str">
        <f>IF(VLOOKUP(A180,'20yPlan'!A:B,2,FALSE)="","",VLOOKUP(A180,'20yPlan'!A:B,2,FALSE))</f>
        <v/>
      </c>
      <c r="AF180" s="7" t="str">
        <f>IF(VLOOKUP(A180,'20yPlan'!A:C,3,FALSE)="","",VLOOKUP(A180,'20yPlan'!A:C,3,FALSE))</f>
        <v/>
      </c>
      <c r="AG180" s="7" t="str">
        <f>IF(VLOOKUP(A180,'20yPlan'!A:D,4,FALSE)="","",VLOOKUP(A180,'20yPlan'!A:D,4,FALSE))</f>
        <v/>
      </c>
      <c r="AH180" s="7" t="str">
        <f>IF(VLOOKUP(A180,'20yPlan'!A:E,5,FALSE)="","",VLOOKUP(A180,'20yPlan'!A:E,5,FALSE))</f>
        <v/>
      </c>
      <c r="AI180" s="7" t="str">
        <f>IF(VLOOKUP(A180,'20yPlan'!A:F,6,FALSE)="","",VLOOKUP(A180,'20yPlan'!A:F,6,FALSE))</f>
        <v/>
      </c>
      <c r="AJ180" s="7" t="str">
        <f t="shared" si="25"/>
        <v>2030 Chip Seal</v>
      </c>
      <c r="AK180" s="7" t="str">
        <f t="shared" si="26"/>
        <v>2027 RPM Replacement</v>
      </c>
      <c r="AL180" s="39">
        <f t="shared" ca="1" si="27"/>
        <v>2025</v>
      </c>
      <c r="AM180" s="7">
        <f t="shared" si="28"/>
        <v>2027</v>
      </c>
      <c r="AN180" s="7" t="str">
        <f t="shared" si="29"/>
        <v>2027 RPM Replacement</v>
      </c>
    </row>
    <row r="181" spans="1:40">
      <c r="A181" s="6">
        <v>60190</v>
      </c>
      <c r="B181" s="6" t="s">
        <v>656</v>
      </c>
      <c r="C181" s="6" t="s">
        <v>657</v>
      </c>
      <c r="D181" s="6">
        <v>0</v>
      </c>
      <c r="E181" s="6">
        <v>4.3360729999999998</v>
      </c>
      <c r="F181" s="6" t="s">
        <v>658</v>
      </c>
      <c r="G181" s="6" t="s">
        <v>659</v>
      </c>
      <c r="H181" s="35">
        <v>63793</v>
      </c>
      <c r="I181" s="6" t="s">
        <v>195</v>
      </c>
      <c r="J181" s="6">
        <v>25</v>
      </c>
      <c r="K181" s="6">
        <v>2028</v>
      </c>
      <c r="L181" s="6">
        <v>2</v>
      </c>
      <c r="M181" s="6" t="s">
        <v>45</v>
      </c>
      <c r="N181" s="6" t="s">
        <v>250</v>
      </c>
      <c r="O181" s="6" t="s">
        <v>165</v>
      </c>
      <c r="P181" s="6" t="s">
        <v>166</v>
      </c>
      <c r="Q181" s="6" t="s">
        <v>172</v>
      </c>
      <c r="R181" s="6">
        <v>593</v>
      </c>
      <c r="S181" s="6">
        <v>71</v>
      </c>
      <c r="T181" s="36" t="s">
        <v>253</v>
      </c>
      <c r="U181" s="46">
        <f>IF($L181&lt;=2,
IF($R181&lt;=RpmDesignStandard!$C$2,RpmDesignStandard!$D$2,
IF(AND($R181&gt;RpmDesignStandard!$B$3,$R181&lt;=RpmDesignStandard!$C$3),RpmDesignStandard!$D$3,RpmDesignStandard!$D$4)),
IF($R181&lt;=RpmDesignStandard!$C$5, RpmDesignStandard!$D$5,
IF(AND($R181&gt;RpmDesignStandard!$B$6,$R181&lt;=RpmDesignStandard!$C$6),RpmDesignStandard!$D$6,
IF(AND($R181&gt;RpmDesignStandard!$B$7,$R181&lt;=RpmDesignStandard!$C$7),RpmDesignStandard!$D$7,RpmDesignStandard!$D$8))))</f>
        <v>4</v>
      </c>
      <c r="V181" s="47">
        <f>U181*RpmDesignStandard!$H$1</f>
        <v>8</v>
      </c>
      <c r="W181" s="37">
        <f>VLOOKUP(A181,RPM_ProjectRecord!A:AB,8,FALSE)</f>
        <v>2021</v>
      </c>
      <c r="X181" s="38" t="str">
        <f t="shared" si="20"/>
        <v/>
      </c>
      <c r="Y181" s="38" t="str">
        <f t="shared" si="21"/>
        <v/>
      </c>
      <c r="Z181" s="38" t="str">
        <f t="shared" si="22"/>
        <v/>
      </c>
      <c r="AA181" s="38" t="str">
        <f t="shared" si="23"/>
        <v/>
      </c>
      <c r="AB181" s="38" t="str">
        <f t="shared" si="24"/>
        <v/>
      </c>
      <c r="AC181" s="38">
        <f>IF(VLOOKUP(A181,'3rdPhaseChipSeal'!A:L,12,FALSE)="","",VLOOKUP(A181,'3rdPhaseChipSeal'!A:L,12,FALSE))</f>
        <v>2042</v>
      </c>
      <c r="AD181" s="38" t="str">
        <f>IFERROR(IF(VLOOKUP(A181,RpmContracts!A:C,3,FALSE)="","",VLOOKUP(A181,RpmContracts!A:C,3,FALSE)),"")</f>
        <v/>
      </c>
      <c r="AE181" s="7" t="str">
        <f>IF(VLOOKUP(A181,'20yPlan'!A:B,2,FALSE)="","",VLOOKUP(A181,'20yPlan'!A:B,2,FALSE))</f>
        <v/>
      </c>
      <c r="AF181" s="7" t="str">
        <f>IF(VLOOKUP(A181,'20yPlan'!A:C,3,FALSE)="","",VLOOKUP(A181,'20yPlan'!A:C,3,FALSE))</f>
        <v/>
      </c>
      <c r="AG181" s="7" t="str">
        <f>IF(VLOOKUP(A181,'20yPlan'!A:D,4,FALSE)="","",VLOOKUP(A181,'20yPlan'!A:D,4,FALSE))</f>
        <v/>
      </c>
      <c r="AH181" s="7" t="str">
        <f>IF(VLOOKUP(A181,'20yPlan'!A:E,5,FALSE)="","",VLOOKUP(A181,'20yPlan'!A:E,5,FALSE))</f>
        <v/>
      </c>
      <c r="AI181" s="7" t="str">
        <f>IF(VLOOKUP(A181,'20yPlan'!A:F,6,FALSE)="","",VLOOKUP(A181,'20yPlan'!A:F,6,FALSE))</f>
        <v/>
      </c>
      <c r="AJ181" s="7" t="str">
        <f t="shared" si="25"/>
        <v>2042 Chip Seal</v>
      </c>
      <c r="AK181" s="7" t="str">
        <f t="shared" si="26"/>
        <v/>
      </c>
      <c r="AL181" s="39">
        <f t="shared" ca="1" si="27"/>
        <v>2025</v>
      </c>
      <c r="AM181" s="7" t="str">
        <f t="shared" si="28"/>
        <v/>
      </c>
      <c r="AN181" s="7" t="str">
        <f t="shared" si="29"/>
        <v/>
      </c>
    </row>
    <row r="182" spans="1:40">
      <c r="A182" s="6">
        <v>60191</v>
      </c>
      <c r="B182" s="6" t="s">
        <v>656</v>
      </c>
      <c r="C182" s="6" t="s">
        <v>660</v>
      </c>
      <c r="D182" s="6">
        <v>10.666024999999999</v>
      </c>
      <c r="E182" s="6">
        <v>16.318249999999999</v>
      </c>
      <c r="F182" s="6" t="s">
        <v>661</v>
      </c>
      <c r="G182" s="6" t="s">
        <v>662</v>
      </c>
      <c r="H182" s="35">
        <v>86969</v>
      </c>
      <c r="I182" s="6" t="s">
        <v>195</v>
      </c>
      <c r="J182" s="6">
        <v>15</v>
      </c>
      <c r="K182" s="6">
        <v>2027</v>
      </c>
      <c r="L182" s="6">
        <v>2</v>
      </c>
      <c r="M182" s="6" t="s">
        <v>45</v>
      </c>
      <c r="N182" s="6" t="s">
        <v>250</v>
      </c>
      <c r="O182" s="6" t="s">
        <v>165</v>
      </c>
      <c r="P182" s="6" t="s">
        <v>166</v>
      </c>
      <c r="Q182" s="6" t="s">
        <v>177</v>
      </c>
      <c r="R182" s="35">
        <v>1496</v>
      </c>
      <c r="S182" s="6">
        <v>179</v>
      </c>
      <c r="T182" s="36" t="s">
        <v>253</v>
      </c>
      <c r="U182" s="46">
        <f>IF($L182&lt;=2,
IF($R182&lt;=RpmDesignStandard!$C$2,RpmDesignStandard!$D$2,
IF(AND($R182&gt;RpmDesignStandard!$B$3,$R182&lt;=RpmDesignStandard!$C$3),RpmDesignStandard!$D$3,RpmDesignStandard!$D$4)),
IF($R182&lt;=RpmDesignStandard!$C$5, RpmDesignStandard!$D$5,
IF(AND($R182&gt;RpmDesignStandard!$B$6,$R182&lt;=RpmDesignStandard!$C$6),RpmDesignStandard!$D$6,
IF(AND($R182&gt;RpmDesignStandard!$B$7,$R182&lt;=RpmDesignStandard!$C$7),RpmDesignStandard!$D$7,RpmDesignStandard!$D$8))))</f>
        <v>4</v>
      </c>
      <c r="V182" s="47">
        <f>U182*RpmDesignStandard!$H$1</f>
        <v>8</v>
      </c>
      <c r="W182" s="37" t="str">
        <f>VLOOKUP(A182,RPM_ProjectRecord!A:AB,8,FALSE)</f>
        <v/>
      </c>
      <c r="X182" s="38" t="str">
        <f t="shared" si="20"/>
        <v/>
      </c>
      <c r="Y182" s="38" t="str">
        <f t="shared" si="21"/>
        <v/>
      </c>
      <c r="Z182" s="38" t="str">
        <f t="shared" si="22"/>
        <v/>
      </c>
      <c r="AA182" s="38" t="str">
        <f t="shared" si="23"/>
        <v/>
      </c>
      <c r="AB182" s="38" t="str">
        <f t="shared" si="24"/>
        <v/>
      </c>
      <c r="AC182" s="38">
        <f>IF(VLOOKUP(A182,'3rdPhaseChipSeal'!A:L,12,FALSE)="","",VLOOKUP(A182,'3rdPhaseChipSeal'!A:L,12,FALSE))</f>
        <v>2027</v>
      </c>
      <c r="AD182" s="38" t="str">
        <f>IFERROR(IF(VLOOKUP(A182,RpmContracts!A:C,3,FALSE)="","",VLOOKUP(A182,RpmContracts!A:C,3,FALSE)),"")</f>
        <v/>
      </c>
      <c r="AE182" s="7" t="str">
        <f>IF(VLOOKUP(A182,'20yPlan'!A:B,2,FALSE)="","",VLOOKUP(A182,'20yPlan'!A:B,2,FALSE))</f>
        <v/>
      </c>
      <c r="AF182" s="7" t="str">
        <f>IF(VLOOKUP(A182,'20yPlan'!A:C,3,FALSE)="","",VLOOKUP(A182,'20yPlan'!A:C,3,FALSE))</f>
        <v/>
      </c>
      <c r="AG182" s="7" t="str">
        <f>IF(VLOOKUP(A182,'20yPlan'!A:D,4,FALSE)="","",VLOOKUP(A182,'20yPlan'!A:D,4,FALSE))</f>
        <v/>
      </c>
      <c r="AH182" s="7" t="str">
        <f>IF(VLOOKUP(A182,'20yPlan'!A:E,5,FALSE)="","",VLOOKUP(A182,'20yPlan'!A:E,5,FALSE))</f>
        <v/>
      </c>
      <c r="AI182" s="7" t="str">
        <f>IF(VLOOKUP(A182,'20yPlan'!A:F,6,FALSE)="","",VLOOKUP(A182,'20yPlan'!A:F,6,FALSE))</f>
        <v/>
      </c>
      <c r="AJ182" s="7" t="str">
        <f t="shared" si="25"/>
        <v>2027 Chip Seal</v>
      </c>
      <c r="AK182" s="7" t="str">
        <f t="shared" si="26"/>
        <v/>
      </c>
      <c r="AL182" s="39">
        <f t="shared" ca="1" si="27"/>
        <v>2025</v>
      </c>
      <c r="AM182" s="7" t="str">
        <f t="shared" si="28"/>
        <v/>
      </c>
      <c r="AN182" s="7" t="str">
        <f t="shared" si="29"/>
        <v/>
      </c>
    </row>
    <row r="183" spans="1:40">
      <c r="A183" s="6">
        <v>60192</v>
      </c>
      <c r="B183" s="6" t="s">
        <v>663</v>
      </c>
      <c r="C183" s="6" t="s">
        <v>664</v>
      </c>
      <c r="D183" s="6">
        <v>0</v>
      </c>
      <c r="E183" s="6">
        <v>6.0947100000000001</v>
      </c>
      <c r="F183" s="6" t="s">
        <v>53</v>
      </c>
      <c r="G183" s="6" t="s">
        <v>665</v>
      </c>
      <c r="H183" s="35">
        <v>124499</v>
      </c>
      <c r="I183" s="6" t="s">
        <v>44</v>
      </c>
      <c r="J183" s="6">
        <v>6</v>
      </c>
      <c r="K183" s="6"/>
      <c r="L183" s="6">
        <v>2</v>
      </c>
      <c r="M183" s="6" t="s">
        <v>45</v>
      </c>
      <c r="N183" s="6" t="s">
        <v>250</v>
      </c>
      <c r="O183" s="6" t="s">
        <v>121</v>
      </c>
      <c r="P183" s="6" t="s">
        <v>122</v>
      </c>
      <c r="Q183" s="6" t="s">
        <v>151</v>
      </c>
      <c r="R183" s="35">
        <v>7990</v>
      </c>
      <c r="S183" s="35">
        <v>1137</v>
      </c>
      <c r="T183" s="36" t="s">
        <v>50</v>
      </c>
      <c r="U183" s="46">
        <f>IF($L183&lt;=2,
IF($R183&lt;=RpmDesignStandard!$C$2,RpmDesignStandard!$D$2,
IF(AND($R183&gt;RpmDesignStandard!$B$3,$R183&lt;=RpmDesignStandard!$C$3),RpmDesignStandard!$D$3,RpmDesignStandard!$D$4)),
IF($R183&lt;=RpmDesignStandard!$C$5, RpmDesignStandard!$D$5,
IF(AND($R183&gt;RpmDesignStandard!$B$6,$R183&lt;=RpmDesignStandard!$C$6),RpmDesignStandard!$D$6,
IF(AND($R183&gt;RpmDesignStandard!$B$7,$R183&lt;=RpmDesignStandard!$C$7),RpmDesignStandard!$D$7,RpmDesignStandard!$D$8))))</f>
        <v>3</v>
      </c>
      <c r="V183" s="47">
        <f>U183*RpmDesignStandard!$H$1</f>
        <v>6</v>
      </c>
      <c r="W183" s="37" t="str">
        <f>VLOOKUP(A183,RPM_ProjectRecord!A:AB,8,FALSE)</f>
        <v/>
      </c>
      <c r="X183" s="38" t="str">
        <f t="shared" si="20"/>
        <v/>
      </c>
      <c r="Y183" s="38" t="str">
        <f t="shared" si="21"/>
        <v/>
      </c>
      <c r="Z183" s="38" t="str">
        <f t="shared" si="22"/>
        <v/>
      </c>
      <c r="AA183" s="38" t="str">
        <f t="shared" si="23"/>
        <v/>
      </c>
      <c r="AB183" s="38" t="str">
        <f t="shared" si="24"/>
        <v/>
      </c>
      <c r="AC183" s="38" t="str">
        <f>IF(VLOOKUP(A183,'3rdPhaseChipSeal'!A:L,12,FALSE)="","",VLOOKUP(A183,'3rdPhaseChipSeal'!A:L,12,FALSE))</f>
        <v/>
      </c>
      <c r="AD183" s="38" t="str">
        <f>IFERROR(IF(VLOOKUP(A183,RpmContracts!A:C,3,FALSE)="","",VLOOKUP(A183,RpmContracts!A:C,3,FALSE)),"")</f>
        <v/>
      </c>
      <c r="AE183" s="7" t="str">
        <f>IF(VLOOKUP(A183,'20yPlan'!A:B,2,FALSE)="","",VLOOKUP(A183,'20yPlan'!A:B,2,FALSE))</f>
        <v/>
      </c>
      <c r="AF183" s="7" t="str">
        <f>IF(VLOOKUP(A183,'20yPlan'!A:C,3,FALSE)="","",VLOOKUP(A183,'20yPlan'!A:C,3,FALSE))</f>
        <v/>
      </c>
      <c r="AG183" s="7" t="str">
        <f>IF(VLOOKUP(A183,'20yPlan'!A:D,4,FALSE)="","",VLOOKUP(A183,'20yPlan'!A:D,4,FALSE))</f>
        <v/>
      </c>
      <c r="AH183" s="7" t="str">
        <f>IF(VLOOKUP(A183,'20yPlan'!A:E,5,FALSE)="","",VLOOKUP(A183,'20yPlan'!A:E,5,FALSE))</f>
        <v/>
      </c>
      <c r="AI183" s="7" t="str">
        <f>IF(VLOOKUP(A183,'20yPlan'!A:F,6,FALSE)="","",VLOOKUP(A183,'20yPlan'!A:F,6,FALSE))</f>
        <v/>
      </c>
      <c r="AJ183" s="7" t="str">
        <f t="shared" si="25"/>
        <v/>
      </c>
      <c r="AK183" s="7" t="str">
        <f t="shared" si="26"/>
        <v/>
      </c>
      <c r="AL183" s="39">
        <f t="shared" ca="1" si="27"/>
        <v>2025</v>
      </c>
      <c r="AM183" s="7" t="str">
        <f t="shared" si="28"/>
        <v/>
      </c>
      <c r="AN183" s="7" t="str">
        <f t="shared" si="29"/>
        <v/>
      </c>
    </row>
    <row r="184" spans="1:40">
      <c r="A184" s="6">
        <v>60193</v>
      </c>
      <c r="B184" s="6" t="s">
        <v>663</v>
      </c>
      <c r="C184" s="6" t="s">
        <v>666</v>
      </c>
      <c r="D184" s="6">
        <v>6.0947100000000001</v>
      </c>
      <c r="E184" s="6">
        <v>9.5637159999999994</v>
      </c>
      <c r="F184" s="6" t="s">
        <v>665</v>
      </c>
      <c r="G184" s="6" t="s">
        <v>667</v>
      </c>
      <c r="H184" s="35">
        <v>69680</v>
      </c>
      <c r="I184" s="6" t="s">
        <v>44</v>
      </c>
      <c r="J184" s="6">
        <v>3</v>
      </c>
      <c r="K184" s="6"/>
      <c r="L184" s="6">
        <v>2</v>
      </c>
      <c r="M184" s="6" t="s">
        <v>45</v>
      </c>
      <c r="N184" s="6" t="s">
        <v>250</v>
      </c>
      <c r="O184" s="6" t="s">
        <v>121</v>
      </c>
      <c r="P184" s="6" t="s">
        <v>668</v>
      </c>
      <c r="Q184" s="6" t="s">
        <v>151</v>
      </c>
      <c r="R184" s="35">
        <v>10217</v>
      </c>
      <c r="S184" s="35">
        <v>1490</v>
      </c>
      <c r="T184" s="36" t="s">
        <v>50</v>
      </c>
      <c r="U184" s="46">
        <f>IF($L184&lt;=2,
IF($R184&lt;=RpmDesignStandard!$C$2,RpmDesignStandard!$D$2,
IF(AND($R184&gt;RpmDesignStandard!$B$3,$R184&lt;=RpmDesignStandard!$C$3),RpmDesignStandard!$D$3,RpmDesignStandard!$D$4)),
IF($R184&lt;=RpmDesignStandard!$C$5, RpmDesignStandard!$D$5,
IF(AND($R184&gt;RpmDesignStandard!$B$6,$R184&lt;=RpmDesignStandard!$C$6),RpmDesignStandard!$D$6,
IF(AND($R184&gt;RpmDesignStandard!$B$7,$R184&lt;=RpmDesignStandard!$C$7),RpmDesignStandard!$D$7,RpmDesignStandard!$D$8))))</f>
        <v>3</v>
      </c>
      <c r="V184" s="47">
        <f>U184*RpmDesignStandard!$H$1</f>
        <v>6</v>
      </c>
      <c r="W184" s="37" t="str">
        <f>VLOOKUP(A184,RPM_ProjectRecord!A:AB,8,FALSE)</f>
        <v/>
      </c>
      <c r="X184" s="38" t="str">
        <f t="shared" si="20"/>
        <v/>
      </c>
      <c r="Y184" s="38" t="str">
        <f t="shared" si="21"/>
        <v/>
      </c>
      <c r="Z184" s="38" t="str">
        <f t="shared" si="22"/>
        <v/>
      </c>
      <c r="AA184" s="38" t="str">
        <f t="shared" si="23"/>
        <v/>
      </c>
      <c r="AB184" s="38" t="str">
        <f t="shared" si="24"/>
        <v/>
      </c>
      <c r="AC184" s="38" t="str">
        <f>IF(VLOOKUP(A184,'3rdPhaseChipSeal'!A:L,12,FALSE)="","",VLOOKUP(A184,'3rdPhaseChipSeal'!A:L,12,FALSE))</f>
        <v/>
      </c>
      <c r="AD184" s="38" t="str">
        <f>IFERROR(IF(VLOOKUP(A184,RpmContracts!A:C,3,FALSE)="","",VLOOKUP(A184,RpmContracts!A:C,3,FALSE)),"")</f>
        <v/>
      </c>
      <c r="AE184" s="7" t="str">
        <f>IF(VLOOKUP(A184,'20yPlan'!A:B,2,FALSE)="","",VLOOKUP(A184,'20yPlan'!A:B,2,FALSE))</f>
        <v/>
      </c>
      <c r="AF184" s="7" t="str">
        <f>IF(VLOOKUP(A184,'20yPlan'!A:C,3,FALSE)="","",VLOOKUP(A184,'20yPlan'!A:C,3,FALSE))</f>
        <v/>
      </c>
      <c r="AG184" s="7" t="str">
        <f>IF(VLOOKUP(A184,'20yPlan'!A:D,4,FALSE)="","",VLOOKUP(A184,'20yPlan'!A:D,4,FALSE))</f>
        <v/>
      </c>
      <c r="AH184" s="7" t="str">
        <f>IF(VLOOKUP(A184,'20yPlan'!A:E,5,FALSE)="","",VLOOKUP(A184,'20yPlan'!A:E,5,FALSE))</f>
        <v/>
      </c>
      <c r="AI184" s="7" t="str">
        <f>IF(VLOOKUP(A184,'20yPlan'!A:F,6,FALSE)="","",VLOOKUP(A184,'20yPlan'!A:F,6,FALSE))</f>
        <v/>
      </c>
      <c r="AJ184" s="7" t="str">
        <f t="shared" si="25"/>
        <v/>
      </c>
      <c r="AK184" s="7" t="str">
        <f t="shared" si="26"/>
        <v/>
      </c>
      <c r="AL184" s="39">
        <f t="shared" ca="1" si="27"/>
        <v>2025</v>
      </c>
      <c r="AM184" s="7" t="str">
        <f t="shared" si="28"/>
        <v/>
      </c>
      <c r="AN184" s="7" t="str">
        <f t="shared" si="29"/>
        <v/>
      </c>
    </row>
    <row r="185" spans="1:40">
      <c r="A185" s="6">
        <v>60194</v>
      </c>
      <c r="B185" s="6" t="s">
        <v>663</v>
      </c>
      <c r="C185" s="6" t="s">
        <v>669</v>
      </c>
      <c r="D185" s="6">
        <v>9.5637159999999994</v>
      </c>
      <c r="E185" s="6">
        <v>10.574085</v>
      </c>
      <c r="F185" s="6" t="s">
        <v>667</v>
      </c>
      <c r="G185" s="6" t="s">
        <v>670</v>
      </c>
      <c r="H185" s="35">
        <v>47943</v>
      </c>
      <c r="I185" s="6" t="s">
        <v>154</v>
      </c>
      <c r="J185" s="6">
        <v>0</v>
      </c>
      <c r="K185" s="6"/>
      <c r="L185" s="6">
        <v>4</v>
      </c>
      <c r="M185" s="6" t="s">
        <v>45</v>
      </c>
      <c r="N185" s="6" t="s">
        <v>250</v>
      </c>
      <c r="O185" s="6" t="s">
        <v>121</v>
      </c>
      <c r="P185" s="6" t="s">
        <v>668</v>
      </c>
      <c r="Q185" s="6" t="s">
        <v>151</v>
      </c>
      <c r="R185" s="35">
        <v>13118</v>
      </c>
      <c r="S185" s="35">
        <v>1913</v>
      </c>
      <c r="T185" s="36" t="s">
        <v>50</v>
      </c>
      <c r="U185" s="46">
        <f>IF($L185&lt;=2,
IF($R185&lt;=RpmDesignStandard!$C$2,RpmDesignStandard!$D$2,
IF(AND($R185&gt;RpmDesignStandard!$B$3,$R185&lt;=RpmDesignStandard!$C$3),RpmDesignStandard!$D$3,RpmDesignStandard!$D$4)),
IF($R185&lt;=RpmDesignStandard!$C$5, RpmDesignStandard!$D$5,
IF(AND($R185&gt;RpmDesignStandard!$B$6,$R185&lt;=RpmDesignStandard!$C$6),RpmDesignStandard!$D$6,
IF(AND($R185&gt;RpmDesignStandard!$B$7,$R185&lt;=RpmDesignStandard!$C$7),RpmDesignStandard!$D$7,RpmDesignStandard!$D$8))))</f>
        <v>3</v>
      </c>
      <c r="V185" s="47">
        <f>U185*RpmDesignStandard!$H$1</f>
        <v>6</v>
      </c>
      <c r="W185" s="37">
        <f>VLOOKUP(A185,RPM_ProjectRecord!A:AB,8,FALSE)</f>
        <v>2023</v>
      </c>
      <c r="X185" s="38" t="str">
        <f t="shared" si="20"/>
        <v/>
      </c>
      <c r="Y185" s="38" t="str">
        <f t="shared" si="21"/>
        <v/>
      </c>
      <c r="Z185" s="38" t="str">
        <f t="shared" si="22"/>
        <v/>
      </c>
      <c r="AA185" s="38" t="str">
        <f t="shared" si="23"/>
        <v/>
      </c>
      <c r="AB185" s="38" t="str">
        <f t="shared" si="24"/>
        <v/>
      </c>
      <c r="AC185" s="38" t="str">
        <f>IF(VLOOKUP(A185,'3rdPhaseChipSeal'!A:L,12,FALSE)="","",VLOOKUP(A185,'3rdPhaseChipSeal'!A:L,12,FALSE))</f>
        <v/>
      </c>
      <c r="AD185" s="38" t="str">
        <f>IFERROR(IF(VLOOKUP(A185,RpmContracts!A:C,3,FALSE)="","",VLOOKUP(A185,RpmContracts!A:C,3,FALSE)),"")</f>
        <v/>
      </c>
      <c r="AE185" s="7" t="str">
        <f>IF(VLOOKUP(A185,'20yPlan'!A:B,2,FALSE)="","",VLOOKUP(A185,'20yPlan'!A:B,2,FALSE))</f>
        <v/>
      </c>
      <c r="AF185" s="7" t="str">
        <f>IF(VLOOKUP(A185,'20yPlan'!A:C,3,FALSE)="","",VLOOKUP(A185,'20yPlan'!A:C,3,FALSE))</f>
        <v/>
      </c>
      <c r="AG185" s="7" t="str">
        <f>IF(VLOOKUP(A185,'20yPlan'!A:D,4,FALSE)="","",VLOOKUP(A185,'20yPlan'!A:D,4,FALSE))</f>
        <v/>
      </c>
      <c r="AH185" s="7" t="str">
        <f>IF(VLOOKUP(A185,'20yPlan'!A:E,5,FALSE)="","",VLOOKUP(A185,'20yPlan'!A:E,5,FALSE))</f>
        <v/>
      </c>
      <c r="AI185" s="7" t="str">
        <f>IF(VLOOKUP(A185,'20yPlan'!A:F,6,FALSE)="","",VLOOKUP(A185,'20yPlan'!A:F,6,FALSE))</f>
        <v/>
      </c>
      <c r="AJ185" s="7" t="str">
        <f t="shared" si="25"/>
        <v/>
      </c>
      <c r="AK185" s="7" t="str">
        <f t="shared" si="26"/>
        <v/>
      </c>
      <c r="AL185" s="39">
        <f t="shared" ca="1" si="27"/>
        <v>2026</v>
      </c>
      <c r="AM185" s="7" t="str">
        <f t="shared" si="28"/>
        <v/>
      </c>
      <c r="AN185" s="7" t="str">
        <f t="shared" si="29"/>
        <v/>
      </c>
    </row>
    <row r="186" spans="1:40">
      <c r="A186" s="6">
        <v>60195</v>
      </c>
      <c r="B186" s="6" t="s">
        <v>663</v>
      </c>
      <c r="C186" s="6" t="s">
        <v>671</v>
      </c>
      <c r="D186" s="6">
        <v>10.574085</v>
      </c>
      <c r="E186" s="6">
        <v>12.440965</v>
      </c>
      <c r="F186" s="6" t="s">
        <v>670</v>
      </c>
      <c r="G186" s="6" t="s">
        <v>672</v>
      </c>
      <c r="H186" s="35">
        <v>37991</v>
      </c>
      <c r="I186" s="6" t="s">
        <v>44</v>
      </c>
      <c r="J186" s="6">
        <v>9</v>
      </c>
      <c r="K186" s="6">
        <v>2026</v>
      </c>
      <c r="L186" s="6">
        <v>2</v>
      </c>
      <c r="M186" s="6" t="s">
        <v>45</v>
      </c>
      <c r="N186" s="6" t="s">
        <v>250</v>
      </c>
      <c r="O186" s="6" t="s">
        <v>121</v>
      </c>
      <c r="P186" s="6" t="s">
        <v>668</v>
      </c>
      <c r="Q186" s="6" t="s">
        <v>151</v>
      </c>
      <c r="R186" s="35">
        <v>7599</v>
      </c>
      <c r="S186" s="35">
        <v>1107</v>
      </c>
      <c r="T186" s="36" t="s">
        <v>50</v>
      </c>
      <c r="U186" s="46">
        <f>IF($L186&lt;=2,
IF($R186&lt;=RpmDesignStandard!$C$2,RpmDesignStandard!$D$2,
IF(AND($R186&gt;RpmDesignStandard!$B$3,$R186&lt;=RpmDesignStandard!$C$3),RpmDesignStandard!$D$3,RpmDesignStandard!$D$4)),
IF($R186&lt;=RpmDesignStandard!$C$5, RpmDesignStandard!$D$5,
IF(AND($R186&gt;RpmDesignStandard!$B$6,$R186&lt;=RpmDesignStandard!$C$6),RpmDesignStandard!$D$6,
IF(AND($R186&gt;RpmDesignStandard!$B$7,$R186&lt;=RpmDesignStandard!$C$7),RpmDesignStandard!$D$7,RpmDesignStandard!$D$8))))</f>
        <v>3</v>
      </c>
      <c r="V186" s="47">
        <f>U186*RpmDesignStandard!$H$1</f>
        <v>6</v>
      </c>
      <c r="W186" s="37" t="str">
        <f>VLOOKUP(A186,RPM_ProjectRecord!A:AB,8,FALSE)</f>
        <v/>
      </c>
      <c r="X186" s="38" t="str">
        <f t="shared" si="20"/>
        <v/>
      </c>
      <c r="Y186" s="38" t="str">
        <f t="shared" si="21"/>
        <v/>
      </c>
      <c r="Z186" s="38" t="str">
        <f t="shared" si="22"/>
        <v/>
      </c>
      <c r="AA186" s="38" t="str">
        <f t="shared" si="23"/>
        <v/>
      </c>
      <c r="AB186" s="38" t="str">
        <f t="shared" si="24"/>
        <v/>
      </c>
      <c r="AC186" s="38" t="str">
        <f>IF(VLOOKUP(A186,'3rdPhaseChipSeal'!A:L,12,FALSE)="","",VLOOKUP(A186,'3rdPhaseChipSeal'!A:L,12,FALSE))</f>
        <v/>
      </c>
      <c r="AD186" s="38" t="str">
        <f>IFERROR(IF(VLOOKUP(A186,RpmContracts!A:C,3,FALSE)="","",VLOOKUP(A186,RpmContracts!A:C,3,FALSE)),"")</f>
        <v/>
      </c>
      <c r="AE186" s="7" t="str">
        <f>IF(VLOOKUP(A186,'20yPlan'!A:B,2,FALSE)="","",VLOOKUP(A186,'20yPlan'!A:B,2,FALSE))</f>
        <v/>
      </c>
      <c r="AF186" s="7" t="str">
        <f>IF(VLOOKUP(A186,'20yPlan'!A:C,3,FALSE)="","",VLOOKUP(A186,'20yPlan'!A:C,3,FALSE))</f>
        <v/>
      </c>
      <c r="AG186" s="7" t="str">
        <f>IF(VLOOKUP(A186,'20yPlan'!A:D,4,FALSE)="","",VLOOKUP(A186,'20yPlan'!A:D,4,FALSE))</f>
        <v/>
      </c>
      <c r="AH186" s="7" t="str">
        <f>IF(VLOOKUP(A186,'20yPlan'!A:E,5,FALSE)="","",VLOOKUP(A186,'20yPlan'!A:E,5,FALSE))</f>
        <v/>
      </c>
      <c r="AI186" s="7" t="str">
        <f>IF(VLOOKUP(A186,'20yPlan'!A:F,6,FALSE)="","",VLOOKUP(A186,'20yPlan'!A:F,6,FALSE))</f>
        <v/>
      </c>
      <c r="AJ186" s="7" t="str">
        <f t="shared" si="25"/>
        <v/>
      </c>
      <c r="AK186" s="7" t="str">
        <f t="shared" si="26"/>
        <v/>
      </c>
      <c r="AL186" s="39">
        <f t="shared" ca="1" si="27"/>
        <v>2025</v>
      </c>
      <c r="AM186" s="7" t="str">
        <f t="shared" si="28"/>
        <v/>
      </c>
      <c r="AN186" s="7" t="str">
        <f t="shared" si="29"/>
        <v/>
      </c>
    </row>
    <row r="187" spans="1:40">
      <c r="A187" s="6">
        <v>60196</v>
      </c>
      <c r="B187" s="6" t="s">
        <v>663</v>
      </c>
      <c r="C187" s="6" t="s">
        <v>673</v>
      </c>
      <c r="D187" s="6">
        <v>12.440965</v>
      </c>
      <c r="E187" s="6">
        <v>18.338881000000001</v>
      </c>
      <c r="F187" s="6" t="s">
        <v>672</v>
      </c>
      <c r="G187" s="6" t="s">
        <v>674</v>
      </c>
      <c r="H187" s="35">
        <v>120042</v>
      </c>
      <c r="I187" s="6" t="s">
        <v>195</v>
      </c>
      <c r="J187" s="6">
        <v>15</v>
      </c>
      <c r="K187" s="6">
        <v>2026</v>
      </c>
      <c r="L187" s="6">
        <v>2</v>
      </c>
      <c r="M187" s="6" t="s">
        <v>45</v>
      </c>
      <c r="N187" s="6" t="s">
        <v>250</v>
      </c>
      <c r="O187" s="6" t="s">
        <v>121</v>
      </c>
      <c r="P187" s="6" t="s">
        <v>668</v>
      </c>
      <c r="Q187" s="6" t="s">
        <v>116</v>
      </c>
      <c r="R187" s="35">
        <v>4348</v>
      </c>
      <c r="S187" s="6">
        <v>159</v>
      </c>
      <c r="T187" s="36" t="s">
        <v>50</v>
      </c>
      <c r="U187" s="46">
        <f>IF($L187&lt;=2,
IF($R187&lt;=RpmDesignStandard!$C$2,RpmDesignStandard!$D$2,
IF(AND($R187&gt;RpmDesignStandard!$B$3,$R187&lt;=RpmDesignStandard!$C$3),RpmDesignStandard!$D$3,RpmDesignStandard!$D$4)),
IF($R187&lt;=RpmDesignStandard!$C$5, RpmDesignStandard!$D$5,
IF(AND($R187&gt;RpmDesignStandard!$B$6,$R187&lt;=RpmDesignStandard!$C$6),RpmDesignStandard!$D$6,
IF(AND($R187&gt;RpmDesignStandard!$B$7,$R187&lt;=RpmDesignStandard!$C$7),RpmDesignStandard!$D$7,RpmDesignStandard!$D$8))))</f>
        <v>4</v>
      </c>
      <c r="V187" s="47">
        <f>U187*RpmDesignStandard!$H$1</f>
        <v>8</v>
      </c>
      <c r="W187" s="37" t="str">
        <f>VLOOKUP(A187,RPM_ProjectRecord!A:AB,8,FALSE)</f>
        <v/>
      </c>
      <c r="X187" s="38" t="str">
        <f t="shared" si="20"/>
        <v/>
      </c>
      <c r="Y187" s="38" t="str">
        <f t="shared" si="21"/>
        <v/>
      </c>
      <c r="Z187" s="38" t="str">
        <f t="shared" si="22"/>
        <v/>
      </c>
      <c r="AA187" s="38" t="str">
        <f t="shared" si="23"/>
        <v/>
      </c>
      <c r="AB187" s="38" t="str">
        <f t="shared" si="24"/>
        <v/>
      </c>
      <c r="AC187" s="38">
        <f>IF(VLOOKUP(A187,'3rdPhaseChipSeal'!A:L,12,FALSE)="","",VLOOKUP(A187,'3rdPhaseChipSeal'!A:L,12,FALSE))</f>
        <v>2039</v>
      </c>
      <c r="AD187" s="38">
        <f>IFERROR(IF(VLOOKUP(A187,RpmContracts!A:C,3,FALSE)="","",VLOOKUP(A187,RpmContracts!A:C,3,FALSE)),"")</f>
        <v>2026</v>
      </c>
      <c r="AE187" s="7" t="str">
        <f>IF(VLOOKUP(A187,'20yPlan'!A:B,2,FALSE)="","",VLOOKUP(A187,'20yPlan'!A:B,2,FALSE))</f>
        <v/>
      </c>
      <c r="AF187" s="7" t="str">
        <f>IF(VLOOKUP(A187,'20yPlan'!A:C,3,FALSE)="","",VLOOKUP(A187,'20yPlan'!A:C,3,FALSE))</f>
        <v/>
      </c>
      <c r="AG187" s="7" t="str">
        <f>IF(VLOOKUP(A187,'20yPlan'!A:D,4,FALSE)="","",VLOOKUP(A187,'20yPlan'!A:D,4,FALSE))</f>
        <v/>
      </c>
      <c r="AH187" s="7" t="str">
        <f>IF(VLOOKUP(A187,'20yPlan'!A:E,5,FALSE)="","",VLOOKUP(A187,'20yPlan'!A:E,5,FALSE))</f>
        <v/>
      </c>
      <c r="AI187" s="7" t="str">
        <f>IF(VLOOKUP(A187,'20yPlan'!A:F,6,FALSE)="","",VLOOKUP(A187,'20yPlan'!A:F,6,FALSE))</f>
        <v/>
      </c>
      <c r="AJ187" s="7" t="str">
        <f t="shared" si="25"/>
        <v>2039 Chip Seal</v>
      </c>
      <c r="AK187" s="7" t="str">
        <f t="shared" si="26"/>
        <v>2026 RPM Replacement</v>
      </c>
      <c r="AL187" s="39">
        <f t="shared" ca="1" si="27"/>
        <v>2025</v>
      </c>
      <c r="AM187" s="7">
        <f t="shared" si="28"/>
        <v>2026</v>
      </c>
      <c r="AN187" s="7" t="str">
        <f t="shared" si="29"/>
        <v>2026 RPM Replacement</v>
      </c>
    </row>
    <row r="188" spans="1:40">
      <c r="A188" s="6">
        <v>60197</v>
      </c>
      <c r="B188" s="6" t="s">
        <v>663</v>
      </c>
      <c r="C188" s="6" t="s">
        <v>675</v>
      </c>
      <c r="D188" s="6">
        <v>25.067121</v>
      </c>
      <c r="E188" s="6">
        <v>29.981769</v>
      </c>
      <c r="F188" s="6" t="s">
        <v>676</v>
      </c>
      <c r="G188" s="6" t="s">
        <v>677</v>
      </c>
      <c r="H188" s="35">
        <v>97188</v>
      </c>
      <c r="I188" s="6" t="s">
        <v>195</v>
      </c>
      <c r="J188" s="6">
        <v>2</v>
      </c>
      <c r="K188" s="6">
        <v>2029</v>
      </c>
      <c r="L188" s="6">
        <v>2</v>
      </c>
      <c r="M188" s="6" t="s">
        <v>45</v>
      </c>
      <c r="N188" s="6" t="s">
        <v>250</v>
      </c>
      <c r="O188" s="6" t="s">
        <v>121</v>
      </c>
      <c r="P188" s="6" t="s">
        <v>668</v>
      </c>
      <c r="Q188" s="6" t="s">
        <v>116</v>
      </c>
      <c r="R188" s="35">
        <v>3529</v>
      </c>
      <c r="S188" s="6">
        <v>281</v>
      </c>
      <c r="T188" s="36" t="s">
        <v>253</v>
      </c>
      <c r="U188" s="46">
        <f>IF($L188&lt;=2,
IF($R188&lt;=RpmDesignStandard!$C$2,RpmDesignStandard!$D$2,
IF(AND($R188&gt;RpmDesignStandard!$B$3,$R188&lt;=RpmDesignStandard!$C$3),RpmDesignStandard!$D$3,RpmDesignStandard!$D$4)),
IF($R188&lt;=RpmDesignStandard!$C$5, RpmDesignStandard!$D$5,
IF(AND($R188&gt;RpmDesignStandard!$B$6,$R188&lt;=RpmDesignStandard!$C$6),RpmDesignStandard!$D$6,
IF(AND($R188&gt;RpmDesignStandard!$B$7,$R188&lt;=RpmDesignStandard!$C$7),RpmDesignStandard!$D$7,RpmDesignStandard!$D$8))))</f>
        <v>4</v>
      </c>
      <c r="V188" s="47">
        <f>U188*RpmDesignStandard!$H$1</f>
        <v>8</v>
      </c>
      <c r="W188" s="37">
        <f>VLOOKUP(A188,RPM_ProjectRecord!A:AB,8,FALSE)</f>
        <v>2021</v>
      </c>
      <c r="X188" s="38" t="str">
        <f t="shared" si="20"/>
        <v/>
      </c>
      <c r="Y188" s="38" t="str">
        <f t="shared" si="21"/>
        <v/>
      </c>
      <c r="Z188" s="38" t="str">
        <f t="shared" si="22"/>
        <v/>
      </c>
      <c r="AA188" s="38" t="str">
        <f t="shared" si="23"/>
        <v/>
      </c>
      <c r="AB188" s="38" t="str">
        <f t="shared" si="24"/>
        <v/>
      </c>
      <c r="AC188" s="38">
        <f>IF(VLOOKUP(A188,'3rdPhaseChipSeal'!A:L,12,FALSE)="","",VLOOKUP(A188,'3rdPhaseChipSeal'!A:L,12,FALSE))</f>
        <v>2043</v>
      </c>
      <c r="AD188" s="38" t="str">
        <f>IFERROR(IF(VLOOKUP(A188,RpmContracts!A:C,3,FALSE)="","",VLOOKUP(A188,RpmContracts!A:C,3,FALSE)),"")</f>
        <v/>
      </c>
      <c r="AE188" s="7" t="str">
        <f>IF(VLOOKUP(A188,'20yPlan'!A:B,2,FALSE)="","",VLOOKUP(A188,'20yPlan'!A:B,2,FALSE))</f>
        <v/>
      </c>
      <c r="AF188" s="7" t="str">
        <f>IF(VLOOKUP(A188,'20yPlan'!A:C,3,FALSE)="","",VLOOKUP(A188,'20yPlan'!A:C,3,FALSE))</f>
        <v/>
      </c>
      <c r="AG188" s="7" t="str">
        <f>IF(VLOOKUP(A188,'20yPlan'!A:D,4,FALSE)="","",VLOOKUP(A188,'20yPlan'!A:D,4,FALSE))</f>
        <v/>
      </c>
      <c r="AH188" s="7" t="str">
        <f>IF(VLOOKUP(A188,'20yPlan'!A:E,5,FALSE)="","",VLOOKUP(A188,'20yPlan'!A:E,5,FALSE))</f>
        <v/>
      </c>
      <c r="AI188" s="7" t="str">
        <f>IF(VLOOKUP(A188,'20yPlan'!A:F,6,FALSE)="","",VLOOKUP(A188,'20yPlan'!A:F,6,FALSE))</f>
        <v/>
      </c>
      <c r="AJ188" s="7" t="str">
        <f t="shared" si="25"/>
        <v>2043 Chip Seal</v>
      </c>
      <c r="AK188" s="7" t="str">
        <f t="shared" si="26"/>
        <v/>
      </c>
      <c r="AL188" s="39">
        <f t="shared" ca="1" si="27"/>
        <v>2025</v>
      </c>
      <c r="AM188" s="7" t="str">
        <f t="shared" si="28"/>
        <v/>
      </c>
      <c r="AN188" s="7" t="str">
        <f t="shared" si="29"/>
        <v/>
      </c>
    </row>
    <row r="189" spans="1:40">
      <c r="A189" s="6">
        <v>60198</v>
      </c>
      <c r="B189" s="6" t="s">
        <v>663</v>
      </c>
      <c r="C189" s="6" t="s">
        <v>678</v>
      </c>
      <c r="D189" s="6">
        <v>29.981769</v>
      </c>
      <c r="E189" s="6">
        <v>36.513427</v>
      </c>
      <c r="F189" s="6" t="s">
        <v>677</v>
      </c>
      <c r="G189" s="6" t="s">
        <v>679</v>
      </c>
      <c r="H189" s="35">
        <v>110752</v>
      </c>
      <c r="I189" s="6" t="s">
        <v>195</v>
      </c>
      <c r="J189" s="6">
        <v>13</v>
      </c>
      <c r="K189" s="6">
        <v>2027</v>
      </c>
      <c r="L189" s="6">
        <v>2</v>
      </c>
      <c r="M189" s="6" t="s">
        <v>45</v>
      </c>
      <c r="N189" s="6" t="s">
        <v>250</v>
      </c>
      <c r="O189" s="6" t="s">
        <v>121</v>
      </c>
      <c r="P189" s="6" t="s">
        <v>668</v>
      </c>
      <c r="Q189" s="6" t="s">
        <v>370</v>
      </c>
      <c r="R189" s="35">
        <v>1988</v>
      </c>
      <c r="S189" s="6">
        <v>158</v>
      </c>
      <c r="T189" s="36" t="s">
        <v>304</v>
      </c>
      <c r="U189" s="46">
        <f>IF($L189&lt;=2,
IF($R189&lt;=RpmDesignStandard!$C$2,RpmDesignStandard!$D$2,
IF(AND($R189&gt;RpmDesignStandard!$B$3,$R189&lt;=RpmDesignStandard!$C$3),RpmDesignStandard!$D$3,RpmDesignStandard!$D$4)),
IF($R189&lt;=RpmDesignStandard!$C$5, RpmDesignStandard!$D$5,
IF(AND($R189&gt;RpmDesignStandard!$B$6,$R189&lt;=RpmDesignStandard!$C$6),RpmDesignStandard!$D$6,
IF(AND($R189&gt;RpmDesignStandard!$B$7,$R189&lt;=RpmDesignStandard!$C$7),RpmDesignStandard!$D$7,RpmDesignStandard!$D$8))))</f>
        <v>4</v>
      </c>
      <c r="V189" s="47">
        <f>U189*RpmDesignStandard!$H$1</f>
        <v>8</v>
      </c>
      <c r="W189" s="37" t="str">
        <f>VLOOKUP(A189,RPM_ProjectRecord!A:AB,8,FALSE)</f>
        <v/>
      </c>
      <c r="X189" s="38" t="str">
        <f t="shared" si="20"/>
        <v/>
      </c>
      <c r="Y189" s="38" t="str">
        <f t="shared" si="21"/>
        <v/>
      </c>
      <c r="Z189" s="38" t="str">
        <f t="shared" si="22"/>
        <v/>
      </c>
      <c r="AA189" s="38" t="str">
        <f t="shared" si="23"/>
        <v/>
      </c>
      <c r="AB189" s="38" t="str">
        <f t="shared" si="24"/>
        <v/>
      </c>
      <c r="AC189" s="38" t="str">
        <f>IF(VLOOKUP(A189,'3rdPhaseChipSeal'!A:L,12,FALSE)="","",VLOOKUP(A189,'3rdPhaseChipSeal'!A:L,12,FALSE))</f>
        <v/>
      </c>
      <c r="AD189" s="38" t="str">
        <f>IFERROR(IF(VLOOKUP(A189,RpmContracts!A:C,3,FALSE)="","",VLOOKUP(A189,RpmContracts!A:C,3,FALSE)),"")</f>
        <v/>
      </c>
      <c r="AE189" s="7" t="str">
        <f>IF(VLOOKUP(A189,'20yPlan'!A:B,2,FALSE)="","",VLOOKUP(A189,'20yPlan'!A:B,2,FALSE))</f>
        <v/>
      </c>
      <c r="AF189" s="7" t="str">
        <f>IF(VLOOKUP(A189,'20yPlan'!A:C,3,FALSE)="","",VLOOKUP(A189,'20yPlan'!A:C,3,FALSE))</f>
        <v/>
      </c>
      <c r="AG189" s="7" t="str">
        <f>IF(VLOOKUP(A189,'20yPlan'!A:D,4,FALSE)="","",VLOOKUP(A189,'20yPlan'!A:D,4,FALSE))</f>
        <v/>
      </c>
      <c r="AH189" s="7" t="str">
        <f>IF(VLOOKUP(A189,'20yPlan'!A:E,5,FALSE)="","",VLOOKUP(A189,'20yPlan'!A:E,5,FALSE))</f>
        <v/>
      </c>
      <c r="AI189" s="7" t="str">
        <f>IF(VLOOKUP(A189,'20yPlan'!A:F,6,FALSE)="","",VLOOKUP(A189,'20yPlan'!A:F,6,FALSE))</f>
        <v/>
      </c>
      <c r="AJ189" s="7" t="str">
        <f t="shared" si="25"/>
        <v/>
      </c>
      <c r="AK189" s="7" t="str">
        <f t="shared" si="26"/>
        <v/>
      </c>
      <c r="AL189" s="39">
        <f t="shared" ca="1" si="27"/>
        <v>2025</v>
      </c>
      <c r="AM189" s="7" t="str">
        <f t="shared" si="28"/>
        <v/>
      </c>
      <c r="AN189" s="7" t="str">
        <f t="shared" si="29"/>
        <v/>
      </c>
    </row>
    <row r="190" spans="1:40">
      <c r="A190" s="6">
        <v>60199</v>
      </c>
      <c r="B190" s="6" t="s">
        <v>663</v>
      </c>
      <c r="C190" s="6" t="s">
        <v>680</v>
      </c>
      <c r="D190" s="6">
        <v>36.513427</v>
      </c>
      <c r="E190" s="6">
        <v>41.999661000000003</v>
      </c>
      <c r="F190" s="6" t="s">
        <v>679</v>
      </c>
      <c r="G190" s="6" t="s">
        <v>681</v>
      </c>
      <c r="H190" s="35">
        <v>94179</v>
      </c>
      <c r="I190" s="6" t="s">
        <v>195</v>
      </c>
      <c r="J190" s="6">
        <v>13</v>
      </c>
      <c r="K190" s="6">
        <v>2027</v>
      </c>
      <c r="L190" s="6">
        <v>2</v>
      </c>
      <c r="M190" s="6" t="s">
        <v>45</v>
      </c>
      <c r="N190" s="6" t="s">
        <v>250</v>
      </c>
      <c r="O190" s="6" t="s">
        <v>215</v>
      </c>
      <c r="P190" s="6" t="s">
        <v>216</v>
      </c>
      <c r="Q190" s="6" t="s">
        <v>520</v>
      </c>
      <c r="R190" s="35">
        <v>2665</v>
      </c>
      <c r="S190" s="6">
        <v>425</v>
      </c>
      <c r="T190" s="36" t="s">
        <v>304</v>
      </c>
      <c r="U190" s="46">
        <f>IF($L190&lt;=2,
IF($R190&lt;=RpmDesignStandard!$C$2,RpmDesignStandard!$D$2,
IF(AND($R190&gt;RpmDesignStandard!$B$3,$R190&lt;=RpmDesignStandard!$C$3),RpmDesignStandard!$D$3,RpmDesignStandard!$D$4)),
IF($R190&lt;=RpmDesignStandard!$C$5, RpmDesignStandard!$D$5,
IF(AND($R190&gt;RpmDesignStandard!$B$6,$R190&lt;=RpmDesignStandard!$C$6),RpmDesignStandard!$D$6,
IF(AND($R190&gt;RpmDesignStandard!$B$7,$R190&lt;=RpmDesignStandard!$C$7),RpmDesignStandard!$D$7,RpmDesignStandard!$D$8))))</f>
        <v>4</v>
      </c>
      <c r="V190" s="47">
        <f>U190*RpmDesignStandard!$H$1</f>
        <v>8</v>
      </c>
      <c r="W190" s="37" t="str">
        <f>VLOOKUP(A190,RPM_ProjectRecord!A:AB,8,FALSE)</f>
        <v/>
      </c>
      <c r="X190" s="38" t="str">
        <f t="shared" si="20"/>
        <v/>
      </c>
      <c r="Y190" s="38" t="str">
        <f t="shared" si="21"/>
        <v/>
      </c>
      <c r="Z190" s="38" t="str">
        <f t="shared" si="22"/>
        <v/>
      </c>
      <c r="AA190" s="38" t="str">
        <f t="shared" si="23"/>
        <v/>
      </c>
      <c r="AB190" s="38" t="str">
        <f t="shared" si="24"/>
        <v/>
      </c>
      <c r="AC190" s="38">
        <f>IF(VLOOKUP(A190,'3rdPhaseChipSeal'!A:L,12,FALSE)="","",VLOOKUP(A190,'3rdPhaseChipSeal'!A:L,12,FALSE))</f>
        <v>2041</v>
      </c>
      <c r="AD190" s="38" t="str">
        <f>IFERROR(IF(VLOOKUP(A190,RpmContracts!A:C,3,FALSE)="","",VLOOKUP(A190,RpmContracts!A:C,3,FALSE)),"")</f>
        <v/>
      </c>
      <c r="AE190" s="7" t="str">
        <f>IF(VLOOKUP(A190,'20yPlan'!A:B,2,FALSE)="","",VLOOKUP(A190,'20yPlan'!A:B,2,FALSE))</f>
        <v/>
      </c>
      <c r="AF190" s="7" t="str">
        <f>IF(VLOOKUP(A190,'20yPlan'!A:C,3,FALSE)="","",VLOOKUP(A190,'20yPlan'!A:C,3,FALSE))</f>
        <v/>
      </c>
      <c r="AG190" s="7" t="str">
        <f>IF(VLOOKUP(A190,'20yPlan'!A:D,4,FALSE)="","",VLOOKUP(A190,'20yPlan'!A:D,4,FALSE))</f>
        <v/>
      </c>
      <c r="AH190" s="7" t="str">
        <f>IF(VLOOKUP(A190,'20yPlan'!A:E,5,FALSE)="","",VLOOKUP(A190,'20yPlan'!A:E,5,FALSE))</f>
        <v/>
      </c>
      <c r="AI190" s="7" t="str">
        <f>IF(VLOOKUP(A190,'20yPlan'!A:F,6,FALSE)="","",VLOOKUP(A190,'20yPlan'!A:F,6,FALSE))</f>
        <v/>
      </c>
      <c r="AJ190" s="7" t="str">
        <f t="shared" si="25"/>
        <v>2041 Chip Seal</v>
      </c>
      <c r="AK190" s="7" t="str">
        <f t="shared" si="26"/>
        <v/>
      </c>
      <c r="AL190" s="39">
        <f t="shared" ca="1" si="27"/>
        <v>2025</v>
      </c>
      <c r="AM190" s="7" t="str">
        <f t="shared" si="28"/>
        <v/>
      </c>
      <c r="AN190" s="7" t="str">
        <f t="shared" si="29"/>
        <v/>
      </c>
    </row>
    <row r="191" spans="1:40">
      <c r="A191" s="6">
        <v>60200</v>
      </c>
      <c r="B191" s="6" t="s">
        <v>663</v>
      </c>
      <c r="C191" s="6" t="s">
        <v>682</v>
      </c>
      <c r="D191" s="6">
        <v>41.999661000000003</v>
      </c>
      <c r="E191" s="6">
        <v>44.840114999999997</v>
      </c>
      <c r="F191" s="6" t="s">
        <v>681</v>
      </c>
      <c r="G191" s="6" t="s">
        <v>683</v>
      </c>
      <c r="H191" s="35">
        <v>49535</v>
      </c>
      <c r="I191" s="6" t="s">
        <v>44</v>
      </c>
      <c r="J191" s="6">
        <v>18</v>
      </c>
      <c r="K191" s="6"/>
      <c r="L191" s="6">
        <v>2</v>
      </c>
      <c r="M191" s="6" t="s">
        <v>45</v>
      </c>
      <c r="N191" s="6" t="s">
        <v>250</v>
      </c>
      <c r="O191" s="6" t="s">
        <v>79</v>
      </c>
      <c r="P191" s="6" t="s">
        <v>314</v>
      </c>
      <c r="Q191" s="6" t="s">
        <v>217</v>
      </c>
      <c r="R191" s="35">
        <v>5357</v>
      </c>
      <c r="S191" s="6">
        <v>526</v>
      </c>
      <c r="T191" s="36" t="s">
        <v>50</v>
      </c>
      <c r="U191" s="46">
        <f>IF($L191&lt;=2,
IF($R191&lt;=RpmDesignStandard!$C$2,RpmDesignStandard!$D$2,
IF(AND($R191&gt;RpmDesignStandard!$B$3,$R191&lt;=RpmDesignStandard!$C$3),RpmDesignStandard!$D$3,RpmDesignStandard!$D$4)),
IF($R191&lt;=RpmDesignStandard!$C$5, RpmDesignStandard!$D$5,
IF(AND($R191&gt;RpmDesignStandard!$B$6,$R191&lt;=RpmDesignStandard!$C$6),RpmDesignStandard!$D$6,
IF(AND($R191&gt;RpmDesignStandard!$B$7,$R191&lt;=RpmDesignStandard!$C$7),RpmDesignStandard!$D$7,RpmDesignStandard!$D$8))))</f>
        <v>4</v>
      </c>
      <c r="V191" s="47">
        <f>U191*RpmDesignStandard!$H$1</f>
        <v>8</v>
      </c>
      <c r="W191" s="37" t="str">
        <f>VLOOKUP(A191,RPM_ProjectRecord!A:AB,8,FALSE)</f>
        <v/>
      </c>
      <c r="X191" s="38" t="str">
        <f t="shared" si="20"/>
        <v/>
      </c>
      <c r="Y191" s="38" t="str">
        <f t="shared" si="21"/>
        <v/>
      </c>
      <c r="Z191" s="38" t="str">
        <f t="shared" si="22"/>
        <v/>
      </c>
      <c r="AA191" s="38" t="str">
        <f t="shared" si="23"/>
        <v/>
      </c>
      <c r="AB191" s="38" t="str">
        <f t="shared" si="24"/>
        <v/>
      </c>
      <c r="AC191" s="38" t="str">
        <f>IF(VLOOKUP(A191,'3rdPhaseChipSeal'!A:L,12,FALSE)="","",VLOOKUP(A191,'3rdPhaseChipSeal'!A:L,12,FALSE))</f>
        <v/>
      </c>
      <c r="AD191" s="38" t="str">
        <f>IFERROR(IF(VLOOKUP(A191,RpmContracts!A:C,3,FALSE)="","",VLOOKUP(A191,RpmContracts!A:C,3,FALSE)),"")</f>
        <v/>
      </c>
      <c r="AE191" s="7" t="str">
        <f>IF(VLOOKUP(A191,'20yPlan'!A:B,2,FALSE)="","",VLOOKUP(A191,'20yPlan'!A:B,2,FALSE))</f>
        <v/>
      </c>
      <c r="AF191" s="7" t="str">
        <f>IF(VLOOKUP(A191,'20yPlan'!A:C,3,FALSE)="","",VLOOKUP(A191,'20yPlan'!A:C,3,FALSE))</f>
        <v/>
      </c>
      <c r="AG191" s="7" t="str">
        <f>IF(VLOOKUP(A191,'20yPlan'!A:D,4,FALSE)="","",VLOOKUP(A191,'20yPlan'!A:D,4,FALSE))</f>
        <v/>
      </c>
      <c r="AH191" s="7" t="str">
        <f>IF(VLOOKUP(A191,'20yPlan'!A:E,5,FALSE)="","",VLOOKUP(A191,'20yPlan'!A:E,5,FALSE))</f>
        <v/>
      </c>
      <c r="AI191" s="7" t="str">
        <f>IF(VLOOKUP(A191,'20yPlan'!A:F,6,FALSE)="","",VLOOKUP(A191,'20yPlan'!A:F,6,FALSE))</f>
        <v/>
      </c>
      <c r="AJ191" s="7" t="str">
        <f t="shared" si="25"/>
        <v/>
      </c>
      <c r="AK191" s="7" t="str">
        <f t="shared" si="26"/>
        <v/>
      </c>
      <c r="AL191" s="39">
        <f t="shared" ca="1" si="27"/>
        <v>2025</v>
      </c>
      <c r="AM191" s="7" t="str">
        <f t="shared" si="28"/>
        <v/>
      </c>
      <c r="AN191" s="7" t="str">
        <f t="shared" si="29"/>
        <v/>
      </c>
    </row>
    <row r="192" spans="1:40">
      <c r="A192" s="6">
        <v>60201</v>
      </c>
      <c r="B192" s="6" t="s">
        <v>663</v>
      </c>
      <c r="C192" s="6" t="s">
        <v>684</v>
      </c>
      <c r="D192" s="6">
        <v>47.374960999999999</v>
      </c>
      <c r="E192" s="6">
        <v>50.960039999999999</v>
      </c>
      <c r="F192" s="6" t="s">
        <v>685</v>
      </c>
      <c r="G192" s="6" t="s">
        <v>686</v>
      </c>
      <c r="H192" s="35">
        <v>66107</v>
      </c>
      <c r="I192" s="6" t="s">
        <v>195</v>
      </c>
      <c r="J192" s="6">
        <v>0</v>
      </c>
      <c r="K192" s="6">
        <v>2031</v>
      </c>
      <c r="L192" s="6">
        <v>2</v>
      </c>
      <c r="M192" s="6" t="s">
        <v>45</v>
      </c>
      <c r="N192" s="6" t="s">
        <v>250</v>
      </c>
      <c r="O192" s="6" t="s">
        <v>215</v>
      </c>
      <c r="P192" s="6" t="s">
        <v>216</v>
      </c>
      <c r="Q192" s="6" t="s">
        <v>217</v>
      </c>
      <c r="R192" s="35">
        <v>3839</v>
      </c>
      <c r="S192" s="6">
        <v>470</v>
      </c>
      <c r="T192" s="36" t="s">
        <v>50</v>
      </c>
      <c r="U192" s="46">
        <f>IF($L192&lt;=2,
IF($R192&lt;=RpmDesignStandard!$C$2,RpmDesignStandard!$D$2,
IF(AND($R192&gt;RpmDesignStandard!$B$3,$R192&lt;=RpmDesignStandard!$C$3),RpmDesignStandard!$D$3,RpmDesignStandard!$D$4)),
IF($R192&lt;=RpmDesignStandard!$C$5, RpmDesignStandard!$D$5,
IF(AND($R192&gt;RpmDesignStandard!$B$6,$R192&lt;=RpmDesignStandard!$C$6),RpmDesignStandard!$D$6,
IF(AND($R192&gt;RpmDesignStandard!$B$7,$R192&lt;=RpmDesignStandard!$C$7),RpmDesignStandard!$D$7,RpmDesignStandard!$D$8))))</f>
        <v>4</v>
      </c>
      <c r="V192" s="47">
        <f>U192*RpmDesignStandard!$H$1</f>
        <v>8</v>
      </c>
      <c r="W192" s="37">
        <f>VLOOKUP(A192,RPM_ProjectRecord!A:AB,8,FALSE)</f>
        <v>2023</v>
      </c>
      <c r="X192" s="38" t="str">
        <f t="shared" si="20"/>
        <v/>
      </c>
      <c r="Y192" s="38" t="str">
        <f t="shared" si="21"/>
        <v/>
      </c>
      <c r="Z192" s="38" t="str">
        <f t="shared" si="22"/>
        <v/>
      </c>
      <c r="AA192" s="38" t="str">
        <f t="shared" si="23"/>
        <v/>
      </c>
      <c r="AB192" s="38" t="str">
        <f t="shared" si="24"/>
        <v/>
      </c>
      <c r="AC192" s="38">
        <f>IF(VLOOKUP(A192,'3rdPhaseChipSeal'!A:L,12,FALSE)="","",VLOOKUP(A192,'3rdPhaseChipSeal'!A:L,12,FALSE))</f>
        <v>2044</v>
      </c>
      <c r="AD192" s="38" t="str">
        <f>IFERROR(IF(VLOOKUP(A192,RpmContracts!A:C,3,FALSE)="","",VLOOKUP(A192,RpmContracts!A:C,3,FALSE)),"")</f>
        <v/>
      </c>
      <c r="AE192" s="7" t="str">
        <f>IF(VLOOKUP(A192,'20yPlan'!A:B,2,FALSE)="","",VLOOKUP(A192,'20yPlan'!A:B,2,FALSE))</f>
        <v/>
      </c>
      <c r="AF192" s="7" t="str">
        <f>IF(VLOOKUP(A192,'20yPlan'!A:C,3,FALSE)="","",VLOOKUP(A192,'20yPlan'!A:C,3,FALSE))</f>
        <v/>
      </c>
      <c r="AG192" s="7" t="str">
        <f>IF(VLOOKUP(A192,'20yPlan'!A:D,4,FALSE)="","",VLOOKUP(A192,'20yPlan'!A:D,4,FALSE))</f>
        <v/>
      </c>
      <c r="AH192" s="7" t="str">
        <f>IF(VLOOKUP(A192,'20yPlan'!A:E,5,FALSE)="","",VLOOKUP(A192,'20yPlan'!A:E,5,FALSE))</f>
        <v/>
      </c>
      <c r="AI192" s="7" t="str">
        <f>IF(VLOOKUP(A192,'20yPlan'!A:F,6,FALSE)="","",VLOOKUP(A192,'20yPlan'!A:F,6,FALSE))</f>
        <v/>
      </c>
      <c r="AJ192" s="7" t="str">
        <f t="shared" si="25"/>
        <v>2044 Chip Seal</v>
      </c>
      <c r="AK192" s="7" t="str">
        <f t="shared" si="26"/>
        <v/>
      </c>
      <c r="AL192" s="39">
        <f t="shared" ca="1" si="27"/>
        <v>2027</v>
      </c>
      <c r="AM192" s="7" t="str">
        <f t="shared" si="28"/>
        <v/>
      </c>
      <c r="AN192" s="7" t="str">
        <f t="shared" si="29"/>
        <v/>
      </c>
    </row>
    <row r="193" spans="1:40">
      <c r="A193" s="6">
        <v>60202</v>
      </c>
      <c r="B193" s="6" t="s">
        <v>663</v>
      </c>
      <c r="C193" s="6" t="s">
        <v>687</v>
      </c>
      <c r="D193" s="6">
        <v>50.960039999999999</v>
      </c>
      <c r="E193" s="6">
        <v>61.449952000000003</v>
      </c>
      <c r="F193" s="6" t="s">
        <v>686</v>
      </c>
      <c r="G193" s="6" t="s">
        <v>688</v>
      </c>
      <c r="H193" s="35">
        <v>196627</v>
      </c>
      <c r="I193" s="6" t="s">
        <v>195</v>
      </c>
      <c r="J193" s="6">
        <v>18</v>
      </c>
      <c r="K193" s="6">
        <v>2030</v>
      </c>
      <c r="L193" s="6">
        <v>2</v>
      </c>
      <c r="M193" s="6" t="s">
        <v>45</v>
      </c>
      <c r="N193" s="6" t="s">
        <v>250</v>
      </c>
      <c r="O193" s="6" t="s">
        <v>215</v>
      </c>
      <c r="P193" s="6" t="s">
        <v>216</v>
      </c>
      <c r="Q193" s="6" t="s">
        <v>217</v>
      </c>
      <c r="R193" s="35">
        <v>3411</v>
      </c>
      <c r="S193" s="6">
        <v>528</v>
      </c>
      <c r="T193" s="36" t="s">
        <v>304</v>
      </c>
      <c r="U193" s="46">
        <f>IF($L193&lt;=2,
IF($R193&lt;=RpmDesignStandard!$C$2,RpmDesignStandard!$D$2,
IF(AND($R193&gt;RpmDesignStandard!$B$3,$R193&lt;=RpmDesignStandard!$C$3),RpmDesignStandard!$D$3,RpmDesignStandard!$D$4)),
IF($R193&lt;=RpmDesignStandard!$C$5, RpmDesignStandard!$D$5,
IF(AND($R193&gt;RpmDesignStandard!$B$6,$R193&lt;=RpmDesignStandard!$C$6),RpmDesignStandard!$D$6,
IF(AND($R193&gt;RpmDesignStandard!$B$7,$R193&lt;=RpmDesignStandard!$C$7),RpmDesignStandard!$D$7,RpmDesignStandard!$D$8))))</f>
        <v>4</v>
      </c>
      <c r="V193" s="47">
        <f>U193*RpmDesignStandard!$H$1</f>
        <v>8</v>
      </c>
      <c r="W193" s="37">
        <f>VLOOKUP(A193,RPM_ProjectRecord!A:AB,8,FALSE)</f>
        <v>2025</v>
      </c>
      <c r="X193" s="38" t="str">
        <f t="shared" si="20"/>
        <v/>
      </c>
      <c r="Y193" s="38" t="str">
        <f t="shared" si="21"/>
        <v/>
      </c>
      <c r="Z193" s="38" t="str">
        <f t="shared" si="22"/>
        <v/>
      </c>
      <c r="AA193" s="38" t="str">
        <f t="shared" si="23"/>
        <v/>
      </c>
      <c r="AB193" s="38" t="str">
        <f t="shared" si="24"/>
        <v/>
      </c>
      <c r="AC193" s="38" t="str">
        <f>IF(VLOOKUP(A193,'3rdPhaseChipSeal'!A:L,12,FALSE)="","",VLOOKUP(A193,'3rdPhaseChipSeal'!A:L,12,FALSE))</f>
        <v/>
      </c>
      <c r="AD193" s="38" t="str">
        <f>IFERROR(IF(VLOOKUP(A193,RpmContracts!A:C,3,FALSE)="","",VLOOKUP(A193,RpmContracts!A:C,3,FALSE)),"")</f>
        <v/>
      </c>
      <c r="AE193" s="7" t="str">
        <f>IF(VLOOKUP(A193,'20yPlan'!A:B,2,FALSE)="","",VLOOKUP(A193,'20yPlan'!A:B,2,FALSE))</f>
        <v/>
      </c>
      <c r="AF193" s="7" t="str">
        <f>IF(VLOOKUP(A193,'20yPlan'!A:C,3,FALSE)="","",VLOOKUP(A193,'20yPlan'!A:C,3,FALSE))</f>
        <v/>
      </c>
      <c r="AG193" s="7" t="str">
        <f>IF(VLOOKUP(A193,'20yPlan'!A:D,4,FALSE)="","",VLOOKUP(A193,'20yPlan'!A:D,4,FALSE))</f>
        <v/>
      </c>
      <c r="AH193" s="7" t="str">
        <f>IF(VLOOKUP(A193,'20yPlan'!A:E,5,FALSE)="","",VLOOKUP(A193,'20yPlan'!A:E,5,FALSE))</f>
        <v/>
      </c>
      <c r="AI193" s="7" t="str">
        <f>IF(VLOOKUP(A193,'20yPlan'!A:F,6,FALSE)="","",VLOOKUP(A193,'20yPlan'!A:F,6,FALSE))</f>
        <v/>
      </c>
      <c r="AJ193" s="7" t="str">
        <f t="shared" si="25"/>
        <v/>
      </c>
      <c r="AK193" s="7" t="str">
        <f t="shared" si="26"/>
        <v/>
      </c>
      <c r="AL193" s="39">
        <f t="shared" ca="1" si="27"/>
        <v>2029</v>
      </c>
      <c r="AM193" s="7" t="str">
        <f t="shared" si="28"/>
        <v/>
      </c>
      <c r="AN193" s="7" t="str">
        <f t="shared" si="29"/>
        <v/>
      </c>
    </row>
    <row r="194" spans="1:40">
      <c r="A194" s="6">
        <v>60203</v>
      </c>
      <c r="B194" s="6" t="s">
        <v>663</v>
      </c>
      <c r="C194" s="6" t="s">
        <v>689</v>
      </c>
      <c r="D194" s="6">
        <v>61.449952000000003</v>
      </c>
      <c r="E194" s="6">
        <v>66.974102999999999</v>
      </c>
      <c r="F194" s="6" t="s">
        <v>688</v>
      </c>
      <c r="G194" s="6" t="s">
        <v>690</v>
      </c>
      <c r="H194" s="35">
        <v>121380</v>
      </c>
      <c r="I194" s="6" t="s">
        <v>195</v>
      </c>
      <c r="J194" s="6">
        <v>2</v>
      </c>
      <c r="K194" s="6">
        <v>2028</v>
      </c>
      <c r="L194" s="6">
        <v>2</v>
      </c>
      <c r="M194" s="6" t="s">
        <v>45</v>
      </c>
      <c r="N194" s="6" t="s">
        <v>250</v>
      </c>
      <c r="O194" s="6" t="s">
        <v>196</v>
      </c>
      <c r="P194" s="6" t="s">
        <v>273</v>
      </c>
      <c r="Q194" s="6" t="s">
        <v>334</v>
      </c>
      <c r="R194" s="35">
        <v>2185</v>
      </c>
      <c r="S194" s="6">
        <v>378</v>
      </c>
      <c r="T194" s="36" t="s">
        <v>253</v>
      </c>
      <c r="U194" s="46">
        <f>IF($L194&lt;=2,
IF($R194&lt;=RpmDesignStandard!$C$2,RpmDesignStandard!$D$2,
IF(AND($R194&gt;RpmDesignStandard!$B$3,$R194&lt;=RpmDesignStandard!$C$3),RpmDesignStandard!$D$3,RpmDesignStandard!$D$4)),
IF($R194&lt;=RpmDesignStandard!$C$5, RpmDesignStandard!$D$5,
IF(AND($R194&gt;RpmDesignStandard!$B$6,$R194&lt;=RpmDesignStandard!$C$6),RpmDesignStandard!$D$6,
IF(AND($R194&gt;RpmDesignStandard!$B$7,$R194&lt;=RpmDesignStandard!$C$7),RpmDesignStandard!$D$7,RpmDesignStandard!$D$8))))</f>
        <v>4</v>
      </c>
      <c r="V194" s="47">
        <f>U194*RpmDesignStandard!$H$1</f>
        <v>8</v>
      </c>
      <c r="W194" s="37">
        <f>VLOOKUP(A194,RPM_ProjectRecord!A:AB,8,FALSE)</f>
        <v>2025</v>
      </c>
      <c r="X194" s="38" t="str">
        <f t="shared" si="20"/>
        <v/>
      </c>
      <c r="Y194" s="38" t="str">
        <f t="shared" si="21"/>
        <v/>
      </c>
      <c r="Z194" s="38" t="str">
        <f t="shared" si="22"/>
        <v/>
      </c>
      <c r="AA194" s="38" t="str">
        <f t="shared" si="23"/>
        <v/>
      </c>
      <c r="AB194" s="38" t="str">
        <f t="shared" si="24"/>
        <v/>
      </c>
      <c r="AC194" s="38">
        <f>IF(VLOOKUP(A194,'3rdPhaseChipSeal'!A:L,12,FALSE)="","",VLOOKUP(A194,'3rdPhaseChipSeal'!A:L,12,FALSE))</f>
        <v>2042</v>
      </c>
      <c r="AD194" s="38" t="str">
        <f>IFERROR(IF(VLOOKUP(A194,RpmContracts!A:C,3,FALSE)="","",VLOOKUP(A194,RpmContracts!A:C,3,FALSE)),"")</f>
        <v/>
      </c>
      <c r="AE194" s="7" t="str">
        <f>IF(VLOOKUP(A194,'20yPlan'!A:B,2,FALSE)="","",VLOOKUP(A194,'20yPlan'!A:B,2,FALSE))</f>
        <v/>
      </c>
      <c r="AF194" s="7" t="str">
        <f>IF(VLOOKUP(A194,'20yPlan'!A:C,3,FALSE)="","",VLOOKUP(A194,'20yPlan'!A:C,3,FALSE))</f>
        <v/>
      </c>
      <c r="AG194" s="7" t="str">
        <f>IF(VLOOKUP(A194,'20yPlan'!A:D,4,FALSE)="","",VLOOKUP(A194,'20yPlan'!A:D,4,FALSE))</f>
        <v/>
      </c>
      <c r="AH194" s="7" t="str">
        <f>IF(VLOOKUP(A194,'20yPlan'!A:E,5,FALSE)="","",VLOOKUP(A194,'20yPlan'!A:E,5,FALSE))</f>
        <v/>
      </c>
      <c r="AI194" s="7" t="str">
        <f>IF(VLOOKUP(A194,'20yPlan'!A:F,6,FALSE)="","",VLOOKUP(A194,'20yPlan'!A:F,6,FALSE))</f>
        <v/>
      </c>
      <c r="AJ194" s="7" t="str">
        <f t="shared" si="25"/>
        <v>2042 Chip Seal</v>
      </c>
      <c r="AK194" s="7" t="str">
        <f t="shared" si="26"/>
        <v/>
      </c>
      <c r="AL194" s="39">
        <f t="shared" ca="1" si="27"/>
        <v>2029</v>
      </c>
      <c r="AM194" s="7" t="str">
        <f t="shared" si="28"/>
        <v/>
      </c>
      <c r="AN194" s="7" t="str">
        <f t="shared" si="29"/>
        <v/>
      </c>
    </row>
    <row r="195" spans="1:40">
      <c r="A195" s="6">
        <v>60204</v>
      </c>
      <c r="B195" s="6" t="s">
        <v>663</v>
      </c>
      <c r="C195" s="6" t="s">
        <v>691</v>
      </c>
      <c r="D195" s="6">
        <v>66.975103000000004</v>
      </c>
      <c r="E195" s="6">
        <v>74.219622999999999</v>
      </c>
      <c r="F195" s="6" t="s">
        <v>692</v>
      </c>
      <c r="G195" s="6" t="s">
        <v>693</v>
      </c>
      <c r="H195" s="35">
        <v>146204</v>
      </c>
      <c r="I195" s="6" t="s">
        <v>195</v>
      </c>
      <c r="J195" s="6">
        <v>25</v>
      </c>
      <c r="K195" s="6">
        <v>2025</v>
      </c>
      <c r="L195" s="6">
        <v>2</v>
      </c>
      <c r="M195" s="6" t="s">
        <v>45</v>
      </c>
      <c r="N195" s="6" t="s">
        <v>250</v>
      </c>
      <c r="O195" s="6" t="s">
        <v>215</v>
      </c>
      <c r="P195" s="6" t="s">
        <v>694</v>
      </c>
      <c r="Q195" s="6" t="s">
        <v>418</v>
      </c>
      <c r="R195" s="35">
        <v>3291</v>
      </c>
      <c r="S195" s="6">
        <v>340</v>
      </c>
      <c r="T195" s="36" t="s">
        <v>253</v>
      </c>
      <c r="U195" s="46">
        <f>IF($L195&lt;=2,
IF($R195&lt;=RpmDesignStandard!$C$2,RpmDesignStandard!$D$2,
IF(AND($R195&gt;RpmDesignStandard!$B$3,$R195&lt;=RpmDesignStandard!$C$3),RpmDesignStandard!$D$3,RpmDesignStandard!$D$4)),
IF($R195&lt;=RpmDesignStandard!$C$5, RpmDesignStandard!$D$5,
IF(AND($R195&gt;RpmDesignStandard!$B$6,$R195&lt;=RpmDesignStandard!$C$6),RpmDesignStandard!$D$6,
IF(AND($R195&gt;RpmDesignStandard!$B$7,$R195&lt;=RpmDesignStandard!$C$7),RpmDesignStandard!$D$7,RpmDesignStandard!$D$8))))</f>
        <v>4</v>
      </c>
      <c r="V195" s="47">
        <f>U195*RpmDesignStandard!$H$1</f>
        <v>8</v>
      </c>
      <c r="W195" s="37" t="str">
        <f>VLOOKUP(A195,RPM_ProjectRecord!A:AB,8,FALSE)</f>
        <v/>
      </c>
      <c r="X195" s="38" t="str">
        <f t="shared" ref="X195:X258" si="30">IFERROR(VALUE(LEFT(AE195,4)),"")</f>
        <v/>
      </c>
      <c r="Y195" s="38" t="str">
        <f t="shared" ref="Y195:Y258" si="31">IFERROR(VALUE(LEFT(AF195,4)),"")</f>
        <v/>
      </c>
      <c r="Z195" s="38" t="str">
        <f t="shared" ref="Z195:Z258" si="32">IFERROR(VALUE(LEFT(AG195,4)),"")</f>
        <v/>
      </c>
      <c r="AA195" s="38" t="str">
        <f t="shared" ref="AA195:AA258" si="33">IFERROR(VALUE(LEFT(AH195,4)),"")</f>
        <v/>
      </c>
      <c r="AB195" s="38" t="str">
        <f t="shared" ref="AB195:AB258" si="34">IFERROR(VALUE(LEFT(AI195,4)),"")</f>
        <v/>
      </c>
      <c r="AC195" s="38">
        <f>IF(VLOOKUP(A195,'3rdPhaseChipSeal'!A:L,12,FALSE)="","",VLOOKUP(A195,'3rdPhaseChipSeal'!A:L,12,FALSE))</f>
        <v>2038</v>
      </c>
      <c r="AD195" s="38" t="str">
        <f>IFERROR(IF(VLOOKUP(A195,RpmContracts!A:C,3,FALSE)="","",VLOOKUP(A195,RpmContracts!A:C,3,FALSE)),"")</f>
        <v/>
      </c>
      <c r="AE195" s="7" t="str">
        <f>IF(VLOOKUP(A195,'20yPlan'!A:B,2,FALSE)="","",VLOOKUP(A195,'20yPlan'!A:B,2,FALSE))</f>
        <v/>
      </c>
      <c r="AF195" s="7" t="str">
        <f>IF(VLOOKUP(A195,'20yPlan'!A:C,3,FALSE)="","",VLOOKUP(A195,'20yPlan'!A:C,3,FALSE))</f>
        <v/>
      </c>
      <c r="AG195" s="7" t="str">
        <f>IF(VLOOKUP(A195,'20yPlan'!A:D,4,FALSE)="","",VLOOKUP(A195,'20yPlan'!A:D,4,FALSE))</f>
        <v/>
      </c>
      <c r="AH195" s="7" t="str">
        <f>IF(VLOOKUP(A195,'20yPlan'!A:E,5,FALSE)="","",VLOOKUP(A195,'20yPlan'!A:E,5,FALSE))</f>
        <v/>
      </c>
      <c r="AI195" s="7" t="str">
        <f>IF(VLOOKUP(A195,'20yPlan'!A:F,6,FALSE)="","",VLOOKUP(A195,'20yPlan'!A:F,6,FALSE))</f>
        <v/>
      </c>
      <c r="AJ195" s="7" t="str">
        <f t="shared" ref="AJ195:AJ258" si="35">IF(AC195="","",_xlfn.CONCAT(AC195," ","Chip Seal"))</f>
        <v>2038 Chip Seal</v>
      </c>
      <c r="AK195" s="7" t="str">
        <f t="shared" ref="AK195:AK258" si="36">IF(AD195="","",_xlfn.CONCAT(AD195," ","RPM Replacement"))</f>
        <v/>
      </c>
      <c r="AL195" s="39">
        <f t="shared" ref="AL195:AL258" ca="1" si="37">IFERROR(U195+W195,YEAR(TODAY()))</f>
        <v>2025</v>
      </c>
      <c r="AM195" s="7" t="str">
        <f t="shared" ref="AM195:AM258" si="38">IF(W195="",AD195,IF(AND(MIN(X195:AD195)&lt;=(W195+V195),MIN(X195:AD195)&gt;W195),MIN(X195:AD195),""))</f>
        <v/>
      </c>
      <c r="AN195" s="7" t="str">
        <f t="shared" ref="AN195:AN258" si="39">IF(AM195=X195,AE195,IF(AM195=Y195,AF195,IF(AM195=AC195,AJ195,AK195)))</f>
        <v/>
      </c>
    </row>
    <row r="196" spans="1:40">
      <c r="A196" s="6">
        <v>60205</v>
      </c>
      <c r="B196" s="6" t="s">
        <v>663</v>
      </c>
      <c r="C196" s="6" t="s">
        <v>695</v>
      </c>
      <c r="D196" s="6">
        <v>74.219622999999999</v>
      </c>
      <c r="E196" s="6">
        <v>77.908682999999996</v>
      </c>
      <c r="F196" s="6" t="s">
        <v>693</v>
      </c>
      <c r="G196" s="6" t="s">
        <v>696</v>
      </c>
      <c r="H196" s="35">
        <v>77032</v>
      </c>
      <c r="I196" s="6" t="s">
        <v>195</v>
      </c>
      <c r="J196" s="6">
        <v>25</v>
      </c>
      <c r="K196" s="6">
        <v>2025</v>
      </c>
      <c r="L196" s="6">
        <v>2</v>
      </c>
      <c r="M196" s="6" t="s">
        <v>45</v>
      </c>
      <c r="N196" s="6" t="s">
        <v>250</v>
      </c>
      <c r="O196" s="6" t="s">
        <v>79</v>
      </c>
      <c r="P196" s="6" t="s">
        <v>99</v>
      </c>
      <c r="Q196" s="6" t="s">
        <v>697</v>
      </c>
      <c r="R196" s="35">
        <v>3741</v>
      </c>
      <c r="S196" s="6">
        <v>332</v>
      </c>
      <c r="T196" s="36" t="s">
        <v>253</v>
      </c>
      <c r="U196" s="46">
        <f>IF($L196&lt;=2,
IF($R196&lt;=RpmDesignStandard!$C$2,RpmDesignStandard!$D$2,
IF(AND($R196&gt;RpmDesignStandard!$B$3,$R196&lt;=RpmDesignStandard!$C$3),RpmDesignStandard!$D$3,RpmDesignStandard!$D$4)),
IF($R196&lt;=RpmDesignStandard!$C$5, RpmDesignStandard!$D$5,
IF(AND($R196&gt;RpmDesignStandard!$B$6,$R196&lt;=RpmDesignStandard!$C$6),RpmDesignStandard!$D$6,
IF(AND($R196&gt;RpmDesignStandard!$B$7,$R196&lt;=RpmDesignStandard!$C$7),RpmDesignStandard!$D$7,RpmDesignStandard!$D$8))))</f>
        <v>4</v>
      </c>
      <c r="V196" s="47">
        <f>U196*RpmDesignStandard!$H$1</f>
        <v>8</v>
      </c>
      <c r="W196" s="37" t="str">
        <f>VLOOKUP(A196,RPM_ProjectRecord!A:AB,8,FALSE)</f>
        <v/>
      </c>
      <c r="X196" s="38" t="str">
        <f t="shared" si="30"/>
        <v/>
      </c>
      <c r="Y196" s="38" t="str">
        <f t="shared" si="31"/>
        <v/>
      </c>
      <c r="Z196" s="38" t="str">
        <f t="shared" si="32"/>
        <v/>
      </c>
      <c r="AA196" s="38" t="str">
        <f t="shared" si="33"/>
        <v/>
      </c>
      <c r="AB196" s="38" t="str">
        <f t="shared" si="34"/>
        <v/>
      </c>
      <c r="AC196" s="38">
        <f>IF(VLOOKUP(A196,'3rdPhaseChipSeal'!A:L,12,FALSE)="","",VLOOKUP(A196,'3rdPhaseChipSeal'!A:L,12,FALSE))</f>
        <v>2038</v>
      </c>
      <c r="AD196" s="38" t="str">
        <f>IFERROR(IF(VLOOKUP(A196,RpmContracts!A:C,3,FALSE)="","",VLOOKUP(A196,RpmContracts!A:C,3,FALSE)),"")</f>
        <v/>
      </c>
      <c r="AE196" s="7" t="str">
        <f>IF(VLOOKUP(A196,'20yPlan'!A:B,2,FALSE)="","",VLOOKUP(A196,'20yPlan'!A:B,2,FALSE))</f>
        <v/>
      </c>
      <c r="AF196" s="7" t="str">
        <f>IF(VLOOKUP(A196,'20yPlan'!A:C,3,FALSE)="","",VLOOKUP(A196,'20yPlan'!A:C,3,FALSE))</f>
        <v/>
      </c>
      <c r="AG196" s="7" t="str">
        <f>IF(VLOOKUP(A196,'20yPlan'!A:D,4,FALSE)="","",VLOOKUP(A196,'20yPlan'!A:D,4,FALSE))</f>
        <v/>
      </c>
      <c r="AH196" s="7" t="str">
        <f>IF(VLOOKUP(A196,'20yPlan'!A:E,5,FALSE)="","",VLOOKUP(A196,'20yPlan'!A:E,5,FALSE))</f>
        <v/>
      </c>
      <c r="AI196" s="7" t="str">
        <f>IF(VLOOKUP(A196,'20yPlan'!A:F,6,FALSE)="","",VLOOKUP(A196,'20yPlan'!A:F,6,FALSE))</f>
        <v/>
      </c>
      <c r="AJ196" s="7" t="str">
        <f t="shared" si="35"/>
        <v>2038 Chip Seal</v>
      </c>
      <c r="AK196" s="7" t="str">
        <f t="shared" si="36"/>
        <v/>
      </c>
      <c r="AL196" s="39">
        <f t="shared" ca="1" si="37"/>
        <v>2025</v>
      </c>
      <c r="AM196" s="7" t="str">
        <f t="shared" si="38"/>
        <v/>
      </c>
      <c r="AN196" s="7" t="str">
        <f t="shared" si="39"/>
        <v/>
      </c>
    </row>
    <row r="197" spans="1:40">
      <c r="A197" s="6">
        <v>60206</v>
      </c>
      <c r="B197" s="6" t="s">
        <v>698</v>
      </c>
      <c r="C197" s="6" t="s">
        <v>699</v>
      </c>
      <c r="D197" s="6">
        <v>0</v>
      </c>
      <c r="E197" s="6">
        <v>1.968675</v>
      </c>
      <c r="F197" s="6" t="s">
        <v>53</v>
      </c>
      <c r="G197" s="6" t="s">
        <v>700</v>
      </c>
      <c r="H197" s="35">
        <v>31286</v>
      </c>
      <c r="I197" s="6" t="s">
        <v>195</v>
      </c>
      <c r="J197" s="6">
        <v>3</v>
      </c>
      <c r="K197" s="6">
        <v>2029</v>
      </c>
      <c r="L197" s="6">
        <v>2</v>
      </c>
      <c r="M197" s="6" t="s">
        <v>45</v>
      </c>
      <c r="N197" s="6" t="s">
        <v>250</v>
      </c>
      <c r="O197" s="6" t="s">
        <v>165</v>
      </c>
      <c r="P197" s="6" t="s">
        <v>236</v>
      </c>
      <c r="Q197" s="6" t="s">
        <v>505</v>
      </c>
      <c r="R197" s="35">
        <v>1330</v>
      </c>
      <c r="S197" s="6">
        <v>160</v>
      </c>
      <c r="T197" s="36" t="s">
        <v>253</v>
      </c>
      <c r="U197" s="46">
        <f>IF($L197&lt;=2,
IF($R197&lt;=RpmDesignStandard!$C$2,RpmDesignStandard!$D$2,
IF(AND($R197&gt;RpmDesignStandard!$B$3,$R197&lt;=RpmDesignStandard!$C$3),RpmDesignStandard!$D$3,RpmDesignStandard!$D$4)),
IF($R197&lt;=RpmDesignStandard!$C$5, RpmDesignStandard!$D$5,
IF(AND($R197&gt;RpmDesignStandard!$B$6,$R197&lt;=RpmDesignStandard!$C$6),RpmDesignStandard!$D$6,
IF(AND($R197&gt;RpmDesignStandard!$B$7,$R197&lt;=RpmDesignStandard!$C$7),RpmDesignStandard!$D$7,RpmDesignStandard!$D$8))))</f>
        <v>4</v>
      </c>
      <c r="V197" s="47">
        <f>U197*RpmDesignStandard!$H$1</f>
        <v>8</v>
      </c>
      <c r="W197" s="37" t="str">
        <f>VLOOKUP(A197,RPM_ProjectRecord!A:AB,8,FALSE)</f>
        <v/>
      </c>
      <c r="X197" s="38" t="str">
        <f t="shared" si="30"/>
        <v/>
      </c>
      <c r="Y197" s="38" t="str">
        <f t="shared" si="31"/>
        <v/>
      </c>
      <c r="Z197" s="38" t="str">
        <f t="shared" si="32"/>
        <v/>
      </c>
      <c r="AA197" s="38" t="str">
        <f t="shared" si="33"/>
        <v/>
      </c>
      <c r="AB197" s="38" t="str">
        <f t="shared" si="34"/>
        <v/>
      </c>
      <c r="AC197" s="38">
        <f>IF(VLOOKUP(A197,'3rdPhaseChipSeal'!A:L,12,FALSE)="","",VLOOKUP(A197,'3rdPhaseChipSeal'!A:L,12,FALSE))</f>
        <v>2043</v>
      </c>
      <c r="AD197" s="38">
        <f>IFERROR(IF(VLOOKUP(A197,RpmContracts!A:C,3,FALSE)="","",VLOOKUP(A197,RpmContracts!A:C,3,FALSE)),"")</f>
        <v>2026</v>
      </c>
      <c r="AE197" s="7" t="str">
        <f>IF(VLOOKUP(A197,'20yPlan'!A:B,2,FALSE)="","",VLOOKUP(A197,'20yPlan'!A:B,2,FALSE))</f>
        <v/>
      </c>
      <c r="AF197" s="7" t="str">
        <f>IF(VLOOKUP(A197,'20yPlan'!A:C,3,FALSE)="","",VLOOKUP(A197,'20yPlan'!A:C,3,FALSE))</f>
        <v/>
      </c>
      <c r="AG197" s="7" t="str">
        <f>IF(VLOOKUP(A197,'20yPlan'!A:D,4,FALSE)="","",VLOOKUP(A197,'20yPlan'!A:D,4,FALSE))</f>
        <v/>
      </c>
      <c r="AH197" s="7" t="str">
        <f>IF(VLOOKUP(A197,'20yPlan'!A:E,5,FALSE)="","",VLOOKUP(A197,'20yPlan'!A:E,5,FALSE))</f>
        <v/>
      </c>
      <c r="AI197" s="7" t="str">
        <f>IF(VLOOKUP(A197,'20yPlan'!A:F,6,FALSE)="","",VLOOKUP(A197,'20yPlan'!A:F,6,FALSE))</f>
        <v/>
      </c>
      <c r="AJ197" s="7" t="str">
        <f t="shared" si="35"/>
        <v>2043 Chip Seal</v>
      </c>
      <c r="AK197" s="7" t="str">
        <f t="shared" si="36"/>
        <v>2026 RPM Replacement</v>
      </c>
      <c r="AL197" s="39">
        <f t="shared" ca="1" si="37"/>
        <v>2025</v>
      </c>
      <c r="AM197" s="7">
        <f t="shared" si="38"/>
        <v>2026</v>
      </c>
      <c r="AN197" s="7" t="str">
        <f t="shared" si="39"/>
        <v>2026 RPM Replacement</v>
      </c>
    </row>
    <row r="198" spans="1:40">
      <c r="A198" s="6">
        <v>60207</v>
      </c>
      <c r="B198" s="6" t="s">
        <v>701</v>
      </c>
      <c r="C198" s="6" t="s">
        <v>702</v>
      </c>
      <c r="D198" s="6">
        <v>0</v>
      </c>
      <c r="E198" s="6">
        <v>10.922402999999999</v>
      </c>
      <c r="F198" s="6" t="s">
        <v>703</v>
      </c>
      <c r="G198" s="6" t="s">
        <v>704</v>
      </c>
      <c r="H198" s="35">
        <v>185103</v>
      </c>
      <c r="I198" s="6" t="s">
        <v>195</v>
      </c>
      <c r="J198" s="6">
        <v>18</v>
      </c>
      <c r="K198" s="6">
        <v>2027</v>
      </c>
      <c r="L198" s="6">
        <v>2</v>
      </c>
      <c r="M198" s="6" t="s">
        <v>45</v>
      </c>
      <c r="N198" s="6" t="s">
        <v>250</v>
      </c>
      <c r="O198" s="6" t="s">
        <v>61</v>
      </c>
      <c r="P198" s="6" t="s">
        <v>705</v>
      </c>
      <c r="Q198" s="6" t="s">
        <v>107</v>
      </c>
      <c r="R198" s="35">
        <v>3612</v>
      </c>
      <c r="S198" s="6">
        <v>254</v>
      </c>
      <c r="T198" s="36" t="s">
        <v>253</v>
      </c>
      <c r="U198" s="46">
        <f>IF($L198&lt;=2,
IF($R198&lt;=RpmDesignStandard!$C$2,RpmDesignStandard!$D$2,
IF(AND($R198&gt;RpmDesignStandard!$B$3,$R198&lt;=RpmDesignStandard!$C$3),RpmDesignStandard!$D$3,RpmDesignStandard!$D$4)),
IF($R198&lt;=RpmDesignStandard!$C$5, RpmDesignStandard!$D$5,
IF(AND($R198&gt;RpmDesignStandard!$B$6,$R198&lt;=RpmDesignStandard!$C$6),RpmDesignStandard!$D$6,
IF(AND($R198&gt;RpmDesignStandard!$B$7,$R198&lt;=RpmDesignStandard!$C$7),RpmDesignStandard!$D$7,RpmDesignStandard!$D$8))))</f>
        <v>4</v>
      </c>
      <c r="V198" s="47">
        <f>U198*RpmDesignStandard!$H$1</f>
        <v>8</v>
      </c>
      <c r="W198" s="37" t="str">
        <f>VLOOKUP(A198,RPM_ProjectRecord!A:AB,8,FALSE)</f>
        <v/>
      </c>
      <c r="X198" s="38" t="str">
        <f t="shared" si="30"/>
        <v/>
      </c>
      <c r="Y198" s="38" t="str">
        <f t="shared" si="31"/>
        <v/>
      </c>
      <c r="Z198" s="38" t="str">
        <f t="shared" si="32"/>
        <v/>
      </c>
      <c r="AA198" s="38" t="str">
        <f t="shared" si="33"/>
        <v/>
      </c>
      <c r="AB198" s="38" t="str">
        <f t="shared" si="34"/>
        <v/>
      </c>
      <c r="AC198" s="38">
        <f>IF(VLOOKUP(A198,'3rdPhaseChipSeal'!A:L,12,FALSE)="","",VLOOKUP(A198,'3rdPhaseChipSeal'!A:L,12,FALSE))</f>
        <v>2027</v>
      </c>
      <c r="AD198" s="38" t="str">
        <f>IFERROR(IF(VLOOKUP(A198,RpmContracts!A:C,3,FALSE)="","",VLOOKUP(A198,RpmContracts!A:C,3,FALSE)),"")</f>
        <v/>
      </c>
      <c r="AE198" s="7" t="str">
        <f>IF(VLOOKUP(A198,'20yPlan'!A:B,2,FALSE)="","",VLOOKUP(A198,'20yPlan'!A:B,2,FALSE))</f>
        <v/>
      </c>
      <c r="AF198" s="7" t="str">
        <f>IF(VLOOKUP(A198,'20yPlan'!A:C,3,FALSE)="","",VLOOKUP(A198,'20yPlan'!A:C,3,FALSE))</f>
        <v/>
      </c>
      <c r="AG198" s="7" t="str">
        <f>IF(VLOOKUP(A198,'20yPlan'!A:D,4,FALSE)="","",VLOOKUP(A198,'20yPlan'!A:D,4,FALSE))</f>
        <v/>
      </c>
      <c r="AH198" s="7" t="str">
        <f>IF(VLOOKUP(A198,'20yPlan'!A:E,5,FALSE)="","",VLOOKUP(A198,'20yPlan'!A:E,5,FALSE))</f>
        <v/>
      </c>
      <c r="AI198" s="7" t="str">
        <f>IF(VLOOKUP(A198,'20yPlan'!A:F,6,FALSE)="","",VLOOKUP(A198,'20yPlan'!A:F,6,FALSE))</f>
        <v/>
      </c>
      <c r="AJ198" s="7" t="str">
        <f t="shared" si="35"/>
        <v>2027 Chip Seal</v>
      </c>
      <c r="AK198" s="7" t="str">
        <f t="shared" si="36"/>
        <v/>
      </c>
      <c r="AL198" s="39">
        <f t="shared" ca="1" si="37"/>
        <v>2025</v>
      </c>
      <c r="AM198" s="7" t="str">
        <f t="shared" si="38"/>
        <v/>
      </c>
      <c r="AN198" s="7" t="str">
        <f t="shared" si="39"/>
        <v/>
      </c>
    </row>
    <row r="199" spans="1:40">
      <c r="A199" s="6">
        <v>60208</v>
      </c>
      <c r="B199" s="6" t="s">
        <v>701</v>
      </c>
      <c r="C199" s="6" t="s">
        <v>706</v>
      </c>
      <c r="D199" s="6">
        <v>10.922402999999999</v>
      </c>
      <c r="E199" s="6">
        <v>12.964779999999999</v>
      </c>
      <c r="F199" s="6" t="s">
        <v>704</v>
      </c>
      <c r="G199" s="6" t="s">
        <v>707</v>
      </c>
      <c r="H199" s="35">
        <v>40209</v>
      </c>
      <c r="I199" s="6" t="s">
        <v>195</v>
      </c>
      <c r="J199" s="6">
        <v>21</v>
      </c>
      <c r="K199" s="6">
        <v>2027</v>
      </c>
      <c r="L199" s="6">
        <v>2</v>
      </c>
      <c r="M199" s="6" t="s">
        <v>45</v>
      </c>
      <c r="N199" s="6" t="s">
        <v>250</v>
      </c>
      <c r="O199" s="6" t="s">
        <v>61</v>
      </c>
      <c r="P199" s="6" t="s">
        <v>62</v>
      </c>
      <c r="Q199" s="6" t="s">
        <v>63</v>
      </c>
      <c r="R199" s="35">
        <v>1779</v>
      </c>
      <c r="S199" s="6">
        <v>184</v>
      </c>
      <c r="T199" s="36" t="s">
        <v>253</v>
      </c>
      <c r="U199" s="46">
        <f>IF($L199&lt;=2,
IF($R199&lt;=RpmDesignStandard!$C$2,RpmDesignStandard!$D$2,
IF(AND($R199&gt;RpmDesignStandard!$B$3,$R199&lt;=RpmDesignStandard!$C$3),RpmDesignStandard!$D$3,RpmDesignStandard!$D$4)),
IF($R199&lt;=RpmDesignStandard!$C$5, RpmDesignStandard!$D$5,
IF(AND($R199&gt;RpmDesignStandard!$B$6,$R199&lt;=RpmDesignStandard!$C$6),RpmDesignStandard!$D$6,
IF(AND($R199&gt;RpmDesignStandard!$B$7,$R199&lt;=RpmDesignStandard!$C$7),RpmDesignStandard!$D$7,RpmDesignStandard!$D$8))))</f>
        <v>4</v>
      </c>
      <c r="V199" s="47">
        <f>U199*RpmDesignStandard!$H$1</f>
        <v>8</v>
      </c>
      <c r="W199" s="37" t="str">
        <f>VLOOKUP(A199,RPM_ProjectRecord!A:AB,8,FALSE)</f>
        <v/>
      </c>
      <c r="X199" s="38" t="str">
        <f t="shared" si="30"/>
        <v/>
      </c>
      <c r="Y199" s="38" t="str">
        <f t="shared" si="31"/>
        <v/>
      </c>
      <c r="Z199" s="38" t="str">
        <f t="shared" si="32"/>
        <v/>
      </c>
      <c r="AA199" s="38" t="str">
        <f t="shared" si="33"/>
        <v/>
      </c>
      <c r="AB199" s="38" t="str">
        <f t="shared" si="34"/>
        <v/>
      </c>
      <c r="AC199" s="38">
        <f>IF(VLOOKUP(A199,'3rdPhaseChipSeal'!A:L,12,FALSE)="","",VLOOKUP(A199,'3rdPhaseChipSeal'!A:L,12,FALSE))</f>
        <v>2027</v>
      </c>
      <c r="AD199" s="38" t="str">
        <f>IFERROR(IF(VLOOKUP(A199,RpmContracts!A:C,3,FALSE)="","",VLOOKUP(A199,RpmContracts!A:C,3,FALSE)),"")</f>
        <v/>
      </c>
      <c r="AE199" s="7" t="str">
        <f>IF(VLOOKUP(A199,'20yPlan'!A:B,2,FALSE)="","",VLOOKUP(A199,'20yPlan'!A:B,2,FALSE))</f>
        <v/>
      </c>
      <c r="AF199" s="7" t="str">
        <f>IF(VLOOKUP(A199,'20yPlan'!A:C,3,FALSE)="","",VLOOKUP(A199,'20yPlan'!A:C,3,FALSE))</f>
        <v/>
      </c>
      <c r="AG199" s="7" t="str">
        <f>IF(VLOOKUP(A199,'20yPlan'!A:D,4,FALSE)="","",VLOOKUP(A199,'20yPlan'!A:D,4,FALSE))</f>
        <v/>
      </c>
      <c r="AH199" s="7" t="str">
        <f>IF(VLOOKUP(A199,'20yPlan'!A:E,5,FALSE)="","",VLOOKUP(A199,'20yPlan'!A:E,5,FALSE))</f>
        <v/>
      </c>
      <c r="AI199" s="7" t="str">
        <f>IF(VLOOKUP(A199,'20yPlan'!A:F,6,FALSE)="","",VLOOKUP(A199,'20yPlan'!A:F,6,FALSE))</f>
        <v/>
      </c>
      <c r="AJ199" s="7" t="str">
        <f t="shared" si="35"/>
        <v>2027 Chip Seal</v>
      </c>
      <c r="AK199" s="7" t="str">
        <f t="shared" si="36"/>
        <v/>
      </c>
      <c r="AL199" s="39">
        <f t="shared" ca="1" si="37"/>
        <v>2025</v>
      </c>
      <c r="AM199" s="7" t="str">
        <f t="shared" si="38"/>
        <v/>
      </c>
      <c r="AN199" s="7" t="str">
        <f t="shared" si="39"/>
        <v/>
      </c>
    </row>
    <row r="200" spans="1:40">
      <c r="A200" s="6">
        <v>60209</v>
      </c>
      <c r="B200" s="6" t="s">
        <v>701</v>
      </c>
      <c r="C200" s="6" t="s">
        <v>708</v>
      </c>
      <c r="D200" s="6">
        <v>14.898989</v>
      </c>
      <c r="E200" s="6">
        <v>19.778244000000001</v>
      </c>
      <c r="F200" s="6" t="s">
        <v>709</v>
      </c>
      <c r="G200" s="6" t="s">
        <v>710</v>
      </c>
      <c r="H200" s="35">
        <v>69973</v>
      </c>
      <c r="I200" s="6" t="s">
        <v>195</v>
      </c>
      <c r="J200" s="6">
        <v>21</v>
      </c>
      <c r="K200" s="6">
        <v>2027</v>
      </c>
      <c r="L200" s="6">
        <v>2</v>
      </c>
      <c r="M200" s="6" t="s">
        <v>45</v>
      </c>
      <c r="N200" s="6" t="s">
        <v>250</v>
      </c>
      <c r="O200" s="6" t="s">
        <v>61</v>
      </c>
      <c r="P200" s="6" t="s">
        <v>62</v>
      </c>
      <c r="Q200" s="6" t="s">
        <v>58</v>
      </c>
      <c r="R200" s="35">
        <v>1383</v>
      </c>
      <c r="S200" s="6">
        <v>154</v>
      </c>
      <c r="T200" s="36" t="s">
        <v>253</v>
      </c>
      <c r="U200" s="46">
        <f>IF($L200&lt;=2,
IF($R200&lt;=RpmDesignStandard!$C$2,RpmDesignStandard!$D$2,
IF(AND($R200&gt;RpmDesignStandard!$B$3,$R200&lt;=RpmDesignStandard!$C$3),RpmDesignStandard!$D$3,RpmDesignStandard!$D$4)),
IF($R200&lt;=RpmDesignStandard!$C$5, RpmDesignStandard!$D$5,
IF(AND($R200&gt;RpmDesignStandard!$B$6,$R200&lt;=RpmDesignStandard!$C$6),RpmDesignStandard!$D$6,
IF(AND($R200&gt;RpmDesignStandard!$B$7,$R200&lt;=RpmDesignStandard!$C$7),RpmDesignStandard!$D$7,RpmDesignStandard!$D$8))))</f>
        <v>4</v>
      </c>
      <c r="V200" s="47">
        <f>U200*RpmDesignStandard!$H$1</f>
        <v>8</v>
      </c>
      <c r="W200" s="37" t="str">
        <f>VLOOKUP(A200,RPM_ProjectRecord!A:AB,8,FALSE)</f>
        <v/>
      </c>
      <c r="X200" s="38" t="str">
        <f t="shared" si="30"/>
        <v/>
      </c>
      <c r="Y200" s="38" t="str">
        <f t="shared" si="31"/>
        <v/>
      </c>
      <c r="Z200" s="38" t="str">
        <f t="shared" si="32"/>
        <v/>
      </c>
      <c r="AA200" s="38" t="str">
        <f t="shared" si="33"/>
        <v/>
      </c>
      <c r="AB200" s="38" t="str">
        <f t="shared" si="34"/>
        <v/>
      </c>
      <c r="AC200" s="38">
        <f>IF(VLOOKUP(A200,'3rdPhaseChipSeal'!A:L,12,FALSE)="","",VLOOKUP(A200,'3rdPhaseChipSeal'!A:L,12,FALSE))</f>
        <v>2027</v>
      </c>
      <c r="AD200" s="38" t="str">
        <f>IFERROR(IF(VLOOKUP(A200,RpmContracts!A:C,3,FALSE)="","",VLOOKUP(A200,RpmContracts!A:C,3,FALSE)),"")</f>
        <v/>
      </c>
      <c r="AE200" s="7" t="str">
        <f>IF(VLOOKUP(A200,'20yPlan'!A:B,2,FALSE)="","",VLOOKUP(A200,'20yPlan'!A:B,2,FALSE))</f>
        <v/>
      </c>
      <c r="AF200" s="7" t="str">
        <f>IF(VLOOKUP(A200,'20yPlan'!A:C,3,FALSE)="","",VLOOKUP(A200,'20yPlan'!A:C,3,FALSE))</f>
        <v/>
      </c>
      <c r="AG200" s="7" t="str">
        <f>IF(VLOOKUP(A200,'20yPlan'!A:D,4,FALSE)="","",VLOOKUP(A200,'20yPlan'!A:D,4,FALSE))</f>
        <v/>
      </c>
      <c r="AH200" s="7" t="str">
        <f>IF(VLOOKUP(A200,'20yPlan'!A:E,5,FALSE)="","",VLOOKUP(A200,'20yPlan'!A:E,5,FALSE))</f>
        <v/>
      </c>
      <c r="AI200" s="7" t="str">
        <f>IF(VLOOKUP(A200,'20yPlan'!A:F,6,FALSE)="","",VLOOKUP(A200,'20yPlan'!A:F,6,FALSE))</f>
        <v/>
      </c>
      <c r="AJ200" s="7" t="str">
        <f t="shared" si="35"/>
        <v>2027 Chip Seal</v>
      </c>
      <c r="AK200" s="7" t="str">
        <f t="shared" si="36"/>
        <v/>
      </c>
      <c r="AL200" s="39">
        <f t="shared" ca="1" si="37"/>
        <v>2025</v>
      </c>
      <c r="AM200" s="7" t="str">
        <f t="shared" si="38"/>
        <v/>
      </c>
      <c r="AN200" s="7" t="str">
        <f t="shared" si="39"/>
        <v/>
      </c>
    </row>
    <row r="201" spans="1:40">
      <c r="A201" s="6">
        <v>60211</v>
      </c>
      <c r="B201" s="6" t="s">
        <v>701</v>
      </c>
      <c r="C201" s="6" t="s">
        <v>711</v>
      </c>
      <c r="D201" s="6">
        <v>26.270292999999999</v>
      </c>
      <c r="E201" s="6">
        <v>27.971274000000001</v>
      </c>
      <c r="F201" s="6" t="s">
        <v>712</v>
      </c>
      <c r="G201" s="6" t="s">
        <v>713</v>
      </c>
      <c r="H201" s="35">
        <v>29008</v>
      </c>
      <c r="I201" s="6" t="s">
        <v>44</v>
      </c>
      <c r="J201" s="6">
        <v>22</v>
      </c>
      <c r="K201" s="6">
        <v>2024</v>
      </c>
      <c r="L201" s="6">
        <v>2</v>
      </c>
      <c r="M201" s="6" t="s">
        <v>45</v>
      </c>
      <c r="N201" s="6" t="s">
        <v>250</v>
      </c>
      <c r="O201" s="6" t="s">
        <v>121</v>
      </c>
      <c r="P201" s="6" t="s">
        <v>122</v>
      </c>
      <c r="Q201" s="6" t="s">
        <v>151</v>
      </c>
      <c r="R201" s="35">
        <v>4305</v>
      </c>
      <c r="S201" s="6">
        <v>469</v>
      </c>
      <c r="T201" s="36" t="s">
        <v>50</v>
      </c>
      <c r="U201" s="46">
        <f>IF($L201&lt;=2,
IF($R201&lt;=RpmDesignStandard!$C$2,RpmDesignStandard!$D$2,
IF(AND($R201&gt;RpmDesignStandard!$B$3,$R201&lt;=RpmDesignStandard!$C$3),RpmDesignStandard!$D$3,RpmDesignStandard!$D$4)),
IF($R201&lt;=RpmDesignStandard!$C$5, RpmDesignStandard!$D$5,
IF(AND($R201&gt;RpmDesignStandard!$B$6,$R201&lt;=RpmDesignStandard!$C$6),RpmDesignStandard!$D$6,
IF(AND($R201&gt;RpmDesignStandard!$B$7,$R201&lt;=RpmDesignStandard!$C$7),RpmDesignStandard!$D$7,RpmDesignStandard!$D$8))))</f>
        <v>4</v>
      </c>
      <c r="V201" s="47">
        <f>U201*RpmDesignStandard!$H$1</f>
        <v>8</v>
      </c>
      <c r="W201" s="37" t="str">
        <f>VLOOKUP(A201,RPM_ProjectRecord!A:AB,8,FALSE)</f>
        <v/>
      </c>
      <c r="X201" s="38" t="str">
        <f t="shared" si="30"/>
        <v/>
      </c>
      <c r="Y201" s="38" t="str">
        <f t="shared" si="31"/>
        <v/>
      </c>
      <c r="Z201" s="38" t="str">
        <f t="shared" si="32"/>
        <v/>
      </c>
      <c r="AA201" s="38" t="str">
        <f t="shared" si="33"/>
        <v/>
      </c>
      <c r="AB201" s="38" t="str">
        <f t="shared" si="34"/>
        <v/>
      </c>
      <c r="AC201" s="38" t="str">
        <f>IF(VLOOKUP(A201,'3rdPhaseChipSeal'!A:L,12,FALSE)="","",VLOOKUP(A201,'3rdPhaseChipSeal'!A:L,12,FALSE))</f>
        <v/>
      </c>
      <c r="AD201" s="38" t="str">
        <f>IFERROR(IF(VLOOKUP(A201,RpmContracts!A:C,3,FALSE)="","",VLOOKUP(A201,RpmContracts!A:C,3,FALSE)),"")</f>
        <v/>
      </c>
      <c r="AE201" s="7" t="str">
        <f>IF(VLOOKUP(A201,'20yPlan'!A:B,2,FALSE)="","",VLOOKUP(A201,'20yPlan'!A:B,2,FALSE))</f>
        <v/>
      </c>
      <c r="AF201" s="7" t="str">
        <f>IF(VLOOKUP(A201,'20yPlan'!A:C,3,FALSE)="","",VLOOKUP(A201,'20yPlan'!A:C,3,FALSE))</f>
        <v/>
      </c>
      <c r="AG201" s="7" t="str">
        <f>IF(VLOOKUP(A201,'20yPlan'!A:D,4,FALSE)="","",VLOOKUP(A201,'20yPlan'!A:D,4,FALSE))</f>
        <v/>
      </c>
      <c r="AH201" s="7" t="str">
        <f>IF(VLOOKUP(A201,'20yPlan'!A:E,5,FALSE)="","",VLOOKUP(A201,'20yPlan'!A:E,5,FALSE))</f>
        <v/>
      </c>
      <c r="AI201" s="7" t="str">
        <f>IF(VLOOKUP(A201,'20yPlan'!A:F,6,FALSE)="","",VLOOKUP(A201,'20yPlan'!A:F,6,FALSE))</f>
        <v/>
      </c>
      <c r="AJ201" s="7" t="str">
        <f t="shared" si="35"/>
        <v/>
      </c>
      <c r="AK201" s="7" t="str">
        <f t="shared" si="36"/>
        <v/>
      </c>
      <c r="AL201" s="39">
        <f t="shared" ca="1" si="37"/>
        <v>2025</v>
      </c>
      <c r="AM201" s="7" t="str">
        <f t="shared" si="38"/>
        <v/>
      </c>
      <c r="AN201" s="7" t="str">
        <f t="shared" si="39"/>
        <v/>
      </c>
    </row>
    <row r="202" spans="1:40">
      <c r="A202" s="6">
        <v>60212</v>
      </c>
      <c r="B202" s="6" t="s">
        <v>701</v>
      </c>
      <c r="C202" s="6" t="s">
        <v>714</v>
      </c>
      <c r="D202" s="6">
        <v>27.971274000000001</v>
      </c>
      <c r="E202" s="6">
        <v>41.161082</v>
      </c>
      <c r="F202" s="6" t="s">
        <v>713</v>
      </c>
      <c r="G202" s="6" t="s">
        <v>715</v>
      </c>
      <c r="H202" s="35">
        <v>199651</v>
      </c>
      <c r="I202" s="6" t="s">
        <v>195</v>
      </c>
      <c r="J202" s="6">
        <v>22</v>
      </c>
      <c r="K202" s="6">
        <v>2027</v>
      </c>
      <c r="L202" s="6">
        <v>2</v>
      </c>
      <c r="M202" s="6" t="s">
        <v>45</v>
      </c>
      <c r="N202" s="6" t="s">
        <v>250</v>
      </c>
      <c r="O202" s="6" t="s">
        <v>121</v>
      </c>
      <c r="P202" s="6" t="s">
        <v>122</v>
      </c>
      <c r="Q202" s="6" t="s">
        <v>510</v>
      </c>
      <c r="R202" s="6">
        <v>841</v>
      </c>
      <c r="S202" s="6">
        <v>91</v>
      </c>
      <c r="T202" s="36" t="s">
        <v>253</v>
      </c>
      <c r="U202" s="46">
        <f>IF($L202&lt;=2,
IF($R202&lt;=RpmDesignStandard!$C$2,RpmDesignStandard!$D$2,
IF(AND($R202&gt;RpmDesignStandard!$B$3,$R202&lt;=RpmDesignStandard!$C$3),RpmDesignStandard!$D$3,RpmDesignStandard!$D$4)),
IF($R202&lt;=RpmDesignStandard!$C$5, RpmDesignStandard!$D$5,
IF(AND($R202&gt;RpmDesignStandard!$B$6,$R202&lt;=RpmDesignStandard!$C$6),RpmDesignStandard!$D$6,
IF(AND($R202&gt;RpmDesignStandard!$B$7,$R202&lt;=RpmDesignStandard!$C$7),RpmDesignStandard!$D$7,RpmDesignStandard!$D$8))))</f>
        <v>4</v>
      </c>
      <c r="V202" s="47">
        <f>U202*RpmDesignStandard!$H$1</f>
        <v>8</v>
      </c>
      <c r="W202" s="37" t="str">
        <f>VLOOKUP(A202,RPM_ProjectRecord!A:AB,8,FALSE)</f>
        <v/>
      </c>
      <c r="X202" s="38" t="str">
        <f t="shared" si="30"/>
        <v/>
      </c>
      <c r="Y202" s="38" t="str">
        <f t="shared" si="31"/>
        <v/>
      </c>
      <c r="Z202" s="38" t="str">
        <f t="shared" si="32"/>
        <v/>
      </c>
      <c r="AA202" s="38" t="str">
        <f t="shared" si="33"/>
        <v/>
      </c>
      <c r="AB202" s="38" t="str">
        <f t="shared" si="34"/>
        <v/>
      </c>
      <c r="AC202" s="38">
        <f>IF(VLOOKUP(A202,'3rdPhaseChipSeal'!A:L,12,FALSE)="","",VLOOKUP(A202,'3rdPhaseChipSeal'!A:L,12,FALSE))</f>
        <v>2041</v>
      </c>
      <c r="AD202" s="38" t="str">
        <f>IFERROR(IF(VLOOKUP(A202,RpmContracts!A:C,3,FALSE)="","",VLOOKUP(A202,RpmContracts!A:C,3,FALSE)),"")</f>
        <v/>
      </c>
      <c r="AE202" s="7" t="str">
        <f>IF(VLOOKUP(A202,'20yPlan'!A:B,2,FALSE)="","",VLOOKUP(A202,'20yPlan'!A:B,2,FALSE))</f>
        <v/>
      </c>
      <c r="AF202" s="7" t="str">
        <f>IF(VLOOKUP(A202,'20yPlan'!A:C,3,FALSE)="","",VLOOKUP(A202,'20yPlan'!A:C,3,FALSE))</f>
        <v/>
      </c>
      <c r="AG202" s="7" t="str">
        <f>IF(VLOOKUP(A202,'20yPlan'!A:D,4,FALSE)="","",VLOOKUP(A202,'20yPlan'!A:D,4,FALSE))</f>
        <v/>
      </c>
      <c r="AH202" s="7" t="str">
        <f>IF(VLOOKUP(A202,'20yPlan'!A:E,5,FALSE)="","",VLOOKUP(A202,'20yPlan'!A:E,5,FALSE))</f>
        <v/>
      </c>
      <c r="AI202" s="7" t="str">
        <f>IF(VLOOKUP(A202,'20yPlan'!A:F,6,FALSE)="","",VLOOKUP(A202,'20yPlan'!A:F,6,FALSE))</f>
        <v/>
      </c>
      <c r="AJ202" s="7" t="str">
        <f t="shared" si="35"/>
        <v>2041 Chip Seal</v>
      </c>
      <c r="AK202" s="7" t="str">
        <f t="shared" si="36"/>
        <v/>
      </c>
      <c r="AL202" s="39">
        <f t="shared" ca="1" si="37"/>
        <v>2025</v>
      </c>
      <c r="AM202" s="7" t="str">
        <f t="shared" si="38"/>
        <v/>
      </c>
      <c r="AN202" s="7" t="str">
        <f t="shared" si="39"/>
        <v/>
      </c>
    </row>
    <row r="203" spans="1:40">
      <c r="A203" s="6">
        <v>60213</v>
      </c>
      <c r="B203" s="6" t="s">
        <v>716</v>
      </c>
      <c r="C203" s="6" t="s">
        <v>717</v>
      </c>
      <c r="D203" s="6">
        <v>0</v>
      </c>
      <c r="E203" s="6">
        <v>0.87904499999999997</v>
      </c>
      <c r="F203" s="6" t="s">
        <v>53</v>
      </c>
      <c r="G203" s="6" t="s">
        <v>718</v>
      </c>
      <c r="H203" s="35">
        <v>12693</v>
      </c>
      <c r="I203" s="6" t="s">
        <v>195</v>
      </c>
      <c r="J203" s="6">
        <v>3</v>
      </c>
      <c r="K203" s="6">
        <v>2029</v>
      </c>
      <c r="L203" s="6">
        <v>2</v>
      </c>
      <c r="M203" s="6" t="s">
        <v>45</v>
      </c>
      <c r="N203" s="6" t="s">
        <v>250</v>
      </c>
      <c r="O203" s="6" t="s">
        <v>285</v>
      </c>
      <c r="P203" s="6" t="s">
        <v>286</v>
      </c>
      <c r="Q203" s="6" t="s">
        <v>192</v>
      </c>
      <c r="R203" s="6">
        <v>929</v>
      </c>
      <c r="S203" s="6">
        <v>112</v>
      </c>
      <c r="T203" s="36" t="s">
        <v>253</v>
      </c>
      <c r="U203" s="46">
        <f>IF($L203&lt;=2,
IF($R203&lt;=RpmDesignStandard!$C$2,RpmDesignStandard!$D$2,
IF(AND($R203&gt;RpmDesignStandard!$B$3,$R203&lt;=RpmDesignStandard!$C$3),RpmDesignStandard!$D$3,RpmDesignStandard!$D$4)),
IF($R203&lt;=RpmDesignStandard!$C$5, RpmDesignStandard!$D$5,
IF(AND($R203&gt;RpmDesignStandard!$B$6,$R203&lt;=RpmDesignStandard!$C$6),RpmDesignStandard!$D$6,
IF(AND($R203&gt;RpmDesignStandard!$B$7,$R203&lt;=RpmDesignStandard!$C$7),RpmDesignStandard!$D$7,RpmDesignStandard!$D$8))))</f>
        <v>4</v>
      </c>
      <c r="V203" s="47">
        <f>U203*RpmDesignStandard!$H$1</f>
        <v>8</v>
      </c>
      <c r="W203" s="37" t="str">
        <f>VLOOKUP(A203,RPM_ProjectRecord!A:AB,8,FALSE)</f>
        <v/>
      </c>
      <c r="X203" s="38" t="str">
        <f t="shared" si="30"/>
        <v/>
      </c>
      <c r="Y203" s="38" t="str">
        <f t="shared" si="31"/>
        <v/>
      </c>
      <c r="Z203" s="38" t="str">
        <f t="shared" si="32"/>
        <v/>
      </c>
      <c r="AA203" s="38" t="str">
        <f t="shared" si="33"/>
        <v/>
      </c>
      <c r="AB203" s="38" t="str">
        <f t="shared" si="34"/>
        <v/>
      </c>
      <c r="AC203" s="38">
        <f>IF(VLOOKUP(A203,'3rdPhaseChipSeal'!A:L,12,FALSE)="","",VLOOKUP(A203,'3rdPhaseChipSeal'!A:L,12,FALSE))</f>
        <v>2043</v>
      </c>
      <c r="AD203" s="38">
        <f>IFERROR(IF(VLOOKUP(A203,RpmContracts!A:C,3,FALSE)="","",VLOOKUP(A203,RpmContracts!A:C,3,FALSE)),"")</f>
        <v>2026</v>
      </c>
      <c r="AE203" s="7" t="str">
        <f>IF(VLOOKUP(A203,'20yPlan'!A:B,2,FALSE)="","",VLOOKUP(A203,'20yPlan'!A:B,2,FALSE))</f>
        <v/>
      </c>
      <c r="AF203" s="7" t="str">
        <f>IF(VLOOKUP(A203,'20yPlan'!A:C,3,FALSE)="","",VLOOKUP(A203,'20yPlan'!A:C,3,FALSE))</f>
        <v/>
      </c>
      <c r="AG203" s="7" t="str">
        <f>IF(VLOOKUP(A203,'20yPlan'!A:D,4,FALSE)="","",VLOOKUP(A203,'20yPlan'!A:D,4,FALSE))</f>
        <v/>
      </c>
      <c r="AH203" s="7" t="str">
        <f>IF(VLOOKUP(A203,'20yPlan'!A:E,5,FALSE)="","",VLOOKUP(A203,'20yPlan'!A:E,5,FALSE))</f>
        <v/>
      </c>
      <c r="AI203" s="7" t="str">
        <f>IF(VLOOKUP(A203,'20yPlan'!A:F,6,FALSE)="","",VLOOKUP(A203,'20yPlan'!A:F,6,FALSE))</f>
        <v/>
      </c>
      <c r="AJ203" s="7" t="str">
        <f t="shared" si="35"/>
        <v>2043 Chip Seal</v>
      </c>
      <c r="AK203" s="7" t="str">
        <f t="shared" si="36"/>
        <v>2026 RPM Replacement</v>
      </c>
      <c r="AL203" s="39">
        <f t="shared" ca="1" si="37"/>
        <v>2025</v>
      </c>
      <c r="AM203" s="7">
        <f t="shared" si="38"/>
        <v>2026</v>
      </c>
      <c r="AN203" s="7" t="str">
        <f t="shared" si="39"/>
        <v>2026 RPM Replacement</v>
      </c>
    </row>
    <row r="204" spans="1:40">
      <c r="A204" s="6">
        <v>60214</v>
      </c>
      <c r="B204" s="6" t="s">
        <v>719</v>
      </c>
      <c r="C204" s="6" t="s">
        <v>720</v>
      </c>
      <c r="D204" s="6">
        <v>0</v>
      </c>
      <c r="E204" s="6">
        <v>6.7229809999999999</v>
      </c>
      <c r="F204" s="6" t="s">
        <v>53</v>
      </c>
      <c r="G204" s="6" t="s">
        <v>721</v>
      </c>
      <c r="H204" s="35">
        <v>129496</v>
      </c>
      <c r="I204" s="6" t="s">
        <v>195</v>
      </c>
      <c r="J204" s="6">
        <v>15</v>
      </c>
      <c r="K204" s="6">
        <v>2028</v>
      </c>
      <c r="L204" s="6">
        <v>2</v>
      </c>
      <c r="M204" s="6" t="s">
        <v>45</v>
      </c>
      <c r="N204" s="6" t="s">
        <v>250</v>
      </c>
      <c r="O204" s="6" t="s">
        <v>61</v>
      </c>
      <c r="P204" s="6" t="s">
        <v>338</v>
      </c>
      <c r="Q204" s="6" t="s">
        <v>339</v>
      </c>
      <c r="R204" s="35">
        <v>1890</v>
      </c>
      <c r="S204" s="6">
        <v>188</v>
      </c>
      <c r="T204" s="36" t="s">
        <v>253</v>
      </c>
      <c r="U204" s="46">
        <f>IF($L204&lt;=2,
IF($R204&lt;=RpmDesignStandard!$C$2,RpmDesignStandard!$D$2,
IF(AND($R204&gt;RpmDesignStandard!$B$3,$R204&lt;=RpmDesignStandard!$C$3),RpmDesignStandard!$D$3,RpmDesignStandard!$D$4)),
IF($R204&lt;=RpmDesignStandard!$C$5, RpmDesignStandard!$D$5,
IF(AND($R204&gt;RpmDesignStandard!$B$6,$R204&lt;=RpmDesignStandard!$C$6),RpmDesignStandard!$D$6,
IF(AND($R204&gt;RpmDesignStandard!$B$7,$R204&lt;=RpmDesignStandard!$C$7),RpmDesignStandard!$D$7,RpmDesignStandard!$D$8))))</f>
        <v>4</v>
      </c>
      <c r="V204" s="47">
        <f>U204*RpmDesignStandard!$H$1</f>
        <v>8</v>
      </c>
      <c r="W204" s="37">
        <f>VLOOKUP(A204,RPM_ProjectRecord!A:AB,8,FALSE)</f>
        <v>2023</v>
      </c>
      <c r="X204" s="38" t="str">
        <f t="shared" si="30"/>
        <v/>
      </c>
      <c r="Y204" s="38" t="str">
        <f t="shared" si="31"/>
        <v/>
      </c>
      <c r="Z204" s="38" t="str">
        <f t="shared" si="32"/>
        <v/>
      </c>
      <c r="AA204" s="38" t="str">
        <f t="shared" si="33"/>
        <v/>
      </c>
      <c r="AB204" s="38" t="str">
        <f t="shared" si="34"/>
        <v/>
      </c>
      <c r="AC204" s="38">
        <f>IF(VLOOKUP(A204,'3rdPhaseChipSeal'!A:L,12,FALSE)="","",VLOOKUP(A204,'3rdPhaseChipSeal'!A:L,12,FALSE))</f>
        <v>2035</v>
      </c>
      <c r="AD204" s="38" t="str">
        <f>IFERROR(IF(VLOOKUP(A204,RpmContracts!A:C,3,FALSE)="","",VLOOKUP(A204,RpmContracts!A:C,3,FALSE)),"")</f>
        <v/>
      </c>
      <c r="AE204" s="7" t="str">
        <f>IF(VLOOKUP(A204,'20yPlan'!A:B,2,FALSE)="","",VLOOKUP(A204,'20yPlan'!A:B,2,FALSE))</f>
        <v/>
      </c>
      <c r="AF204" s="7" t="str">
        <f>IF(VLOOKUP(A204,'20yPlan'!A:C,3,FALSE)="","",VLOOKUP(A204,'20yPlan'!A:C,3,FALSE))</f>
        <v/>
      </c>
      <c r="AG204" s="7" t="str">
        <f>IF(VLOOKUP(A204,'20yPlan'!A:D,4,FALSE)="","",VLOOKUP(A204,'20yPlan'!A:D,4,FALSE))</f>
        <v/>
      </c>
      <c r="AH204" s="7" t="str">
        <f>IF(VLOOKUP(A204,'20yPlan'!A:E,5,FALSE)="","",VLOOKUP(A204,'20yPlan'!A:E,5,FALSE))</f>
        <v/>
      </c>
      <c r="AI204" s="7" t="str">
        <f>IF(VLOOKUP(A204,'20yPlan'!A:F,6,FALSE)="","",VLOOKUP(A204,'20yPlan'!A:F,6,FALSE))</f>
        <v/>
      </c>
      <c r="AJ204" s="7" t="str">
        <f t="shared" si="35"/>
        <v>2035 Chip Seal</v>
      </c>
      <c r="AK204" s="7" t="str">
        <f t="shared" si="36"/>
        <v/>
      </c>
      <c r="AL204" s="39">
        <f t="shared" ca="1" si="37"/>
        <v>2027</v>
      </c>
      <c r="AM204" s="7" t="str">
        <f t="shared" si="38"/>
        <v/>
      </c>
      <c r="AN204" s="7" t="str">
        <f t="shared" si="39"/>
        <v/>
      </c>
    </row>
    <row r="205" spans="1:40">
      <c r="A205" s="6">
        <v>60215</v>
      </c>
      <c r="B205" s="6" t="s">
        <v>719</v>
      </c>
      <c r="C205" s="6" t="s">
        <v>722</v>
      </c>
      <c r="D205" s="6">
        <v>6.7229809999999999</v>
      </c>
      <c r="E205" s="6">
        <v>13.430543</v>
      </c>
      <c r="F205" s="6" t="s">
        <v>721</v>
      </c>
      <c r="G205" s="6" t="s">
        <v>723</v>
      </c>
      <c r="H205" s="35">
        <v>145351</v>
      </c>
      <c r="I205" s="6" t="s">
        <v>44</v>
      </c>
      <c r="J205" s="6">
        <v>0</v>
      </c>
      <c r="K205" s="6"/>
      <c r="L205" s="6">
        <v>2</v>
      </c>
      <c r="M205" s="6" t="s">
        <v>45</v>
      </c>
      <c r="N205" s="6" t="s">
        <v>250</v>
      </c>
      <c r="O205" s="6" t="s">
        <v>61</v>
      </c>
      <c r="P205" s="6" t="s">
        <v>627</v>
      </c>
      <c r="Q205" s="6" t="s">
        <v>339</v>
      </c>
      <c r="R205" s="35">
        <v>6814</v>
      </c>
      <c r="S205" s="6">
        <v>378</v>
      </c>
      <c r="T205" s="36" t="s">
        <v>50</v>
      </c>
      <c r="U205" s="46">
        <f>IF($L205&lt;=2,
IF($R205&lt;=RpmDesignStandard!$C$2,RpmDesignStandard!$D$2,
IF(AND($R205&gt;RpmDesignStandard!$B$3,$R205&lt;=RpmDesignStandard!$C$3),RpmDesignStandard!$D$3,RpmDesignStandard!$D$4)),
IF($R205&lt;=RpmDesignStandard!$C$5, RpmDesignStandard!$D$5,
IF(AND($R205&gt;RpmDesignStandard!$B$6,$R205&lt;=RpmDesignStandard!$C$6),RpmDesignStandard!$D$6,
IF(AND($R205&gt;RpmDesignStandard!$B$7,$R205&lt;=RpmDesignStandard!$C$7),RpmDesignStandard!$D$7,RpmDesignStandard!$D$8))))</f>
        <v>3</v>
      </c>
      <c r="V205" s="47">
        <f>U205*RpmDesignStandard!$H$1</f>
        <v>6</v>
      </c>
      <c r="W205" s="37">
        <f>VLOOKUP(A205,RPM_ProjectRecord!A:AB,8,FALSE)</f>
        <v>2023</v>
      </c>
      <c r="X205" s="38" t="str">
        <f t="shared" si="30"/>
        <v/>
      </c>
      <c r="Y205" s="38" t="str">
        <f t="shared" si="31"/>
        <v/>
      </c>
      <c r="Z205" s="38" t="str">
        <f t="shared" si="32"/>
        <v/>
      </c>
      <c r="AA205" s="38" t="str">
        <f t="shared" si="33"/>
        <v/>
      </c>
      <c r="AB205" s="38" t="str">
        <f t="shared" si="34"/>
        <v/>
      </c>
      <c r="AC205" s="38" t="str">
        <f>IF(VLOOKUP(A205,'3rdPhaseChipSeal'!A:L,12,FALSE)="","",VLOOKUP(A205,'3rdPhaseChipSeal'!A:L,12,FALSE))</f>
        <v/>
      </c>
      <c r="AD205" s="38" t="str">
        <f>IFERROR(IF(VLOOKUP(A205,RpmContracts!A:C,3,FALSE)="","",VLOOKUP(A205,RpmContracts!A:C,3,FALSE)),"")</f>
        <v/>
      </c>
      <c r="AE205" s="7" t="str">
        <f>IF(VLOOKUP(A205,'20yPlan'!A:B,2,FALSE)="","",VLOOKUP(A205,'20yPlan'!A:B,2,FALSE))</f>
        <v/>
      </c>
      <c r="AF205" s="7" t="str">
        <f>IF(VLOOKUP(A205,'20yPlan'!A:C,3,FALSE)="","",VLOOKUP(A205,'20yPlan'!A:C,3,FALSE))</f>
        <v/>
      </c>
      <c r="AG205" s="7" t="str">
        <f>IF(VLOOKUP(A205,'20yPlan'!A:D,4,FALSE)="","",VLOOKUP(A205,'20yPlan'!A:D,4,FALSE))</f>
        <v/>
      </c>
      <c r="AH205" s="7" t="str">
        <f>IF(VLOOKUP(A205,'20yPlan'!A:E,5,FALSE)="","",VLOOKUP(A205,'20yPlan'!A:E,5,FALSE))</f>
        <v/>
      </c>
      <c r="AI205" s="7" t="str">
        <f>IF(VLOOKUP(A205,'20yPlan'!A:F,6,FALSE)="","",VLOOKUP(A205,'20yPlan'!A:F,6,FALSE))</f>
        <v/>
      </c>
      <c r="AJ205" s="7" t="str">
        <f t="shared" si="35"/>
        <v/>
      </c>
      <c r="AK205" s="7" t="str">
        <f t="shared" si="36"/>
        <v/>
      </c>
      <c r="AL205" s="39">
        <f t="shared" ca="1" si="37"/>
        <v>2026</v>
      </c>
      <c r="AM205" s="7" t="str">
        <f t="shared" si="38"/>
        <v/>
      </c>
      <c r="AN205" s="7" t="str">
        <f t="shared" si="39"/>
        <v/>
      </c>
    </row>
    <row r="206" spans="1:40">
      <c r="A206" s="6">
        <v>60216</v>
      </c>
      <c r="B206" s="6" t="s">
        <v>719</v>
      </c>
      <c r="C206" s="6" t="s">
        <v>724</v>
      </c>
      <c r="D206" s="6">
        <v>13.430543</v>
      </c>
      <c r="E206" s="6">
        <v>19.740711999999998</v>
      </c>
      <c r="F206" s="6" t="s">
        <v>723</v>
      </c>
      <c r="G206" s="6" t="s">
        <v>725</v>
      </c>
      <c r="H206" s="35">
        <v>298335</v>
      </c>
      <c r="I206" s="6" t="s">
        <v>154</v>
      </c>
      <c r="J206" s="6">
        <v>9</v>
      </c>
      <c r="K206" s="6"/>
      <c r="L206" s="6">
        <v>4</v>
      </c>
      <c r="M206" s="6" t="s">
        <v>45</v>
      </c>
      <c r="N206" s="6" t="s">
        <v>250</v>
      </c>
      <c r="O206" s="6" t="s">
        <v>61</v>
      </c>
      <c r="P206" s="6" t="s">
        <v>627</v>
      </c>
      <c r="Q206" s="6" t="s">
        <v>636</v>
      </c>
      <c r="R206" s="35">
        <v>10369</v>
      </c>
      <c r="S206" s="6">
        <v>681</v>
      </c>
      <c r="T206" s="36" t="s">
        <v>50</v>
      </c>
      <c r="U206" s="46">
        <f>IF($L206&lt;=2,
IF($R206&lt;=RpmDesignStandard!$C$2,RpmDesignStandard!$D$2,
IF(AND($R206&gt;RpmDesignStandard!$B$3,$R206&lt;=RpmDesignStandard!$C$3),RpmDesignStandard!$D$3,RpmDesignStandard!$D$4)),
IF($R206&lt;=RpmDesignStandard!$C$5, RpmDesignStandard!$D$5,
IF(AND($R206&gt;RpmDesignStandard!$B$6,$R206&lt;=RpmDesignStandard!$C$6),RpmDesignStandard!$D$6,
IF(AND($R206&gt;RpmDesignStandard!$B$7,$R206&lt;=RpmDesignStandard!$C$7),RpmDesignStandard!$D$7,RpmDesignStandard!$D$8))))</f>
        <v>3</v>
      </c>
      <c r="V206" s="47">
        <f>U206*RpmDesignStandard!$H$1</f>
        <v>6</v>
      </c>
      <c r="W206" s="37" t="str">
        <f>VLOOKUP(A206,RPM_ProjectRecord!A:AB,8,FALSE)</f>
        <v/>
      </c>
      <c r="X206" s="38" t="str">
        <f t="shared" si="30"/>
        <v/>
      </c>
      <c r="Y206" s="38" t="str">
        <f t="shared" si="31"/>
        <v/>
      </c>
      <c r="Z206" s="38" t="str">
        <f t="shared" si="32"/>
        <v/>
      </c>
      <c r="AA206" s="38" t="str">
        <f t="shared" si="33"/>
        <v/>
      </c>
      <c r="AB206" s="38" t="str">
        <f t="shared" si="34"/>
        <v/>
      </c>
      <c r="AC206" s="38" t="str">
        <f>IF(VLOOKUP(A206,'3rdPhaseChipSeal'!A:L,12,FALSE)="","",VLOOKUP(A206,'3rdPhaseChipSeal'!A:L,12,FALSE))</f>
        <v/>
      </c>
      <c r="AD206" s="38">
        <f>IFERROR(IF(VLOOKUP(A206,RpmContracts!A:C,3,FALSE)="","",VLOOKUP(A206,RpmContracts!A:C,3,FALSE)),"")</f>
        <v>2026</v>
      </c>
      <c r="AE206" s="7" t="str">
        <f>IF(VLOOKUP(A206,'20yPlan'!A:B,2,FALSE)="","",VLOOKUP(A206,'20yPlan'!A:B,2,FALSE))</f>
        <v/>
      </c>
      <c r="AF206" s="7" t="str">
        <f>IF(VLOOKUP(A206,'20yPlan'!A:C,3,FALSE)="","",VLOOKUP(A206,'20yPlan'!A:C,3,FALSE))</f>
        <v/>
      </c>
      <c r="AG206" s="7" t="str">
        <f>IF(VLOOKUP(A206,'20yPlan'!A:D,4,FALSE)="","",VLOOKUP(A206,'20yPlan'!A:D,4,FALSE))</f>
        <v/>
      </c>
      <c r="AH206" s="7" t="str">
        <f>IF(VLOOKUP(A206,'20yPlan'!A:E,5,FALSE)="","",VLOOKUP(A206,'20yPlan'!A:E,5,FALSE))</f>
        <v/>
      </c>
      <c r="AI206" s="7" t="str">
        <f>IF(VLOOKUP(A206,'20yPlan'!A:F,6,FALSE)="","",VLOOKUP(A206,'20yPlan'!A:F,6,FALSE))</f>
        <v/>
      </c>
      <c r="AJ206" s="7" t="str">
        <f t="shared" si="35"/>
        <v/>
      </c>
      <c r="AK206" s="7" t="str">
        <f t="shared" si="36"/>
        <v>2026 RPM Replacement</v>
      </c>
      <c r="AL206" s="39">
        <f t="shared" ca="1" si="37"/>
        <v>2025</v>
      </c>
      <c r="AM206" s="7">
        <f t="shared" si="38"/>
        <v>2026</v>
      </c>
      <c r="AN206" s="7" t="str">
        <f t="shared" si="39"/>
        <v>2026 RPM Replacement</v>
      </c>
    </row>
    <row r="207" spans="1:40">
      <c r="A207" s="6">
        <v>60217</v>
      </c>
      <c r="B207" s="6" t="s">
        <v>719</v>
      </c>
      <c r="C207" s="6" t="s">
        <v>726</v>
      </c>
      <c r="D207" s="6">
        <v>19.740711999999998</v>
      </c>
      <c r="E207" s="6">
        <v>23.696995000000001</v>
      </c>
      <c r="F207" s="6" t="s">
        <v>725</v>
      </c>
      <c r="G207" s="6" t="s">
        <v>727</v>
      </c>
      <c r="H207" s="35">
        <v>265509</v>
      </c>
      <c r="I207" s="6" t="s">
        <v>141</v>
      </c>
      <c r="J207" s="6">
        <v>17</v>
      </c>
      <c r="K207" s="6"/>
      <c r="L207" s="6">
        <v>4</v>
      </c>
      <c r="M207" s="6" t="s">
        <v>111</v>
      </c>
      <c r="N207" s="6" t="s">
        <v>250</v>
      </c>
      <c r="O207" s="6" t="s">
        <v>61</v>
      </c>
      <c r="P207" s="6" t="s">
        <v>106</v>
      </c>
      <c r="Q207" s="6" t="s">
        <v>107</v>
      </c>
      <c r="R207" s="35">
        <v>17838</v>
      </c>
      <c r="S207" s="35">
        <v>1099</v>
      </c>
      <c r="T207" s="36" t="s">
        <v>50</v>
      </c>
      <c r="U207" s="46">
        <f>IF($L207&lt;=2,
IF($R207&lt;=RpmDesignStandard!$C$2,RpmDesignStandard!$D$2,
IF(AND($R207&gt;RpmDesignStandard!$B$3,$R207&lt;=RpmDesignStandard!$C$3),RpmDesignStandard!$D$3,RpmDesignStandard!$D$4)),
IF($R207&lt;=RpmDesignStandard!$C$5, RpmDesignStandard!$D$5,
IF(AND($R207&gt;RpmDesignStandard!$B$6,$R207&lt;=RpmDesignStandard!$C$6),RpmDesignStandard!$D$6,
IF(AND($R207&gt;RpmDesignStandard!$B$7,$R207&lt;=RpmDesignStandard!$C$7),RpmDesignStandard!$D$7,RpmDesignStandard!$D$8))))</f>
        <v>3</v>
      </c>
      <c r="V207" s="47">
        <f>U207*RpmDesignStandard!$H$1</f>
        <v>6</v>
      </c>
      <c r="W207" s="37" t="str">
        <f>VLOOKUP(A207,RPM_ProjectRecord!A:AB,8,FALSE)</f>
        <v/>
      </c>
      <c r="X207" s="38" t="str">
        <f t="shared" si="30"/>
        <v/>
      </c>
      <c r="Y207" s="38" t="str">
        <f t="shared" si="31"/>
        <v/>
      </c>
      <c r="Z207" s="38" t="str">
        <f t="shared" si="32"/>
        <v/>
      </c>
      <c r="AA207" s="38" t="str">
        <f t="shared" si="33"/>
        <v/>
      </c>
      <c r="AB207" s="38" t="str">
        <f t="shared" si="34"/>
        <v/>
      </c>
      <c r="AC207" s="38" t="str">
        <f>IF(VLOOKUP(A207,'3rdPhaseChipSeal'!A:L,12,FALSE)="","",VLOOKUP(A207,'3rdPhaseChipSeal'!A:L,12,FALSE))</f>
        <v/>
      </c>
      <c r="AD207" s="38" t="str">
        <f>IFERROR(IF(VLOOKUP(A207,RpmContracts!A:C,3,FALSE)="","",VLOOKUP(A207,RpmContracts!A:C,3,FALSE)),"")</f>
        <v/>
      </c>
      <c r="AE207" s="7" t="str">
        <f>IF(VLOOKUP(A207,'20yPlan'!A:B,2,FALSE)="","",VLOOKUP(A207,'20yPlan'!A:B,2,FALSE))</f>
        <v/>
      </c>
      <c r="AF207" s="7" t="str">
        <f>IF(VLOOKUP(A207,'20yPlan'!A:C,3,FALSE)="","",VLOOKUP(A207,'20yPlan'!A:C,3,FALSE))</f>
        <v/>
      </c>
      <c r="AG207" s="7" t="str">
        <f>IF(VLOOKUP(A207,'20yPlan'!A:D,4,FALSE)="","",VLOOKUP(A207,'20yPlan'!A:D,4,FALSE))</f>
        <v/>
      </c>
      <c r="AH207" s="7" t="str">
        <f>IF(VLOOKUP(A207,'20yPlan'!A:E,5,FALSE)="","",VLOOKUP(A207,'20yPlan'!A:E,5,FALSE))</f>
        <v/>
      </c>
      <c r="AI207" s="7" t="str">
        <f>IF(VLOOKUP(A207,'20yPlan'!A:F,6,FALSE)="","",VLOOKUP(A207,'20yPlan'!A:F,6,FALSE))</f>
        <v/>
      </c>
      <c r="AJ207" s="7" t="str">
        <f t="shared" si="35"/>
        <v/>
      </c>
      <c r="AK207" s="7" t="str">
        <f t="shared" si="36"/>
        <v/>
      </c>
      <c r="AL207" s="39">
        <f t="shared" ca="1" si="37"/>
        <v>2025</v>
      </c>
      <c r="AM207" s="7" t="str">
        <f t="shared" si="38"/>
        <v/>
      </c>
      <c r="AN207" s="7" t="str">
        <f t="shared" si="39"/>
        <v/>
      </c>
    </row>
    <row r="208" spans="1:40">
      <c r="A208" s="6">
        <v>60218</v>
      </c>
      <c r="B208" s="6" t="s">
        <v>719</v>
      </c>
      <c r="C208" s="6" t="s">
        <v>728</v>
      </c>
      <c r="D208" s="6">
        <v>23.697994999999999</v>
      </c>
      <c r="E208" s="6">
        <v>28.721496999999999</v>
      </c>
      <c r="F208" s="6" t="s">
        <v>729</v>
      </c>
      <c r="G208" s="6" t="s">
        <v>730</v>
      </c>
      <c r="H208" s="35">
        <v>272572</v>
      </c>
      <c r="I208" s="6" t="s">
        <v>141</v>
      </c>
      <c r="J208" s="6">
        <v>3</v>
      </c>
      <c r="K208" s="6"/>
      <c r="L208" s="6">
        <v>6</v>
      </c>
      <c r="M208" s="6" t="s">
        <v>111</v>
      </c>
      <c r="N208" s="6" t="s">
        <v>46</v>
      </c>
      <c r="O208" s="6" t="s">
        <v>61</v>
      </c>
      <c r="P208" s="6" t="s">
        <v>112</v>
      </c>
      <c r="Q208" s="6" t="s">
        <v>633</v>
      </c>
      <c r="R208" s="35">
        <v>54934</v>
      </c>
      <c r="S208" s="35">
        <v>1521</v>
      </c>
      <c r="T208" s="36" t="s">
        <v>50</v>
      </c>
      <c r="U208" s="46">
        <f>IF($L208&lt;=2,
IF($R208&lt;=RpmDesignStandard!$C$2,RpmDesignStandard!$D$2,
IF(AND($R208&gt;RpmDesignStandard!$B$3,$R208&lt;=RpmDesignStandard!$C$3),RpmDesignStandard!$D$3,RpmDesignStandard!$D$4)),
IF($R208&lt;=RpmDesignStandard!$C$5, RpmDesignStandard!$D$5,
IF(AND($R208&gt;RpmDesignStandard!$B$6,$R208&lt;=RpmDesignStandard!$C$6),RpmDesignStandard!$D$6,
IF(AND($R208&gt;RpmDesignStandard!$B$7,$R208&lt;=RpmDesignStandard!$C$7),RpmDesignStandard!$D$7,RpmDesignStandard!$D$8))))</f>
        <v>2</v>
      </c>
      <c r="V208" s="47">
        <f>U208*RpmDesignStandard!$H$1</f>
        <v>4</v>
      </c>
      <c r="W208" s="37" t="str">
        <f>VLOOKUP(A208,RPM_ProjectRecord!A:AB,8,FALSE)</f>
        <v/>
      </c>
      <c r="X208" s="38" t="str">
        <f t="shared" si="30"/>
        <v/>
      </c>
      <c r="Y208" s="38" t="str">
        <f t="shared" si="31"/>
        <v/>
      </c>
      <c r="Z208" s="38" t="str">
        <f t="shared" si="32"/>
        <v/>
      </c>
      <c r="AA208" s="38" t="str">
        <f t="shared" si="33"/>
        <v/>
      </c>
      <c r="AB208" s="38" t="str">
        <f t="shared" si="34"/>
        <v/>
      </c>
      <c r="AC208" s="38" t="str">
        <f>IF(VLOOKUP(A208,'3rdPhaseChipSeal'!A:L,12,FALSE)="","",VLOOKUP(A208,'3rdPhaseChipSeal'!A:L,12,FALSE))</f>
        <v/>
      </c>
      <c r="AD208" s="38" t="str">
        <f>IFERROR(IF(VLOOKUP(A208,RpmContracts!A:C,3,FALSE)="","",VLOOKUP(A208,RpmContracts!A:C,3,FALSE)),"")</f>
        <v/>
      </c>
      <c r="AE208" s="7" t="str">
        <f>IF(VLOOKUP(A208,'20yPlan'!A:B,2,FALSE)="","",VLOOKUP(A208,'20yPlan'!A:B,2,FALSE))</f>
        <v/>
      </c>
      <c r="AF208" s="7" t="str">
        <f>IF(VLOOKUP(A208,'20yPlan'!A:C,3,FALSE)="","",VLOOKUP(A208,'20yPlan'!A:C,3,FALSE))</f>
        <v/>
      </c>
      <c r="AG208" s="7" t="str">
        <f>IF(VLOOKUP(A208,'20yPlan'!A:D,4,FALSE)="","",VLOOKUP(A208,'20yPlan'!A:D,4,FALSE))</f>
        <v/>
      </c>
      <c r="AH208" s="7" t="str">
        <f>IF(VLOOKUP(A208,'20yPlan'!A:E,5,FALSE)="","",VLOOKUP(A208,'20yPlan'!A:E,5,FALSE))</f>
        <v/>
      </c>
      <c r="AI208" s="7" t="str">
        <f>IF(VLOOKUP(A208,'20yPlan'!A:F,6,FALSE)="","",VLOOKUP(A208,'20yPlan'!A:F,6,FALSE))</f>
        <v/>
      </c>
      <c r="AJ208" s="7" t="str">
        <f t="shared" si="35"/>
        <v/>
      </c>
      <c r="AK208" s="7" t="str">
        <f t="shared" si="36"/>
        <v/>
      </c>
      <c r="AL208" s="39">
        <f t="shared" ca="1" si="37"/>
        <v>2025</v>
      </c>
      <c r="AM208" s="7" t="str">
        <f t="shared" si="38"/>
        <v/>
      </c>
      <c r="AN208" s="7" t="str">
        <f t="shared" si="39"/>
        <v/>
      </c>
    </row>
    <row r="209" spans="1:40">
      <c r="A209" s="6">
        <v>60219</v>
      </c>
      <c r="B209" s="6" t="s">
        <v>719</v>
      </c>
      <c r="C209" s="6" t="s">
        <v>731</v>
      </c>
      <c r="D209" s="6">
        <v>28.721496999999999</v>
      </c>
      <c r="E209" s="6">
        <v>32.194712000000003</v>
      </c>
      <c r="F209" s="6" t="s">
        <v>730</v>
      </c>
      <c r="G209" s="6" t="s">
        <v>732</v>
      </c>
      <c r="H209" s="35">
        <v>199134</v>
      </c>
      <c r="I209" s="6" t="s">
        <v>141</v>
      </c>
      <c r="J209" s="6">
        <v>3</v>
      </c>
      <c r="K209" s="6"/>
      <c r="L209" s="6">
        <v>6</v>
      </c>
      <c r="M209" s="6" t="s">
        <v>111</v>
      </c>
      <c r="N209" s="6" t="s">
        <v>46</v>
      </c>
      <c r="O209" s="6" t="s">
        <v>61</v>
      </c>
      <c r="P209" s="6" t="s">
        <v>112</v>
      </c>
      <c r="Q209" s="6" t="s">
        <v>382</v>
      </c>
      <c r="R209" s="35">
        <v>34920</v>
      </c>
      <c r="S209" s="35">
        <v>1413</v>
      </c>
      <c r="T209" s="36" t="s">
        <v>50</v>
      </c>
      <c r="U209" s="46">
        <f>IF($L209&lt;=2,
IF($R209&lt;=RpmDesignStandard!$C$2,RpmDesignStandard!$D$2,
IF(AND($R209&gt;RpmDesignStandard!$B$3,$R209&lt;=RpmDesignStandard!$C$3),RpmDesignStandard!$D$3,RpmDesignStandard!$D$4)),
IF($R209&lt;=RpmDesignStandard!$C$5, RpmDesignStandard!$D$5,
IF(AND($R209&gt;RpmDesignStandard!$B$6,$R209&lt;=RpmDesignStandard!$C$6),RpmDesignStandard!$D$6,
IF(AND($R209&gt;RpmDesignStandard!$B$7,$R209&lt;=RpmDesignStandard!$C$7),RpmDesignStandard!$D$7,RpmDesignStandard!$D$8))))</f>
        <v>2</v>
      </c>
      <c r="V209" s="47">
        <f>U209*RpmDesignStandard!$H$1</f>
        <v>4</v>
      </c>
      <c r="W209" s="37" t="str">
        <f>VLOOKUP(A209,RPM_ProjectRecord!A:AB,8,FALSE)</f>
        <v/>
      </c>
      <c r="X209" s="38" t="str">
        <f t="shared" si="30"/>
        <v/>
      </c>
      <c r="Y209" s="38" t="str">
        <f t="shared" si="31"/>
        <v/>
      </c>
      <c r="Z209" s="38" t="str">
        <f t="shared" si="32"/>
        <v/>
      </c>
      <c r="AA209" s="38" t="str">
        <f t="shared" si="33"/>
        <v/>
      </c>
      <c r="AB209" s="38" t="str">
        <f t="shared" si="34"/>
        <v/>
      </c>
      <c r="AC209" s="38" t="str">
        <f>IF(VLOOKUP(A209,'3rdPhaseChipSeal'!A:L,12,FALSE)="","",VLOOKUP(A209,'3rdPhaseChipSeal'!A:L,12,FALSE))</f>
        <v/>
      </c>
      <c r="AD209" s="38" t="str">
        <f>IFERROR(IF(VLOOKUP(A209,RpmContracts!A:C,3,FALSE)="","",VLOOKUP(A209,RpmContracts!A:C,3,FALSE)),"")</f>
        <v/>
      </c>
      <c r="AE209" s="7" t="str">
        <f>IF(VLOOKUP(A209,'20yPlan'!A:B,2,FALSE)="","",VLOOKUP(A209,'20yPlan'!A:B,2,FALSE))</f>
        <v/>
      </c>
      <c r="AF209" s="7" t="str">
        <f>IF(VLOOKUP(A209,'20yPlan'!A:C,3,FALSE)="","",VLOOKUP(A209,'20yPlan'!A:C,3,FALSE))</f>
        <v/>
      </c>
      <c r="AG209" s="7" t="str">
        <f>IF(VLOOKUP(A209,'20yPlan'!A:D,4,FALSE)="","",VLOOKUP(A209,'20yPlan'!A:D,4,FALSE))</f>
        <v/>
      </c>
      <c r="AH209" s="7" t="str">
        <f>IF(VLOOKUP(A209,'20yPlan'!A:E,5,FALSE)="","",VLOOKUP(A209,'20yPlan'!A:E,5,FALSE))</f>
        <v/>
      </c>
      <c r="AI209" s="7" t="str">
        <f>IF(VLOOKUP(A209,'20yPlan'!A:F,6,FALSE)="","",VLOOKUP(A209,'20yPlan'!A:F,6,FALSE))</f>
        <v/>
      </c>
      <c r="AJ209" s="7" t="str">
        <f t="shared" si="35"/>
        <v/>
      </c>
      <c r="AK209" s="7" t="str">
        <f t="shared" si="36"/>
        <v/>
      </c>
      <c r="AL209" s="39">
        <f t="shared" ca="1" si="37"/>
        <v>2025</v>
      </c>
      <c r="AM209" s="7" t="str">
        <f t="shared" si="38"/>
        <v/>
      </c>
      <c r="AN209" s="7" t="str">
        <f t="shared" si="39"/>
        <v/>
      </c>
    </row>
    <row r="210" spans="1:40">
      <c r="A210" s="6">
        <v>60220</v>
      </c>
      <c r="B210" s="6" t="s">
        <v>719</v>
      </c>
      <c r="C210" s="6" t="s">
        <v>733</v>
      </c>
      <c r="D210" s="6">
        <v>32.194712000000003</v>
      </c>
      <c r="E210" s="6">
        <v>38.157094999999998</v>
      </c>
      <c r="F210" s="6" t="s">
        <v>732</v>
      </c>
      <c r="G210" s="6" t="s">
        <v>734</v>
      </c>
      <c r="H210" s="35">
        <v>277315</v>
      </c>
      <c r="I210" s="6" t="s">
        <v>154</v>
      </c>
      <c r="J210" s="6">
        <v>13</v>
      </c>
      <c r="K210" s="6"/>
      <c r="L210" s="6">
        <v>4</v>
      </c>
      <c r="M210" s="6" t="s">
        <v>45</v>
      </c>
      <c r="N210" s="6" t="s">
        <v>46</v>
      </c>
      <c r="O210" s="6" t="s">
        <v>61</v>
      </c>
      <c r="P210" s="6" t="s">
        <v>381</v>
      </c>
      <c r="Q210" s="6" t="s">
        <v>382</v>
      </c>
      <c r="R210" s="35">
        <v>14757</v>
      </c>
      <c r="S210" s="6">
        <v>778</v>
      </c>
      <c r="T210" s="36" t="s">
        <v>50</v>
      </c>
      <c r="U210" s="46">
        <f>IF($L210&lt;=2,
IF($R210&lt;=RpmDesignStandard!$C$2,RpmDesignStandard!$D$2,
IF(AND($R210&gt;RpmDesignStandard!$B$3,$R210&lt;=RpmDesignStandard!$C$3),RpmDesignStandard!$D$3,RpmDesignStandard!$D$4)),
IF($R210&lt;=RpmDesignStandard!$C$5, RpmDesignStandard!$D$5,
IF(AND($R210&gt;RpmDesignStandard!$B$6,$R210&lt;=RpmDesignStandard!$C$6),RpmDesignStandard!$D$6,
IF(AND($R210&gt;RpmDesignStandard!$B$7,$R210&lt;=RpmDesignStandard!$C$7),RpmDesignStandard!$D$7,RpmDesignStandard!$D$8))))</f>
        <v>3</v>
      </c>
      <c r="V210" s="47">
        <f>U210*RpmDesignStandard!$H$1</f>
        <v>6</v>
      </c>
      <c r="W210" s="37" t="str">
        <f>VLOOKUP(A210,RPM_ProjectRecord!A:AB,8,FALSE)</f>
        <v/>
      </c>
      <c r="X210" s="38" t="str">
        <f t="shared" si="30"/>
        <v/>
      </c>
      <c r="Y210" s="38" t="str">
        <f t="shared" si="31"/>
        <v/>
      </c>
      <c r="Z210" s="38" t="str">
        <f t="shared" si="32"/>
        <v/>
      </c>
      <c r="AA210" s="38" t="str">
        <f t="shared" si="33"/>
        <v/>
      </c>
      <c r="AB210" s="38" t="str">
        <f t="shared" si="34"/>
        <v/>
      </c>
      <c r="AC210" s="38" t="str">
        <f>IF(VLOOKUP(A210,'3rdPhaseChipSeal'!A:L,12,FALSE)="","",VLOOKUP(A210,'3rdPhaseChipSeal'!A:L,12,FALSE))</f>
        <v/>
      </c>
      <c r="AD210" s="38">
        <f>IFERROR(IF(VLOOKUP(A210,RpmContracts!A:C,3,FALSE)="","",VLOOKUP(A210,RpmContracts!A:C,3,FALSE)),"")</f>
        <v>2027</v>
      </c>
      <c r="AE210" s="7" t="str">
        <f>IF(VLOOKUP(A210,'20yPlan'!A:B,2,FALSE)="","",VLOOKUP(A210,'20yPlan'!A:B,2,FALSE))</f>
        <v/>
      </c>
      <c r="AF210" s="7" t="str">
        <f>IF(VLOOKUP(A210,'20yPlan'!A:C,3,FALSE)="","",VLOOKUP(A210,'20yPlan'!A:C,3,FALSE))</f>
        <v/>
      </c>
      <c r="AG210" s="7" t="str">
        <f>IF(VLOOKUP(A210,'20yPlan'!A:D,4,FALSE)="","",VLOOKUP(A210,'20yPlan'!A:D,4,FALSE))</f>
        <v/>
      </c>
      <c r="AH210" s="7" t="str">
        <f>IF(VLOOKUP(A210,'20yPlan'!A:E,5,FALSE)="","",VLOOKUP(A210,'20yPlan'!A:E,5,FALSE))</f>
        <v/>
      </c>
      <c r="AI210" s="7" t="str">
        <f>IF(VLOOKUP(A210,'20yPlan'!A:F,6,FALSE)="","",VLOOKUP(A210,'20yPlan'!A:F,6,FALSE))</f>
        <v/>
      </c>
      <c r="AJ210" s="7" t="str">
        <f t="shared" si="35"/>
        <v/>
      </c>
      <c r="AK210" s="7" t="str">
        <f t="shared" si="36"/>
        <v>2027 RPM Replacement</v>
      </c>
      <c r="AL210" s="39">
        <f t="shared" ca="1" si="37"/>
        <v>2025</v>
      </c>
      <c r="AM210" s="7">
        <f t="shared" si="38"/>
        <v>2027</v>
      </c>
      <c r="AN210" s="7" t="str">
        <f t="shared" si="39"/>
        <v>2027 RPM Replacement</v>
      </c>
    </row>
    <row r="211" spans="1:40">
      <c r="A211" s="6">
        <v>60221</v>
      </c>
      <c r="B211" s="6" t="s">
        <v>719</v>
      </c>
      <c r="C211" s="6" t="s">
        <v>735</v>
      </c>
      <c r="D211" s="6">
        <v>38.157094999999998</v>
      </c>
      <c r="E211" s="6">
        <v>44.817909999999998</v>
      </c>
      <c r="F211" s="6" t="s">
        <v>734</v>
      </c>
      <c r="G211" s="6" t="s">
        <v>736</v>
      </c>
      <c r="H211" s="35">
        <v>312639</v>
      </c>
      <c r="I211" s="6" t="s">
        <v>154</v>
      </c>
      <c r="J211" s="6">
        <v>2</v>
      </c>
      <c r="K211" s="6"/>
      <c r="L211" s="6">
        <v>4</v>
      </c>
      <c r="M211" s="6" t="s">
        <v>45</v>
      </c>
      <c r="N211" s="6" t="s">
        <v>46</v>
      </c>
      <c r="O211" s="6" t="s">
        <v>302</v>
      </c>
      <c r="P211" s="6" t="s">
        <v>303</v>
      </c>
      <c r="Q211" s="6" t="s">
        <v>81</v>
      </c>
      <c r="R211" s="35">
        <v>11589</v>
      </c>
      <c r="S211" s="35">
        <v>1007</v>
      </c>
      <c r="T211" s="36" t="s">
        <v>50</v>
      </c>
      <c r="U211" s="46">
        <f>IF($L211&lt;=2,
IF($R211&lt;=RpmDesignStandard!$C$2,RpmDesignStandard!$D$2,
IF(AND($R211&gt;RpmDesignStandard!$B$3,$R211&lt;=RpmDesignStandard!$C$3),RpmDesignStandard!$D$3,RpmDesignStandard!$D$4)),
IF($R211&lt;=RpmDesignStandard!$C$5, RpmDesignStandard!$D$5,
IF(AND($R211&gt;RpmDesignStandard!$B$6,$R211&lt;=RpmDesignStandard!$C$6),RpmDesignStandard!$D$6,
IF(AND($R211&gt;RpmDesignStandard!$B$7,$R211&lt;=RpmDesignStandard!$C$7),RpmDesignStandard!$D$7,RpmDesignStandard!$D$8))))</f>
        <v>3</v>
      </c>
      <c r="V211" s="47">
        <f>U211*RpmDesignStandard!$H$1</f>
        <v>6</v>
      </c>
      <c r="W211" s="37">
        <f>VLOOKUP(A211,RPM_ProjectRecord!A:AB,8,FALSE)</f>
        <v>2021</v>
      </c>
      <c r="X211" s="38" t="str">
        <f t="shared" si="30"/>
        <v/>
      </c>
      <c r="Y211" s="38" t="str">
        <f t="shared" si="31"/>
        <v/>
      </c>
      <c r="Z211" s="38" t="str">
        <f t="shared" si="32"/>
        <v/>
      </c>
      <c r="AA211" s="38" t="str">
        <f t="shared" si="33"/>
        <v/>
      </c>
      <c r="AB211" s="38" t="str">
        <f t="shared" si="34"/>
        <v/>
      </c>
      <c r="AC211" s="38" t="str">
        <f>IF(VLOOKUP(A211,'3rdPhaseChipSeal'!A:L,12,FALSE)="","",VLOOKUP(A211,'3rdPhaseChipSeal'!A:L,12,FALSE))</f>
        <v/>
      </c>
      <c r="AD211" s="38" t="str">
        <f>IFERROR(IF(VLOOKUP(A211,RpmContracts!A:C,3,FALSE)="","",VLOOKUP(A211,RpmContracts!A:C,3,FALSE)),"")</f>
        <v/>
      </c>
      <c r="AE211" s="7" t="str">
        <f>IF(VLOOKUP(A211,'20yPlan'!A:B,2,FALSE)="","",VLOOKUP(A211,'20yPlan'!A:B,2,FALSE))</f>
        <v/>
      </c>
      <c r="AF211" s="7" t="str">
        <f>IF(VLOOKUP(A211,'20yPlan'!A:C,3,FALSE)="","",VLOOKUP(A211,'20yPlan'!A:C,3,FALSE))</f>
        <v/>
      </c>
      <c r="AG211" s="7" t="str">
        <f>IF(VLOOKUP(A211,'20yPlan'!A:D,4,FALSE)="","",VLOOKUP(A211,'20yPlan'!A:D,4,FALSE))</f>
        <v/>
      </c>
      <c r="AH211" s="7" t="str">
        <f>IF(VLOOKUP(A211,'20yPlan'!A:E,5,FALSE)="","",VLOOKUP(A211,'20yPlan'!A:E,5,FALSE))</f>
        <v/>
      </c>
      <c r="AI211" s="7" t="str">
        <f>IF(VLOOKUP(A211,'20yPlan'!A:F,6,FALSE)="","",VLOOKUP(A211,'20yPlan'!A:F,6,FALSE))</f>
        <v/>
      </c>
      <c r="AJ211" s="7" t="str">
        <f t="shared" si="35"/>
        <v/>
      </c>
      <c r="AK211" s="7" t="str">
        <f t="shared" si="36"/>
        <v/>
      </c>
      <c r="AL211" s="39">
        <f t="shared" ca="1" si="37"/>
        <v>2024</v>
      </c>
      <c r="AM211" s="7" t="str">
        <f t="shared" si="38"/>
        <v/>
      </c>
      <c r="AN211" s="7" t="str">
        <f t="shared" si="39"/>
        <v/>
      </c>
    </row>
    <row r="212" spans="1:40">
      <c r="A212" s="6">
        <v>60222</v>
      </c>
      <c r="B212" s="6" t="s">
        <v>719</v>
      </c>
      <c r="C212" s="6" t="s">
        <v>737</v>
      </c>
      <c r="D212" s="6">
        <v>44.817909999999998</v>
      </c>
      <c r="E212" s="6">
        <v>52.572837</v>
      </c>
      <c r="F212" s="6" t="s">
        <v>736</v>
      </c>
      <c r="G212" s="6" t="s">
        <v>738</v>
      </c>
      <c r="H212" s="35">
        <v>137732</v>
      </c>
      <c r="I212" s="6" t="s">
        <v>44</v>
      </c>
      <c r="J212" s="6">
        <v>2</v>
      </c>
      <c r="K212" s="6"/>
      <c r="L212" s="6">
        <v>2</v>
      </c>
      <c r="M212" s="6" t="s">
        <v>45</v>
      </c>
      <c r="N212" s="6" t="s">
        <v>46</v>
      </c>
      <c r="O212" s="6" t="s">
        <v>302</v>
      </c>
      <c r="P212" s="6" t="s">
        <v>303</v>
      </c>
      <c r="Q212" s="6" t="s">
        <v>81</v>
      </c>
      <c r="R212" s="35">
        <v>9281</v>
      </c>
      <c r="S212" s="35">
        <v>1051</v>
      </c>
      <c r="T212" s="36" t="s">
        <v>50</v>
      </c>
      <c r="U212" s="46">
        <f>IF($L212&lt;=2,
IF($R212&lt;=RpmDesignStandard!$C$2,RpmDesignStandard!$D$2,
IF(AND($R212&gt;RpmDesignStandard!$B$3,$R212&lt;=RpmDesignStandard!$C$3),RpmDesignStandard!$D$3,RpmDesignStandard!$D$4)),
IF($R212&lt;=RpmDesignStandard!$C$5, RpmDesignStandard!$D$5,
IF(AND($R212&gt;RpmDesignStandard!$B$6,$R212&lt;=RpmDesignStandard!$C$6),RpmDesignStandard!$D$6,
IF(AND($R212&gt;RpmDesignStandard!$B$7,$R212&lt;=RpmDesignStandard!$C$7),RpmDesignStandard!$D$7,RpmDesignStandard!$D$8))))</f>
        <v>3</v>
      </c>
      <c r="V212" s="47">
        <f>U212*RpmDesignStandard!$H$1</f>
        <v>6</v>
      </c>
      <c r="W212" s="37">
        <f>VLOOKUP(A212,RPM_ProjectRecord!A:AB,8,FALSE)</f>
        <v>2021</v>
      </c>
      <c r="X212" s="38" t="str">
        <f t="shared" si="30"/>
        <v/>
      </c>
      <c r="Y212" s="38" t="str">
        <f t="shared" si="31"/>
        <v/>
      </c>
      <c r="Z212" s="38" t="str">
        <f t="shared" si="32"/>
        <v/>
      </c>
      <c r="AA212" s="38" t="str">
        <f t="shared" si="33"/>
        <v/>
      </c>
      <c r="AB212" s="38" t="str">
        <f t="shared" si="34"/>
        <v/>
      </c>
      <c r="AC212" s="38" t="str">
        <f>IF(VLOOKUP(A212,'3rdPhaseChipSeal'!A:L,12,FALSE)="","",VLOOKUP(A212,'3rdPhaseChipSeal'!A:L,12,FALSE))</f>
        <v/>
      </c>
      <c r="AD212" s="38" t="str">
        <f>IFERROR(IF(VLOOKUP(A212,RpmContracts!A:C,3,FALSE)="","",VLOOKUP(A212,RpmContracts!A:C,3,FALSE)),"")</f>
        <v/>
      </c>
      <c r="AE212" s="7" t="str">
        <f>IF(VLOOKUP(A212,'20yPlan'!A:B,2,FALSE)="","",VLOOKUP(A212,'20yPlan'!A:B,2,FALSE))</f>
        <v/>
      </c>
      <c r="AF212" s="7" t="str">
        <f>IF(VLOOKUP(A212,'20yPlan'!A:C,3,FALSE)="","",VLOOKUP(A212,'20yPlan'!A:C,3,FALSE))</f>
        <v/>
      </c>
      <c r="AG212" s="7" t="str">
        <f>IF(VLOOKUP(A212,'20yPlan'!A:D,4,FALSE)="","",VLOOKUP(A212,'20yPlan'!A:D,4,FALSE))</f>
        <v/>
      </c>
      <c r="AH212" s="7" t="str">
        <f>IF(VLOOKUP(A212,'20yPlan'!A:E,5,FALSE)="","",VLOOKUP(A212,'20yPlan'!A:E,5,FALSE))</f>
        <v/>
      </c>
      <c r="AI212" s="7" t="str">
        <f>IF(VLOOKUP(A212,'20yPlan'!A:F,6,FALSE)="","",VLOOKUP(A212,'20yPlan'!A:F,6,FALSE))</f>
        <v/>
      </c>
      <c r="AJ212" s="7" t="str">
        <f t="shared" si="35"/>
        <v/>
      </c>
      <c r="AK212" s="7" t="str">
        <f t="shared" si="36"/>
        <v/>
      </c>
      <c r="AL212" s="39">
        <f t="shared" ca="1" si="37"/>
        <v>2024</v>
      </c>
      <c r="AM212" s="7" t="str">
        <f t="shared" si="38"/>
        <v/>
      </c>
      <c r="AN212" s="7" t="str">
        <f t="shared" si="39"/>
        <v/>
      </c>
    </row>
    <row r="213" spans="1:40">
      <c r="A213" s="6">
        <v>60223</v>
      </c>
      <c r="B213" s="6" t="s">
        <v>719</v>
      </c>
      <c r="C213" s="6" t="s">
        <v>739</v>
      </c>
      <c r="D213" s="6">
        <v>52.572837</v>
      </c>
      <c r="E213" s="6">
        <v>53.903274000000003</v>
      </c>
      <c r="F213" s="6" t="s">
        <v>738</v>
      </c>
      <c r="G213" s="6" t="s">
        <v>740</v>
      </c>
      <c r="H213" s="35">
        <v>24259</v>
      </c>
      <c r="I213" s="6" t="s">
        <v>44</v>
      </c>
      <c r="J213" s="6">
        <v>17</v>
      </c>
      <c r="K213" s="6">
        <v>2026</v>
      </c>
      <c r="L213" s="6">
        <v>2</v>
      </c>
      <c r="M213" s="6" t="s">
        <v>45</v>
      </c>
      <c r="N213" s="6" t="s">
        <v>46</v>
      </c>
      <c r="O213" s="6" t="s">
        <v>79</v>
      </c>
      <c r="P213" s="6" t="s">
        <v>210</v>
      </c>
      <c r="Q213" s="6" t="s">
        <v>81</v>
      </c>
      <c r="R213" s="35">
        <v>6233</v>
      </c>
      <c r="S213" s="6">
        <v>665</v>
      </c>
      <c r="T213" s="36" t="s">
        <v>50</v>
      </c>
      <c r="U213" s="46">
        <f>IF($L213&lt;=2,
IF($R213&lt;=RpmDesignStandard!$C$2,RpmDesignStandard!$D$2,
IF(AND($R213&gt;RpmDesignStandard!$B$3,$R213&lt;=RpmDesignStandard!$C$3),RpmDesignStandard!$D$3,RpmDesignStandard!$D$4)),
IF($R213&lt;=RpmDesignStandard!$C$5, RpmDesignStandard!$D$5,
IF(AND($R213&gt;RpmDesignStandard!$B$6,$R213&lt;=RpmDesignStandard!$C$6),RpmDesignStandard!$D$6,
IF(AND($R213&gt;RpmDesignStandard!$B$7,$R213&lt;=RpmDesignStandard!$C$7),RpmDesignStandard!$D$7,RpmDesignStandard!$D$8))))</f>
        <v>3</v>
      </c>
      <c r="V213" s="47">
        <f>U213*RpmDesignStandard!$H$1</f>
        <v>6</v>
      </c>
      <c r="W213" s="37">
        <f>VLOOKUP(A213,RPM_ProjectRecord!A:AB,8,FALSE)</f>
        <v>2021</v>
      </c>
      <c r="X213" s="38" t="str">
        <f t="shared" si="30"/>
        <v/>
      </c>
      <c r="Y213" s="38" t="str">
        <f t="shared" si="31"/>
        <v/>
      </c>
      <c r="Z213" s="38" t="str">
        <f t="shared" si="32"/>
        <v/>
      </c>
      <c r="AA213" s="38" t="str">
        <f t="shared" si="33"/>
        <v/>
      </c>
      <c r="AB213" s="38" t="str">
        <f t="shared" si="34"/>
        <v/>
      </c>
      <c r="AC213" s="38" t="str">
        <f>IF(VLOOKUP(A213,'3rdPhaseChipSeal'!A:L,12,FALSE)="","",VLOOKUP(A213,'3rdPhaseChipSeal'!A:L,12,FALSE))</f>
        <v/>
      </c>
      <c r="AD213" s="38" t="str">
        <f>IFERROR(IF(VLOOKUP(A213,RpmContracts!A:C,3,FALSE)="","",VLOOKUP(A213,RpmContracts!A:C,3,FALSE)),"")</f>
        <v/>
      </c>
      <c r="AE213" s="7" t="str">
        <f>IF(VLOOKUP(A213,'20yPlan'!A:B,2,FALSE)="","",VLOOKUP(A213,'20yPlan'!A:B,2,FALSE))</f>
        <v/>
      </c>
      <c r="AF213" s="7" t="str">
        <f>IF(VLOOKUP(A213,'20yPlan'!A:C,3,FALSE)="","",VLOOKUP(A213,'20yPlan'!A:C,3,FALSE))</f>
        <v/>
      </c>
      <c r="AG213" s="7" t="str">
        <f>IF(VLOOKUP(A213,'20yPlan'!A:D,4,FALSE)="","",VLOOKUP(A213,'20yPlan'!A:D,4,FALSE))</f>
        <v/>
      </c>
      <c r="AH213" s="7" t="str">
        <f>IF(VLOOKUP(A213,'20yPlan'!A:E,5,FALSE)="","",VLOOKUP(A213,'20yPlan'!A:E,5,FALSE))</f>
        <v/>
      </c>
      <c r="AI213" s="7" t="str">
        <f>IF(VLOOKUP(A213,'20yPlan'!A:F,6,FALSE)="","",VLOOKUP(A213,'20yPlan'!A:F,6,FALSE))</f>
        <v/>
      </c>
      <c r="AJ213" s="7" t="str">
        <f t="shared" si="35"/>
        <v/>
      </c>
      <c r="AK213" s="7" t="str">
        <f t="shared" si="36"/>
        <v/>
      </c>
      <c r="AL213" s="39">
        <f t="shared" ca="1" si="37"/>
        <v>2024</v>
      </c>
      <c r="AM213" s="7" t="str">
        <f t="shared" si="38"/>
        <v/>
      </c>
      <c r="AN213" s="7" t="str">
        <f t="shared" si="39"/>
        <v/>
      </c>
    </row>
    <row r="214" spans="1:40">
      <c r="A214" s="6">
        <v>60224</v>
      </c>
      <c r="B214" s="6" t="s">
        <v>719</v>
      </c>
      <c r="C214" s="6" t="s">
        <v>741</v>
      </c>
      <c r="D214" s="6">
        <v>53.903274000000003</v>
      </c>
      <c r="E214" s="6">
        <v>67.797332999999995</v>
      </c>
      <c r="F214" s="6" t="s">
        <v>740</v>
      </c>
      <c r="G214" s="6" t="s">
        <v>742</v>
      </c>
      <c r="H214" s="35">
        <v>267132</v>
      </c>
      <c r="I214" s="6" t="s">
        <v>195</v>
      </c>
      <c r="J214" s="6">
        <v>5</v>
      </c>
      <c r="K214" s="6">
        <v>2028</v>
      </c>
      <c r="L214" s="6">
        <v>2</v>
      </c>
      <c r="M214" s="6" t="s">
        <v>45</v>
      </c>
      <c r="N214" s="6" t="s">
        <v>250</v>
      </c>
      <c r="O214" s="6" t="s">
        <v>79</v>
      </c>
      <c r="P214" s="6" t="s">
        <v>743</v>
      </c>
      <c r="Q214" s="6" t="s">
        <v>81</v>
      </c>
      <c r="R214" s="35">
        <v>2989</v>
      </c>
      <c r="S214" s="6">
        <v>476</v>
      </c>
      <c r="T214" s="36" t="s">
        <v>50</v>
      </c>
      <c r="U214" s="46">
        <f>IF($L214&lt;=2,
IF($R214&lt;=RpmDesignStandard!$C$2,RpmDesignStandard!$D$2,
IF(AND($R214&gt;RpmDesignStandard!$B$3,$R214&lt;=RpmDesignStandard!$C$3),RpmDesignStandard!$D$3,RpmDesignStandard!$D$4)),
IF($R214&lt;=RpmDesignStandard!$C$5, RpmDesignStandard!$D$5,
IF(AND($R214&gt;RpmDesignStandard!$B$6,$R214&lt;=RpmDesignStandard!$C$6),RpmDesignStandard!$D$6,
IF(AND($R214&gt;RpmDesignStandard!$B$7,$R214&lt;=RpmDesignStandard!$C$7),RpmDesignStandard!$D$7,RpmDesignStandard!$D$8))))</f>
        <v>4</v>
      </c>
      <c r="V214" s="47">
        <f>U214*RpmDesignStandard!$H$1</f>
        <v>8</v>
      </c>
      <c r="W214" s="37" t="str">
        <f>VLOOKUP(A214,RPM_ProjectRecord!A:AB,8,FALSE)</f>
        <v/>
      </c>
      <c r="X214" s="38" t="str">
        <f t="shared" si="30"/>
        <v/>
      </c>
      <c r="Y214" s="38" t="str">
        <f t="shared" si="31"/>
        <v/>
      </c>
      <c r="Z214" s="38" t="str">
        <f t="shared" si="32"/>
        <v/>
      </c>
      <c r="AA214" s="38" t="str">
        <f t="shared" si="33"/>
        <v/>
      </c>
      <c r="AB214" s="38" t="str">
        <f t="shared" si="34"/>
        <v/>
      </c>
      <c r="AC214" s="38">
        <f>IF(VLOOKUP(A214,'3rdPhaseChipSeal'!A:L,12,FALSE)="","",VLOOKUP(A214,'3rdPhaseChipSeal'!A:L,12,FALSE))</f>
        <v>2042</v>
      </c>
      <c r="AD214" s="38">
        <f>IFERROR(IF(VLOOKUP(A214,RpmContracts!A:C,3,FALSE)="","",VLOOKUP(A214,RpmContracts!A:C,3,FALSE)),"")</f>
        <v>2027</v>
      </c>
      <c r="AE214" s="7" t="str">
        <f>IF(VLOOKUP(A214,'20yPlan'!A:B,2,FALSE)="","",VLOOKUP(A214,'20yPlan'!A:B,2,FALSE))</f>
        <v/>
      </c>
      <c r="AF214" s="7" t="str">
        <f>IF(VLOOKUP(A214,'20yPlan'!A:C,3,FALSE)="","",VLOOKUP(A214,'20yPlan'!A:C,3,FALSE))</f>
        <v/>
      </c>
      <c r="AG214" s="7" t="str">
        <f>IF(VLOOKUP(A214,'20yPlan'!A:D,4,FALSE)="","",VLOOKUP(A214,'20yPlan'!A:D,4,FALSE))</f>
        <v/>
      </c>
      <c r="AH214" s="7" t="str">
        <f>IF(VLOOKUP(A214,'20yPlan'!A:E,5,FALSE)="","",VLOOKUP(A214,'20yPlan'!A:E,5,FALSE))</f>
        <v/>
      </c>
      <c r="AI214" s="7" t="str">
        <f>IF(VLOOKUP(A214,'20yPlan'!A:F,6,FALSE)="","",VLOOKUP(A214,'20yPlan'!A:F,6,FALSE))</f>
        <v/>
      </c>
      <c r="AJ214" s="7" t="str">
        <f t="shared" si="35"/>
        <v>2042 Chip Seal</v>
      </c>
      <c r="AK214" s="7" t="str">
        <f t="shared" si="36"/>
        <v>2027 RPM Replacement</v>
      </c>
      <c r="AL214" s="39">
        <f t="shared" ca="1" si="37"/>
        <v>2025</v>
      </c>
      <c r="AM214" s="7">
        <f t="shared" si="38"/>
        <v>2027</v>
      </c>
      <c r="AN214" s="7" t="str">
        <f t="shared" si="39"/>
        <v>2027 RPM Replacement</v>
      </c>
    </row>
    <row r="215" spans="1:40">
      <c r="A215" s="6">
        <v>60225</v>
      </c>
      <c r="B215" s="6" t="s">
        <v>719</v>
      </c>
      <c r="C215" s="6" t="s">
        <v>744</v>
      </c>
      <c r="D215" s="6">
        <v>67.797332999999995</v>
      </c>
      <c r="E215" s="6">
        <v>70.640635000000003</v>
      </c>
      <c r="F215" s="6" t="s">
        <v>742</v>
      </c>
      <c r="G215" s="6" t="s">
        <v>745</v>
      </c>
      <c r="H215" s="35">
        <v>54184</v>
      </c>
      <c r="I215" s="6" t="s">
        <v>44</v>
      </c>
      <c r="J215" s="6">
        <v>15</v>
      </c>
      <c r="K215" s="6"/>
      <c r="L215" s="6">
        <v>2</v>
      </c>
      <c r="M215" s="6" t="s">
        <v>45</v>
      </c>
      <c r="N215" s="6" t="s">
        <v>250</v>
      </c>
      <c r="O215" s="6" t="s">
        <v>79</v>
      </c>
      <c r="P215" s="6" t="s">
        <v>743</v>
      </c>
      <c r="Q215" s="6" t="s">
        <v>489</v>
      </c>
      <c r="R215" s="35">
        <v>4814</v>
      </c>
      <c r="S215" s="6">
        <v>660</v>
      </c>
      <c r="T215" s="36" t="s">
        <v>50</v>
      </c>
      <c r="U215" s="46">
        <f>IF($L215&lt;=2,
IF($R215&lt;=RpmDesignStandard!$C$2,RpmDesignStandard!$D$2,
IF(AND($R215&gt;RpmDesignStandard!$B$3,$R215&lt;=RpmDesignStandard!$C$3),RpmDesignStandard!$D$3,RpmDesignStandard!$D$4)),
IF($R215&lt;=RpmDesignStandard!$C$5, RpmDesignStandard!$D$5,
IF(AND($R215&gt;RpmDesignStandard!$B$6,$R215&lt;=RpmDesignStandard!$C$6),RpmDesignStandard!$D$6,
IF(AND($R215&gt;RpmDesignStandard!$B$7,$R215&lt;=RpmDesignStandard!$C$7),RpmDesignStandard!$D$7,RpmDesignStandard!$D$8))))</f>
        <v>4</v>
      </c>
      <c r="V215" s="47">
        <f>U215*RpmDesignStandard!$H$1</f>
        <v>8</v>
      </c>
      <c r="W215" s="37" t="str">
        <f>VLOOKUP(A215,RPM_ProjectRecord!A:AB,8,FALSE)</f>
        <v/>
      </c>
      <c r="X215" s="38" t="str">
        <f t="shared" si="30"/>
        <v/>
      </c>
      <c r="Y215" s="38" t="str">
        <f t="shared" si="31"/>
        <v/>
      </c>
      <c r="Z215" s="38" t="str">
        <f t="shared" si="32"/>
        <v/>
      </c>
      <c r="AA215" s="38" t="str">
        <f t="shared" si="33"/>
        <v/>
      </c>
      <c r="AB215" s="38" t="str">
        <f t="shared" si="34"/>
        <v/>
      </c>
      <c r="AC215" s="38" t="str">
        <f>IF(VLOOKUP(A215,'3rdPhaseChipSeal'!A:L,12,FALSE)="","",VLOOKUP(A215,'3rdPhaseChipSeal'!A:L,12,FALSE))</f>
        <v/>
      </c>
      <c r="AD215" s="38" t="str">
        <f>IFERROR(IF(VLOOKUP(A215,RpmContracts!A:C,3,FALSE)="","",VLOOKUP(A215,RpmContracts!A:C,3,FALSE)),"")</f>
        <v/>
      </c>
      <c r="AE215" s="7" t="str">
        <f>IF(VLOOKUP(A215,'20yPlan'!A:B,2,FALSE)="","",VLOOKUP(A215,'20yPlan'!A:B,2,FALSE))</f>
        <v/>
      </c>
      <c r="AF215" s="7" t="str">
        <f>IF(VLOOKUP(A215,'20yPlan'!A:C,3,FALSE)="","",VLOOKUP(A215,'20yPlan'!A:C,3,FALSE))</f>
        <v/>
      </c>
      <c r="AG215" s="7" t="str">
        <f>IF(VLOOKUP(A215,'20yPlan'!A:D,4,FALSE)="","",VLOOKUP(A215,'20yPlan'!A:D,4,FALSE))</f>
        <v/>
      </c>
      <c r="AH215" s="7" t="str">
        <f>IF(VLOOKUP(A215,'20yPlan'!A:E,5,FALSE)="","",VLOOKUP(A215,'20yPlan'!A:E,5,FALSE))</f>
        <v/>
      </c>
      <c r="AI215" s="7" t="str">
        <f>IF(VLOOKUP(A215,'20yPlan'!A:F,6,FALSE)="","",VLOOKUP(A215,'20yPlan'!A:F,6,FALSE))</f>
        <v/>
      </c>
      <c r="AJ215" s="7" t="str">
        <f t="shared" si="35"/>
        <v/>
      </c>
      <c r="AK215" s="7" t="str">
        <f t="shared" si="36"/>
        <v/>
      </c>
      <c r="AL215" s="39">
        <f t="shared" ca="1" si="37"/>
        <v>2025</v>
      </c>
      <c r="AM215" s="7" t="str">
        <f t="shared" si="38"/>
        <v/>
      </c>
      <c r="AN215" s="7" t="str">
        <f t="shared" si="39"/>
        <v/>
      </c>
    </row>
    <row r="216" spans="1:40">
      <c r="A216" s="6">
        <v>60226</v>
      </c>
      <c r="B216" s="6" t="s">
        <v>701</v>
      </c>
      <c r="C216" s="6" t="s">
        <v>746</v>
      </c>
      <c r="D216" s="6">
        <v>20.907596000000002</v>
      </c>
      <c r="E216" s="6">
        <v>26.269293000000001</v>
      </c>
      <c r="F216" s="6" t="s">
        <v>747</v>
      </c>
      <c r="G216" s="6" t="s">
        <v>748</v>
      </c>
      <c r="H216" s="35">
        <v>79308</v>
      </c>
      <c r="I216" s="6" t="s">
        <v>44</v>
      </c>
      <c r="J216" s="6">
        <v>6</v>
      </c>
      <c r="K216" s="6"/>
      <c r="L216" s="6">
        <v>2</v>
      </c>
      <c r="M216" s="6" t="s">
        <v>45</v>
      </c>
      <c r="N216" s="6" t="s">
        <v>250</v>
      </c>
      <c r="O216" s="6" t="s">
        <v>56</v>
      </c>
      <c r="P216" s="6" t="s">
        <v>57</v>
      </c>
      <c r="Q216" s="6" t="s">
        <v>151</v>
      </c>
      <c r="R216" s="35">
        <v>3664</v>
      </c>
      <c r="S216" s="6">
        <v>399</v>
      </c>
      <c r="T216" s="36" t="s">
        <v>50</v>
      </c>
      <c r="U216" s="46">
        <f>IF($L216&lt;=2,
IF($R216&lt;=RpmDesignStandard!$C$2,RpmDesignStandard!$D$2,
IF(AND($R216&gt;RpmDesignStandard!$B$3,$R216&lt;=RpmDesignStandard!$C$3),RpmDesignStandard!$D$3,RpmDesignStandard!$D$4)),
IF($R216&lt;=RpmDesignStandard!$C$5, RpmDesignStandard!$D$5,
IF(AND($R216&gt;RpmDesignStandard!$B$6,$R216&lt;=RpmDesignStandard!$C$6),RpmDesignStandard!$D$6,
IF(AND($R216&gt;RpmDesignStandard!$B$7,$R216&lt;=RpmDesignStandard!$C$7),RpmDesignStandard!$D$7,RpmDesignStandard!$D$8))))</f>
        <v>4</v>
      </c>
      <c r="V216" s="47">
        <f>U216*RpmDesignStandard!$H$1</f>
        <v>8</v>
      </c>
      <c r="W216" s="37" t="str">
        <f>VLOOKUP(A216,RPM_ProjectRecord!A:AB,8,FALSE)</f>
        <v/>
      </c>
      <c r="X216" s="38" t="str">
        <f t="shared" si="30"/>
        <v/>
      </c>
      <c r="Y216" s="38" t="str">
        <f t="shared" si="31"/>
        <v/>
      </c>
      <c r="Z216" s="38" t="str">
        <f t="shared" si="32"/>
        <v/>
      </c>
      <c r="AA216" s="38" t="str">
        <f t="shared" si="33"/>
        <v/>
      </c>
      <c r="AB216" s="38" t="str">
        <f t="shared" si="34"/>
        <v/>
      </c>
      <c r="AC216" s="38" t="str">
        <f>IF(VLOOKUP(A216,'3rdPhaseChipSeal'!A:L,12,FALSE)="","",VLOOKUP(A216,'3rdPhaseChipSeal'!A:L,12,FALSE))</f>
        <v/>
      </c>
      <c r="AD216" s="38" t="str">
        <f>IFERROR(IF(VLOOKUP(A216,RpmContracts!A:C,3,FALSE)="","",VLOOKUP(A216,RpmContracts!A:C,3,FALSE)),"")</f>
        <v/>
      </c>
      <c r="AE216" s="7" t="str">
        <f>IF(VLOOKUP(A216,'20yPlan'!A:B,2,FALSE)="","",VLOOKUP(A216,'20yPlan'!A:B,2,FALSE))</f>
        <v/>
      </c>
      <c r="AF216" s="7" t="str">
        <f>IF(VLOOKUP(A216,'20yPlan'!A:C,3,FALSE)="","",VLOOKUP(A216,'20yPlan'!A:C,3,FALSE))</f>
        <v/>
      </c>
      <c r="AG216" s="7" t="str">
        <f>IF(VLOOKUP(A216,'20yPlan'!A:D,4,FALSE)="","",VLOOKUP(A216,'20yPlan'!A:D,4,FALSE))</f>
        <v/>
      </c>
      <c r="AH216" s="7" t="str">
        <f>IF(VLOOKUP(A216,'20yPlan'!A:E,5,FALSE)="","",VLOOKUP(A216,'20yPlan'!A:E,5,FALSE))</f>
        <v/>
      </c>
      <c r="AI216" s="7" t="str">
        <f>IF(VLOOKUP(A216,'20yPlan'!A:F,6,FALSE)="","",VLOOKUP(A216,'20yPlan'!A:F,6,FALSE))</f>
        <v/>
      </c>
      <c r="AJ216" s="7" t="str">
        <f t="shared" si="35"/>
        <v/>
      </c>
      <c r="AK216" s="7" t="str">
        <f t="shared" si="36"/>
        <v/>
      </c>
      <c r="AL216" s="39">
        <f t="shared" ca="1" si="37"/>
        <v>2025</v>
      </c>
      <c r="AM216" s="7" t="str">
        <f t="shared" si="38"/>
        <v/>
      </c>
      <c r="AN216" s="7" t="str">
        <f t="shared" si="39"/>
        <v/>
      </c>
    </row>
    <row r="217" spans="1:40">
      <c r="A217" s="6">
        <v>60227</v>
      </c>
      <c r="B217" s="6" t="s">
        <v>719</v>
      </c>
      <c r="C217" s="6" t="s">
        <v>749</v>
      </c>
      <c r="D217" s="6">
        <v>73.913319999999999</v>
      </c>
      <c r="E217" s="6">
        <v>75.850826999999995</v>
      </c>
      <c r="F217" s="6" t="s">
        <v>750</v>
      </c>
      <c r="G217" s="6" t="s">
        <v>751</v>
      </c>
      <c r="H217" s="35">
        <v>86537</v>
      </c>
      <c r="I217" s="6" t="s">
        <v>141</v>
      </c>
      <c r="J217" s="6">
        <v>1</v>
      </c>
      <c r="K217" s="6"/>
      <c r="L217" s="6">
        <v>2</v>
      </c>
      <c r="M217" s="6" t="s">
        <v>45</v>
      </c>
      <c r="N217" s="6" t="s">
        <v>250</v>
      </c>
      <c r="O217" s="6" t="s">
        <v>79</v>
      </c>
      <c r="P217" s="6" t="s">
        <v>346</v>
      </c>
      <c r="Q217" s="6" t="s">
        <v>347</v>
      </c>
      <c r="R217" s="35">
        <v>11086</v>
      </c>
      <c r="S217" s="6">
        <v>600</v>
      </c>
      <c r="T217" s="36" t="s">
        <v>50</v>
      </c>
      <c r="U217" s="46">
        <f>IF($L217&lt;=2,
IF($R217&lt;=RpmDesignStandard!$C$2,RpmDesignStandard!$D$2,
IF(AND($R217&gt;RpmDesignStandard!$B$3,$R217&lt;=RpmDesignStandard!$C$3),RpmDesignStandard!$D$3,RpmDesignStandard!$D$4)),
IF($R217&lt;=RpmDesignStandard!$C$5, RpmDesignStandard!$D$5,
IF(AND($R217&gt;RpmDesignStandard!$B$6,$R217&lt;=RpmDesignStandard!$C$6),RpmDesignStandard!$D$6,
IF(AND($R217&gt;RpmDesignStandard!$B$7,$R217&lt;=RpmDesignStandard!$C$7),RpmDesignStandard!$D$7,RpmDesignStandard!$D$8))))</f>
        <v>3</v>
      </c>
      <c r="V217" s="47">
        <f>U217*RpmDesignStandard!$H$1</f>
        <v>6</v>
      </c>
      <c r="W217" s="37">
        <f>VLOOKUP(A217,RPM_ProjectRecord!A:AB,8,FALSE)</f>
        <v>2025</v>
      </c>
      <c r="X217" s="38" t="str">
        <f t="shared" si="30"/>
        <v/>
      </c>
      <c r="Y217" s="38" t="str">
        <f t="shared" si="31"/>
        <v/>
      </c>
      <c r="Z217" s="38" t="str">
        <f t="shared" si="32"/>
        <v/>
      </c>
      <c r="AA217" s="38" t="str">
        <f t="shared" si="33"/>
        <v/>
      </c>
      <c r="AB217" s="38" t="str">
        <f t="shared" si="34"/>
        <v/>
      </c>
      <c r="AC217" s="38" t="str">
        <f>IF(VLOOKUP(A217,'3rdPhaseChipSeal'!A:L,12,FALSE)="","",VLOOKUP(A217,'3rdPhaseChipSeal'!A:L,12,FALSE))</f>
        <v/>
      </c>
      <c r="AD217" s="38" t="str">
        <f>IFERROR(IF(VLOOKUP(A217,RpmContracts!A:C,3,FALSE)="","",VLOOKUP(A217,RpmContracts!A:C,3,FALSE)),"")</f>
        <v/>
      </c>
      <c r="AE217" s="7" t="str">
        <f>IF(VLOOKUP(A217,'20yPlan'!A:B,2,FALSE)="","",VLOOKUP(A217,'20yPlan'!A:B,2,FALSE))</f>
        <v/>
      </c>
      <c r="AF217" s="7" t="str">
        <f>IF(VLOOKUP(A217,'20yPlan'!A:C,3,FALSE)="","",VLOOKUP(A217,'20yPlan'!A:C,3,FALSE))</f>
        <v/>
      </c>
      <c r="AG217" s="7" t="str">
        <f>IF(VLOOKUP(A217,'20yPlan'!A:D,4,FALSE)="","",VLOOKUP(A217,'20yPlan'!A:D,4,FALSE))</f>
        <v/>
      </c>
      <c r="AH217" s="7" t="str">
        <f>IF(VLOOKUP(A217,'20yPlan'!A:E,5,FALSE)="","",VLOOKUP(A217,'20yPlan'!A:E,5,FALSE))</f>
        <v/>
      </c>
      <c r="AI217" s="7" t="str">
        <f>IF(VLOOKUP(A217,'20yPlan'!A:F,6,FALSE)="","",VLOOKUP(A217,'20yPlan'!A:F,6,FALSE))</f>
        <v/>
      </c>
      <c r="AJ217" s="7" t="str">
        <f t="shared" si="35"/>
        <v/>
      </c>
      <c r="AK217" s="7" t="str">
        <f t="shared" si="36"/>
        <v/>
      </c>
      <c r="AL217" s="39">
        <f t="shared" ca="1" si="37"/>
        <v>2028</v>
      </c>
      <c r="AM217" s="7" t="str">
        <f t="shared" si="38"/>
        <v/>
      </c>
      <c r="AN217" s="7" t="str">
        <f t="shared" si="39"/>
        <v/>
      </c>
    </row>
    <row r="218" spans="1:40">
      <c r="A218" s="6">
        <v>60228</v>
      </c>
      <c r="B218" s="6" t="s">
        <v>719</v>
      </c>
      <c r="C218" s="6" t="s">
        <v>752</v>
      </c>
      <c r="D218" s="6">
        <v>75.850826999999995</v>
      </c>
      <c r="E218" s="6">
        <v>78.212509999999995</v>
      </c>
      <c r="F218" s="6" t="s">
        <v>751</v>
      </c>
      <c r="G218" s="6" t="s">
        <v>753</v>
      </c>
      <c r="H218" s="35">
        <v>55381</v>
      </c>
      <c r="I218" s="6" t="s">
        <v>141</v>
      </c>
      <c r="J218" s="6">
        <v>7</v>
      </c>
      <c r="K218" s="6"/>
      <c r="L218" s="6">
        <v>2</v>
      </c>
      <c r="M218" s="6" t="s">
        <v>45</v>
      </c>
      <c r="N218" s="6" t="s">
        <v>250</v>
      </c>
      <c r="O218" s="6" t="s">
        <v>79</v>
      </c>
      <c r="P218" s="6" t="s">
        <v>346</v>
      </c>
      <c r="Q218" s="6" t="s">
        <v>347</v>
      </c>
      <c r="R218" s="35">
        <v>9968</v>
      </c>
      <c r="S218" s="6">
        <v>437</v>
      </c>
      <c r="T218" s="36" t="s">
        <v>50</v>
      </c>
      <c r="U218" s="46">
        <f>IF($L218&lt;=2,
IF($R218&lt;=RpmDesignStandard!$C$2,RpmDesignStandard!$D$2,
IF(AND($R218&gt;RpmDesignStandard!$B$3,$R218&lt;=RpmDesignStandard!$C$3),RpmDesignStandard!$D$3,RpmDesignStandard!$D$4)),
IF($R218&lt;=RpmDesignStandard!$C$5, RpmDesignStandard!$D$5,
IF(AND($R218&gt;RpmDesignStandard!$B$6,$R218&lt;=RpmDesignStandard!$C$6),RpmDesignStandard!$D$6,
IF(AND($R218&gt;RpmDesignStandard!$B$7,$R218&lt;=RpmDesignStandard!$C$7),RpmDesignStandard!$D$7,RpmDesignStandard!$D$8))))</f>
        <v>3</v>
      </c>
      <c r="V218" s="47">
        <f>U218*RpmDesignStandard!$H$1</f>
        <v>6</v>
      </c>
      <c r="W218" s="37">
        <f>VLOOKUP(A218,RPM_ProjectRecord!A:AB,8,FALSE)</f>
        <v>2021</v>
      </c>
      <c r="X218" s="38">
        <f t="shared" si="30"/>
        <v>2036</v>
      </c>
      <c r="Y218" s="38" t="str">
        <f t="shared" si="31"/>
        <v/>
      </c>
      <c r="Z218" s="38" t="str">
        <f t="shared" si="32"/>
        <v/>
      </c>
      <c r="AA218" s="38" t="str">
        <f t="shared" si="33"/>
        <v/>
      </c>
      <c r="AB218" s="38" t="str">
        <f t="shared" si="34"/>
        <v/>
      </c>
      <c r="AC218" s="38" t="str">
        <f>IF(VLOOKUP(A218,'3rdPhaseChipSeal'!A:L,12,FALSE)="","",VLOOKUP(A218,'3rdPhaseChipSeal'!A:L,12,FALSE))</f>
        <v/>
      </c>
      <c r="AD218" s="38" t="str">
        <f>IFERROR(IF(VLOOKUP(A218,RpmContracts!A:C,3,FALSE)="","",VLOOKUP(A218,RpmContracts!A:C,3,FALSE)),"")</f>
        <v/>
      </c>
      <c r="AE218" s="7" t="str">
        <f>IF(VLOOKUP(A218,'20yPlan'!A:B,2,FALSE)="","",VLOOKUP(A218,'20yPlan'!A:B,2,FALSE))</f>
        <v>2036 Preventive Maintenance</v>
      </c>
      <c r="AF218" s="7" t="str">
        <f>IF(VLOOKUP(A218,'20yPlan'!A:C,3,FALSE)="","",VLOOKUP(A218,'20yPlan'!A:C,3,FALSE))</f>
        <v/>
      </c>
      <c r="AG218" s="7" t="str">
        <f>IF(VLOOKUP(A218,'20yPlan'!A:D,4,FALSE)="","",VLOOKUP(A218,'20yPlan'!A:D,4,FALSE))</f>
        <v/>
      </c>
      <c r="AH218" s="7" t="str">
        <f>IF(VLOOKUP(A218,'20yPlan'!A:E,5,FALSE)="","",VLOOKUP(A218,'20yPlan'!A:E,5,FALSE))</f>
        <v/>
      </c>
      <c r="AI218" s="7" t="str">
        <f>IF(VLOOKUP(A218,'20yPlan'!A:F,6,FALSE)="","",VLOOKUP(A218,'20yPlan'!A:F,6,FALSE))</f>
        <v/>
      </c>
      <c r="AJ218" s="7" t="str">
        <f t="shared" si="35"/>
        <v/>
      </c>
      <c r="AK218" s="7" t="str">
        <f t="shared" si="36"/>
        <v/>
      </c>
      <c r="AL218" s="39">
        <f t="shared" ca="1" si="37"/>
        <v>2024</v>
      </c>
      <c r="AM218" s="7" t="str">
        <f t="shared" si="38"/>
        <v/>
      </c>
      <c r="AN218" s="7" t="str">
        <f t="shared" si="39"/>
        <v/>
      </c>
    </row>
    <row r="219" spans="1:40">
      <c r="A219" s="6">
        <v>60229</v>
      </c>
      <c r="B219" s="6" t="s">
        <v>719</v>
      </c>
      <c r="C219" s="6" t="s">
        <v>754</v>
      </c>
      <c r="D219" s="6">
        <v>78.212509999999995</v>
      </c>
      <c r="E219" s="6">
        <v>82.544897000000006</v>
      </c>
      <c r="F219" s="6" t="s">
        <v>753</v>
      </c>
      <c r="G219" s="6" t="s">
        <v>755</v>
      </c>
      <c r="H219" s="35">
        <v>75502</v>
      </c>
      <c r="I219" s="6" t="s">
        <v>195</v>
      </c>
      <c r="J219" s="6">
        <v>4</v>
      </c>
      <c r="K219" s="6">
        <v>2028</v>
      </c>
      <c r="L219" s="6">
        <v>2</v>
      </c>
      <c r="M219" s="6" t="s">
        <v>45</v>
      </c>
      <c r="N219" s="6" t="s">
        <v>250</v>
      </c>
      <c r="O219" s="6" t="s">
        <v>79</v>
      </c>
      <c r="P219" s="6" t="s">
        <v>346</v>
      </c>
      <c r="Q219" s="6" t="s">
        <v>347</v>
      </c>
      <c r="R219" s="35">
        <v>1407</v>
      </c>
      <c r="S219" s="6">
        <v>75</v>
      </c>
      <c r="T219" s="36" t="s">
        <v>50</v>
      </c>
      <c r="U219" s="46">
        <f>IF($L219&lt;=2,
IF($R219&lt;=RpmDesignStandard!$C$2,RpmDesignStandard!$D$2,
IF(AND($R219&gt;RpmDesignStandard!$B$3,$R219&lt;=RpmDesignStandard!$C$3),RpmDesignStandard!$D$3,RpmDesignStandard!$D$4)),
IF($R219&lt;=RpmDesignStandard!$C$5, RpmDesignStandard!$D$5,
IF(AND($R219&gt;RpmDesignStandard!$B$6,$R219&lt;=RpmDesignStandard!$C$6),RpmDesignStandard!$D$6,
IF(AND($R219&gt;RpmDesignStandard!$B$7,$R219&lt;=RpmDesignStandard!$C$7),RpmDesignStandard!$D$7,RpmDesignStandard!$D$8))))</f>
        <v>4</v>
      </c>
      <c r="V219" s="47">
        <f>U219*RpmDesignStandard!$H$1</f>
        <v>8</v>
      </c>
      <c r="W219" s="37">
        <f>VLOOKUP(A219,RPM_ProjectRecord!A:AB,8,FALSE)</f>
        <v>2021</v>
      </c>
      <c r="X219" s="38">
        <f t="shared" si="30"/>
        <v>2034</v>
      </c>
      <c r="Y219" s="38" t="str">
        <f t="shared" si="31"/>
        <v/>
      </c>
      <c r="Z219" s="38" t="str">
        <f t="shared" si="32"/>
        <v/>
      </c>
      <c r="AA219" s="38" t="str">
        <f t="shared" si="33"/>
        <v/>
      </c>
      <c r="AB219" s="38" t="str">
        <f t="shared" si="34"/>
        <v/>
      </c>
      <c r="AC219" s="38">
        <f>IF(VLOOKUP(A219,'3rdPhaseChipSeal'!A:L,12,FALSE)="","",VLOOKUP(A219,'3rdPhaseChipSeal'!A:L,12,FALSE))</f>
        <v>2042</v>
      </c>
      <c r="AD219" s="38" t="str">
        <f>IFERROR(IF(VLOOKUP(A219,RpmContracts!A:C,3,FALSE)="","",VLOOKUP(A219,RpmContracts!A:C,3,FALSE)),"")</f>
        <v/>
      </c>
      <c r="AE219" s="7" t="str">
        <f>IF(VLOOKUP(A219,'20yPlan'!A:B,2,FALSE)="","",VLOOKUP(A219,'20yPlan'!A:B,2,FALSE))</f>
        <v>2034 Preventive Maintenance</v>
      </c>
      <c r="AF219" s="7" t="str">
        <f>IF(VLOOKUP(A219,'20yPlan'!A:C,3,FALSE)="","",VLOOKUP(A219,'20yPlan'!A:C,3,FALSE))</f>
        <v/>
      </c>
      <c r="AG219" s="7" t="str">
        <f>IF(VLOOKUP(A219,'20yPlan'!A:D,4,FALSE)="","",VLOOKUP(A219,'20yPlan'!A:D,4,FALSE))</f>
        <v/>
      </c>
      <c r="AH219" s="7" t="str">
        <f>IF(VLOOKUP(A219,'20yPlan'!A:E,5,FALSE)="","",VLOOKUP(A219,'20yPlan'!A:E,5,FALSE))</f>
        <v/>
      </c>
      <c r="AI219" s="7" t="str">
        <f>IF(VLOOKUP(A219,'20yPlan'!A:F,6,FALSE)="","",VLOOKUP(A219,'20yPlan'!A:F,6,FALSE))</f>
        <v/>
      </c>
      <c r="AJ219" s="7" t="str">
        <f t="shared" si="35"/>
        <v>2042 Chip Seal</v>
      </c>
      <c r="AK219" s="7" t="str">
        <f t="shared" si="36"/>
        <v/>
      </c>
      <c r="AL219" s="39">
        <f t="shared" ca="1" si="37"/>
        <v>2025</v>
      </c>
      <c r="AM219" s="7" t="str">
        <f t="shared" si="38"/>
        <v/>
      </c>
      <c r="AN219" s="7" t="str">
        <f t="shared" si="39"/>
        <v/>
      </c>
    </row>
    <row r="220" spans="1:40">
      <c r="A220" s="6">
        <v>60230</v>
      </c>
      <c r="B220" s="6" t="s">
        <v>719</v>
      </c>
      <c r="C220" s="6" t="s">
        <v>756</v>
      </c>
      <c r="D220" s="6">
        <v>82.544897000000006</v>
      </c>
      <c r="E220" s="6">
        <v>99.708718000000005</v>
      </c>
      <c r="F220" s="6" t="s">
        <v>755</v>
      </c>
      <c r="G220" s="6" t="s">
        <v>757</v>
      </c>
      <c r="H220" s="35">
        <v>131648</v>
      </c>
      <c r="I220" s="6" t="s">
        <v>195</v>
      </c>
      <c r="J220" s="6">
        <v>4</v>
      </c>
      <c r="K220" s="6">
        <v>2028</v>
      </c>
      <c r="L220" s="6">
        <v>2</v>
      </c>
      <c r="M220" s="6" t="s">
        <v>45</v>
      </c>
      <c r="N220" s="6" t="s">
        <v>250</v>
      </c>
      <c r="O220" s="6" t="s">
        <v>79</v>
      </c>
      <c r="P220" s="6" t="s">
        <v>346</v>
      </c>
      <c r="Q220" s="6" t="s">
        <v>347</v>
      </c>
      <c r="R220" s="6">
        <v>169</v>
      </c>
      <c r="S220" s="6">
        <v>30</v>
      </c>
      <c r="T220" s="36" t="s">
        <v>253</v>
      </c>
      <c r="U220" s="46">
        <f>IF($L220&lt;=2,
IF($R220&lt;=RpmDesignStandard!$C$2,RpmDesignStandard!$D$2,
IF(AND($R220&gt;RpmDesignStandard!$B$3,$R220&lt;=RpmDesignStandard!$C$3),RpmDesignStandard!$D$3,RpmDesignStandard!$D$4)),
IF($R220&lt;=RpmDesignStandard!$C$5, RpmDesignStandard!$D$5,
IF(AND($R220&gt;RpmDesignStandard!$B$6,$R220&lt;=RpmDesignStandard!$C$6),RpmDesignStandard!$D$6,
IF(AND($R220&gt;RpmDesignStandard!$B$7,$R220&lt;=RpmDesignStandard!$C$7),RpmDesignStandard!$D$7,RpmDesignStandard!$D$8))))</f>
        <v>4</v>
      </c>
      <c r="V220" s="47">
        <f>U220*RpmDesignStandard!$H$1</f>
        <v>8</v>
      </c>
      <c r="W220" s="37" t="str">
        <f>VLOOKUP(A220,RPM_ProjectRecord!A:AB,8,FALSE)</f>
        <v/>
      </c>
      <c r="X220" s="38" t="str">
        <f t="shared" si="30"/>
        <v/>
      </c>
      <c r="Y220" s="38" t="str">
        <f t="shared" si="31"/>
        <v/>
      </c>
      <c r="Z220" s="38" t="str">
        <f t="shared" si="32"/>
        <v/>
      </c>
      <c r="AA220" s="38" t="str">
        <f t="shared" si="33"/>
        <v/>
      </c>
      <c r="AB220" s="38" t="str">
        <f t="shared" si="34"/>
        <v/>
      </c>
      <c r="AC220" s="38">
        <f>IF(VLOOKUP(A220,'3rdPhaseChipSeal'!A:L,12,FALSE)="","",VLOOKUP(A220,'3rdPhaseChipSeal'!A:L,12,FALSE))</f>
        <v>2042</v>
      </c>
      <c r="AD220" s="38" t="str">
        <f>IFERROR(IF(VLOOKUP(A220,RpmContracts!A:C,3,FALSE)="","",VLOOKUP(A220,RpmContracts!A:C,3,FALSE)),"")</f>
        <v/>
      </c>
      <c r="AE220" s="7" t="str">
        <f>IF(VLOOKUP(A220,'20yPlan'!A:B,2,FALSE)="","",VLOOKUP(A220,'20yPlan'!A:B,2,FALSE))</f>
        <v/>
      </c>
      <c r="AF220" s="7" t="str">
        <f>IF(VLOOKUP(A220,'20yPlan'!A:C,3,FALSE)="","",VLOOKUP(A220,'20yPlan'!A:C,3,FALSE))</f>
        <v/>
      </c>
      <c r="AG220" s="7" t="str">
        <f>IF(VLOOKUP(A220,'20yPlan'!A:D,4,FALSE)="","",VLOOKUP(A220,'20yPlan'!A:D,4,FALSE))</f>
        <v/>
      </c>
      <c r="AH220" s="7" t="str">
        <f>IF(VLOOKUP(A220,'20yPlan'!A:E,5,FALSE)="","",VLOOKUP(A220,'20yPlan'!A:E,5,FALSE))</f>
        <v/>
      </c>
      <c r="AI220" s="7" t="str">
        <f>IF(VLOOKUP(A220,'20yPlan'!A:F,6,FALSE)="","",VLOOKUP(A220,'20yPlan'!A:F,6,FALSE))</f>
        <v/>
      </c>
      <c r="AJ220" s="7" t="str">
        <f t="shared" si="35"/>
        <v>2042 Chip Seal</v>
      </c>
      <c r="AK220" s="7" t="str">
        <f t="shared" si="36"/>
        <v/>
      </c>
      <c r="AL220" s="39">
        <f t="shared" ca="1" si="37"/>
        <v>2025</v>
      </c>
      <c r="AM220" s="7" t="str">
        <f t="shared" si="38"/>
        <v/>
      </c>
      <c r="AN220" s="7" t="str">
        <f t="shared" si="39"/>
        <v/>
      </c>
    </row>
    <row r="221" spans="1:40">
      <c r="A221" s="6">
        <v>60231</v>
      </c>
      <c r="B221" s="6" t="s">
        <v>719</v>
      </c>
      <c r="C221" s="6" t="s">
        <v>758</v>
      </c>
      <c r="D221" s="6">
        <v>99.708718000000005</v>
      </c>
      <c r="E221" s="6">
        <v>118.21521300000001</v>
      </c>
      <c r="F221" s="6" t="s">
        <v>757</v>
      </c>
      <c r="G221" s="6" t="s">
        <v>759</v>
      </c>
      <c r="H221" s="35">
        <v>264309</v>
      </c>
      <c r="I221" s="6" t="s">
        <v>195</v>
      </c>
      <c r="J221" s="6">
        <v>4</v>
      </c>
      <c r="K221" s="6">
        <v>2028</v>
      </c>
      <c r="L221" s="6">
        <v>2</v>
      </c>
      <c r="M221" s="6" t="s">
        <v>45</v>
      </c>
      <c r="N221" s="6" t="s">
        <v>250</v>
      </c>
      <c r="O221" s="6" t="s">
        <v>79</v>
      </c>
      <c r="P221" s="6" t="s">
        <v>92</v>
      </c>
      <c r="Q221" s="6" t="s">
        <v>96</v>
      </c>
      <c r="R221" s="6">
        <v>242</v>
      </c>
      <c r="S221" s="6">
        <v>22</v>
      </c>
      <c r="T221" s="36" t="s">
        <v>253</v>
      </c>
      <c r="U221" s="46">
        <f>IF($L221&lt;=2,
IF($R221&lt;=RpmDesignStandard!$C$2,RpmDesignStandard!$D$2,
IF(AND($R221&gt;RpmDesignStandard!$B$3,$R221&lt;=RpmDesignStandard!$C$3),RpmDesignStandard!$D$3,RpmDesignStandard!$D$4)),
IF($R221&lt;=RpmDesignStandard!$C$5, RpmDesignStandard!$D$5,
IF(AND($R221&gt;RpmDesignStandard!$B$6,$R221&lt;=RpmDesignStandard!$C$6),RpmDesignStandard!$D$6,
IF(AND($R221&gt;RpmDesignStandard!$B$7,$R221&lt;=RpmDesignStandard!$C$7),RpmDesignStandard!$D$7,RpmDesignStandard!$D$8))))</f>
        <v>4</v>
      </c>
      <c r="V221" s="47">
        <f>U221*RpmDesignStandard!$H$1</f>
        <v>8</v>
      </c>
      <c r="W221" s="37" t="str">
        <f>VLOOKUP(A221,RPM_ProjectRecord!A:AB,8,FALSE)</f>
        <v/>
      </c>
      <c r="X221" s="38" t="str">
        <f t="shared" si="30"/>
        <v/>
      </c>
      <c r="Y221" s="38" t="str">
        <f t="shared" si="31"/>
        <v/>
      </c>
      <c r="Z221" s="38" t="str">
        <f t="shared" si="32"/>
        <v/>
      </c>
      <c r="AA221" s="38" t="str">
        <f t="shared" si="33"/>
        <v/>
      </c>
      <c r="AB221" s="38" t="str">
        <f t="shared" si="34"/>
        <v/>
      </c>
      <c r="AC221" s="38">
        <f>IF(VLOOKUP(A221,'3rdPhaseChipSeal'!A:L,12,FALSE)="","",VLOOKUP(A221,'3rdPhaseChipSeal'!A:L,12,FALSE))</f>
        <v>2042</v>
      </c>
      <c r="AD221" s="38">
        <f>IFERROR(IF(VLOOKUP(A221,RpmContracts!A:C,3,FALSE)="","",VLOOKUP(A221,RpmContracts!A:C,3,FALSE)),"")</f>
        <v>2027</v>
      </c>
      <c r="AE221" s="7" t="str">
        <f>IF(VLOOKUP(A221,'20yPlan'!A:B,2,FALSE)="","",VLOOKUP(A221,'20yPlan'!A:B,2,FALSE))</f>
        <v/>
      </c>
      <c r="AF221" s="7" t="str">
        <f>IF(VLOOKUP(A221,'20yPlan'!A:C,3,FALSE)="","",VLOOKUP(A221,'20yPlan'!A:C,3,FALSE))</f>
        <v/>
      </c>
      <c r="AG221" s="7" t="str">
        <f>IF(VLOOKUP(A221,'20yPlan'!A:D,4,FALSE)="","",VLOOKUP(A221,'20yPlan'!A:D,4,FALSE))</f>
        <v/>
      </c>
      <c r="AH221" s="7" t="str">
        <f>IF(VLOOKUP(A221,'20yPlan'!A:E,5,FALSE)="","",VLOOKUP(A221,'20yPlan'!A:E,5,FALSE))</f>
        <v/>
      </c>
      <c r="AI221" s="7" t="str">
        <f>IF(VLOOKUP(A221,'20yPlan'!A:F,6,FALSE)="","",VLOOKUP(A221,'20yPlan'!A:F,6,FALSE))</f>
        <v/>
      </c>
      <c r="AJ221" s="7" t="str">
        <f t="shared" si="35"/>
        <v>2042 Chip Seal</v>
      </c>
      <c r="AK221" s="7" t="str">
        <f t="shared" si="36"/>
        <v>2027 RPM Replacement</v>
      </c>
      <c r="AL221" s="39">
        <f t="shared" ca="1" si="37"/>
        <v>2025</v>
      </c>
      <c r="AM221" s="7">
        <f t="shared" si="38"/>
        <v>2027</v>
      </c>
      <c r="AN221" s="7" t="str">
        <f t="shared" si="39"/>
        <v>2027 RPM Replacement</v>
      </c>
    </row>
    <row r="222" spans="1:40">
      <c r="A222" s="6">
        <v>60232</v>
      </c>
      <c r="B222" s="6" t="s">
        <v>719</v>
      </c>
      <c r="C222" s="6" t="s">
        <v>760</v>
      </c>
      <c r="D222" s="6">
        <v>118.216213</v>
      </c>
      <c r="E222" s="6">
        <v>129.56152900000001</v>
      </c>
      <c r="F222" s="6" t="s">
        <v>761</v>
      </c>
      <c r="G222" s="6" t="s">
        <v>762</v>
      </c>
      <c r="H222" s="35">
        <v>194323</v>
      </c>
      <c r="I222" s="6" t="s">
        <v>195</v>
      </c>
      <c r="J222" s="6">
        <v>2</v>
      </c>
      <c r="K222" s="6">
        <v>2028</v>
      </c>
      <c r="L222" s="6">
        <v>2</v>
      </c>
      <c r="M222" s="6" t="s">
        <v>45</v>
      </c>
      <c r="N222" s="6" t="s">
        <v>250</v>
      </c>
      <c r="O222" s="6" t="s">
        <v>79</v>
      </c>
      <c r="P222" s="6" t="s">
        <v>92</v>
      </c>
      <c r="Q222" s="6" t="s">
        <v>418</v>
      </c>
      <c r="R222" s="35">
        <v>2652</v>
      </c>
      <c r="S222" s="6">
        <v>276</v>
      </c>
      <c r="T222" s="36" t="s">
        <v>253</v>
      </c>
      <c r="U222" s="46">
        <f>IF($L222&lt;=2,
IF($R222&lt;=RpmDesignStandard!$C$2,RpmDesignStandard!$D$2,
IF(AND($R222&gt;RpmDesignStandard!$B$3,$R222&lt;=RpmDesignStandard!$C$3),RpmDesignStandard!$D$3,RpmDesignStandard!$D$4)),
IF($R222&lt;=RpmDesignStandard!$C$5, RpmDesignStandard!$D$5,
IF(AND($R222&gt;RpmDesignStandard!$B$6,$R222&lt;=RpmDesignStandard!$C$6),RpmDesignStandard!$D$6,
IF(AND($R222&gt;RpmDesignStandard!$B$7,$R222&lt;=RpmDesignStandard!$C$7),RpmDesignStandard!$D$7,RpmDesignStandard!$D$8))))</f>
        <v>4</v>
      </c>
      <c r="V222" s="47">
        <f>U222*RpmDesignStandard!$H$1</f>
        <v>8</v>
      </c>
      <c r="W222" s="37">
        <f>VLOOKUP(A222,RPM_ProjectRecord!A:AB,8,FALSE)</f>
        <v>2021</v>
      </c>
      <c r="X222" s="38" t="str">
        <f t="shared" si="30"/>
        <v/>
      </c>
      <c r="Y222" s="38" t="str">
        <f t="shared" si="31"/>
        <v/>
      </c>
      <c r="Z222" s="38" t="str">
        <f t="shared" si="32"/>
        <v/>
      </c>
      <c r="AA222" s="38" t="str">
        <f t="shared" si="33"/>
        <v/>
      </c>
      <c r="AB222" s="38" t="str">
        <f t="shared" si="34"/>
        <v/>
      </c>
      <c r="AC222" s="38">
        <f>IF(VLOOKUP(A222,'3rdPhaseChipSeal'!A:L,12,FALSE)="","",VLOOKUP(A222,'3rdPhaseChipSeal'!A:L,12,FALSE))</f>
        <v>2042</v>
      </c>
      <c r="AD222" s="38" t="str">
        <f>IFERROR(IF(VLOOKUP(A222,RpmContracts!A:C,3,FALSE)="","",VLOOKUP(A222,RpmContracts!A:C,3,FALSE)),"")</f>
        <v/>
      </c>
      <c r="AE222" s="7" t="str">
        <f>IF(VLOOKUP(A222,'20yPlan'!A:B,2,FALSE)="","",VLOOKUP(A222,'20yPlan'!A:B,2,FALSE))</f>
        <v/>
      </c>
      <c r="AF222" s="7" t="str">
        <f>IF(VLOOKUP(A222,'20yPlan'!A:C,3,FALSE)="","",VLOOKUP(A222,'20yPlan'!A:C,3,FALSE))</f>
        <v/>
      </c>
      <c r="AG222" s="7" t="str">
        <f>IF(VLOOKUP(A222,'20yPlan'!A:D,4,FALSE)="","",VLOOKUP(A222,'20yPlan'!A:D,4,FALSE))</f>
        <v/>
      </c>
      <c r="AH222" s="7" t="str">
        <f>IF(VLOOKUP(A222,'20yPlan'!A:E,5,FALSE)="","",VLOOKUP(A222,'20yPlan'!A:E,5,FALSE))</f>
        <v/>
      </c>
      <c r="AI222" s="7" t="str">
        <f>IF(VLOOKUP(A222,'20yPlan'!A:F,6,FALSE)="","",VLOOKUP(A222,'20yPlan'!A:F,6,FALSE))</f>
        <v/>
      </c>
      <c r="AJ222" s="7" t="str">
        <f t="shared" si="35"/>
        <v>2042 Chip Seal</v>
      </c>
      <c r="AK222" s="7" t="str">
        <f t="shared" si="36"/>
        <v/>
      </c>
      <c r="AL222" s="39">
        <f t="shared" ca="1" si="37"/>
        <v>2025</v>
      </c>
      <c r="AM222" s="7" t="str">
        <f t="shared" si="38"/>
        <v/>
      </c>
      <c r="AN222" s="7" t="str">
        <f t="shared" si="39"/>
        <v/>
      </c>
    </row>
    <row r="223" spans="1:40">
      <c r="A223" s="6">
        <v>60233</v>
      </c>
      <c r="B223" s="6" t="s">
        <v>719</v>
      </c>
      <c r="C223" s="6" t="s">
        <v>763</v>
      </c>
      <c r="D223" s="6">
        <v>129.56152900000001</v>
      </c>
      <c r="E223" s="6">
        <v>130.49461700000001</v>
      </c>
      <c r="F223" s="6" t="s">
        <v>762</v>
      </c>
      <c r="G223" s="6" t="s">
        <v>764</v>
      </c>
      <c r="H223" s="35">
        <v>17047</v>
      </c>
      <c r="I223" s="6" t="s">
        <v>195</v>
      </c>
      <c r="J223" s="6">
        <v>1</v>
      </c>
      <c r="K223" s="6">
        <v>2031</v>
      </c>
      <c r="L223" s="6">
        <v>2</v>
      </c>
      <c r="M223" s="6" t="s">
        <v>45</v>
      </c>
      <c r="N223" s="6" t="s">
        <v>250</v>
      </c>
      <c r="O223" s="6" t="s">
        <v>215</v>
      </c>
      <c r="P223" s="6" t="s">
        <v>694</v>
      </c>
      <c r="Q223" s="6" t="s">
        <v>418</v>
      </c>
      <c r="R223" s="35">
        <v>3593</v>
      </c>
      <c r="S223" s="6">
        <v>219</v>
      </c>
      <c r="T223" s="36" t="s">
        <v>253</v>
      </c>
      <c r="U223" s="46">
        <f>IF($L223&lt;=2,
IF($R223&lt;=RpmDesignStandard!$C$2,RpmDesignStandard!$D$2,
IF(AND($R223&gt;RpmDesignStandard!$B$3,$R223&lt;=RpmDesignStandard!$C$3),RpmDesignStandard!$D$3,RpmDesignStandard!$D$4)),
IF($R223&lt;=RpmDesignStandard!$C$5, RpmDesignStandard!$D$5,
IF(AND($R223&gt;RpmDesignStandard!$B$6,$R223&lt;=RpmDesignStandard!$C$6),RpmDesignStandard!$D$6,
IF(AND($R223&gt;RpmDesignStandard!$B$7,$R223&lt;=RpmDesignStandard!$C$7),RpmDesignStandard!$D$7,RpmDesignStandard!$D$8))))</f>
        <v>4</v>
      </c>
      <c r="V223" s="47">
        <f>U223*RpmDesignStandard!$H$1</f>
        <v>8</v>
      </c>
      <c r="W223" s="37">
        <f>VLOOKUP(A223,RPM_ProjectRecord!A:AB,8,FALSE)</f>
        <v>2022</v>
      </c>
      <c r="X223" s="38" t="str">
        <f t="shared" si="30"/>
        <v/>
      </c>
      <c r="Y223" s="38" t="str">
        <f t="shared" si="31"/>
        <v/>
      </c>
      <c r="Z223" s="38" t="str">
        <f t="shared" si="32"/>
        <v/>
      </c>
      <c r="AA223" s="38" t="str">
        <f t="shared" si="33"/>
        <v/>
      </c>
      <c r="AB223" s="38" t="str">
        <f t="shared" si="34"/>
        <v/>
      </c>
      <c r="AC223" s="38">
        <f>IF(VLOOKUP(A223,'3rdPhaseChipSeal'!A:L,12,FALSE)="","",VLOOKUP(A223,'3rdPhaseChipSeal'!A:L,12,FALSE))</f>
        <v>2044</v>
      </c>
      <c r="AD223" s="38" t="str">
        <f>IFERROR(IF(VLOOKUP(A223,RpmContracts!A:C,3,FALSE)="","",VLOOKUP(A223,RpmContracts!A:C,3,FALSE)),"")</f>
        <v/>
      </c>
      <c r="AE223" s="7" t="str">
        <f>IF(VLOOKUP(A223,'20yPlan'!A:B,2,FALSE)="","",VLOOKUP(A223,'20yPlan'!A:B,2,FALSE))</f>
        <v/>
      </c>
      <c r="AF223" s="7" t="str">
        <f>IF(VLOOKUP(A223,'20yPlan'!A:C,3,FALSE)="","",VLOOKUP(A223,'20yPlan'!A:C,3,FALSE))</f>
        <v/>
      </c>
      <c r="AG223" s="7" t="str">
        <f>IF(VLOOKUP(A223,'20yPlan'!A:D,4,FALSE)="","",VLOOKUP(A223,'20yPlan'!A:D,4,FALSE))</f>
        <v/>
      </c>
      <c r="AH223" s="7" t="str">
        <f>IF(VLOOKUP(A223,'20yPlan'!A:E,5,FALSE)="","",VLOOKUP(A223,'20yPlan'!A:E,5,FALSE))</f>
        <v/>
      </c>
      <c r="AI223" s="7" t="str">
        <f>IF(VLOOKUP(A223,'20yPlan'!A:F,6,FALSE)="","",VLOOKUP(A223,'20yPlan'!A:F,6,FALSE))</f>
        <v/>
      </c>
      <c r="AJ223" s="7" t="str">
        <f t="shared" si="35"/>
        <v>2044 Chip Seal</v>
      </c>
      <c r="AK223" s="7" t="str">
        <f t="shared" si="36"/>
        <v/>
      </c>
      <c r="AL223" s="39">
        <f t="shared" ca="1" si="37"/>
        <v>2026</v>
      </c>
      <c r="AM223" s="7" t="str">
        <f t="shared" si="38"/>
        <v/>
      </c>
      <c r="AN223" s="7" t="str">
        <f t="shared" si="39"/>
        <v/>
      </c>
    </row>
    <row r="224" spans="1:40">
      <c r="A224" s="6">
        <v>60234</v>
      </c>
      <c r="B224" s="6" t="s">
        <v>719</v>
      </c>
      <c r="C224" s="6" t="s">
        <v>765</v>
      </c>
      <c r="D224" s="6">
        <v>130.49561700000001</v>
      </c>
      <c r="E224" s="6">
        <v>137.55767299999999</v>
      </c>
      <c r="F224" s="6" t="s">
        <v>766</v>
      </c>
      <c r="G224" s="6" t="s">
        <v>767</v>
      </c>
      <c r="H224" s="35">
        <v>106772</v>
      </c>
      <c r="I224" s="6" t="s">
        <v>195</v>
      </c>
      <c r="J224" s="6">
        <v>2</v>
      </c>
      <c r="K224" s="6">
        <v>2030</v>
      </c>
      <c r="L224" s="6">
        <v>2</v>
      </c>
      <c r="M224" s="6" t="s">
        <v>45</v>
      </c>
      <c r="N224" s="6" t="s">
        <v>250</v>
      </c>
      <c r="O224" s="6" t="s">
        <v>196</v>
      </c>
      <c r="P224" s="6" t="s">
        <v>251</v>
      </c>
      <c r="Q224" s="6" t="s">
        <v>768</v>
      </c>
      <c r="R224" s="6">
        <v>727</v>
      </c>
      <c r="S224" s="6">
        <v>51</v>
      </c>
      <c r="T224" s="36" t="s">
        <v>253</v>
      </c>
      <c r="U224" s="46">
        <f>IF($L224&lt;=2,
IF($R224&lt;=RpmDesignStandard!$C$2,RpmDesignStandard!$D$2,
IF(AND($R224&gt;RpmDesignStandard!$B$3,$R224&lt;=RpmDesignStandard!$C$3),RpmDesignStandard!$D$3,RpmDesignStandard!$D$4)),
IF($R224&lt;=RpmDesignStandard!$C$5, RpmDesignStandard!$D$5,
IF(AND($R224&gt;RpmDesignStandard!$B$6,$R224&lt;=RpmDesignStandard!$C$6),RpmDesignStandard!$D$6,
IF(AND($R224&gt;RpmDesignStandard!$B$7,$R224&lt;=RpmDesignStandard!$C$7),RpmDesignStandard!$D$7,RpmDesignStandard!$D$8))))</f>
        <v>4</v>
      </c>
      <c r="V224" s="47">
        <f>U224*RpmDesignStandard!$H$1</f>
        <v>8</v>
      </c>
      <c r="W224" s="37">
        <f>VLOOKUP(A224,RPM_ProjectRecord!A:AB,8,FALSE)</f>
        <v>2021</v>
      </c>
      <c r="X224" s="38" t="str">
        <f t="shared" si="30"/>
        <v/>
      </c>
      <c r="Y224" s="38" t="str">
        <f t="shared" si="31"/>
        <v/>
      </c>
      <c r="Z224" s="38" t="str">
        <f t="shared" si="32"/>
        <v/>
      </c>
      <c r="AA224" s="38" t="str">
        <f t="shared" si="33"/>
        <v/>
      </c>
      <c r="AB224" s="38" t="str">
        <f t="shared" si="34"/>
        <v/>
      </c>
      <c r="AC224" s="38">
        <f>IF(VLOOKUP(A224,'3rdPhaseChipSeal'!A:L,12,FALSE)="","",VLOOKUP(A224,'3rdPhaseChipSeal'!A:L,12,FALSE))</f>
        <v>2044</v>
      </c>
      <c r="AD224" s="38" t="str">
        <f>IFERROR(IF(VLOOKUP(A224,RpmContracts!A:C,3,FALSE)="","",VLOOKUP(A224,RpmContracts!A:C,3,FALSE)),"")</f>
        <v/>
      </c>
      <c r="AE224" s="7" t="str">
        <f>IF(VLOOKUP(A224,'20yPlan'!A:B,2,FALSE)="","",VLOOKUP(A224,'20yPlan'!A:B,2,FALSE))</f>
        <v/>
      </c>
      <c r="AF224" s="7" t="str">
        <f>IF(VLOOKUP(A224,'20yPlan'!A:C,3,FALSE)="","",VLOOKUP(A224,'20yPlan'!A:C,3,FALSE))</f>
        <v/>
      </c>
      <c r="AG224" s="7" t="str">
        <f>IF(VLOOKUP(A224,'20yPlan'!A:D,4,FALSE)="","",VLOOKUP(A224,'20yPlan'!A:D,4,FALSE))</f>
        <v/>
      </c>
      <c r="AH224" s="7" t="str">
        <f>IF(VLOOKUP(A224,'20yPlan'!A:E,5,FALSE)="","",VLOOKUP(A224,'20yPlan'!A:E,5,FALSE))</f>
        <v/>
      </c>
      <c r="AI224" s="7" t="str">
        <f>IF(VLOOKUP(A224,'20yPlan'!A:F,6,FALSE)="","",VLOOKUP(A224,'20yPlan'!A:F,6,FALSE))</f>
        <v/>
      </c>
      <c r="AJ224" s="7" t="str">
        <f t="shared" si="35"/>
        <v>2044 Chip Seal</v>
      </c>
      <c r="AK224" s="7" t="str">
        <f t="shared" si="36"/>
        <v/>
      </c>
      <c r="AL224" s="39">
        <f t="shared" ca="1" si="37"/>
        <v>2025</v>
      </c>
      <c r="AM224" s="7" t="str">
        <f t="shared" si="38"/>
        <v/>
      </c>
      <c r="AN224" s="7" t="str">
        <f t="shared" si="39"/>
        <v/>
      </c>
    </row>
    <row r="225" spans="1:40">
      <c r="A225" s="6">
        <v>60235</v>
      </c>
      <c r="B225" s="6" t="s">
        <v>769</v>
      </c>
      <c r="C225" s="6" t="s">
        <v>770</v>
      </c>
      <c r="D225" s="6">
        <v>0</v>
      </c>
      <c r="E225" s="6">
        <v>1.556711</v>
      </c>
      <c r="F225" s="6" t="s">
        <v>53</v>
      </c>
      <c r="G225" s="6" t="s">
        <v>771</v>
      </c>
      <c r="H225" s="35">
        <v>43375</v>
      </c>
      <c r="I225" s="6" t="s">
        <v>141</v>
      </c>
      <c r="J225" s="6">
        <v>3</v>
      </c>
      <c r="K225" s="6"/>
      <c r="L225" s="6">
        <v>4</v>
      </c>
      <c r="M225" s="6" t="s">
        <v>45</v>
      </c>
      <c r="N225" s="6" t="s">
        <v>250</v>
      </c>
      <c r="O225" s="6" t="s">
        <v>61</v>
      </c>
      <c r="P225" s="6" t="s">
        <v>112</v>
      </c>
      <c r="Q225" s="6" t="s">
        <v>382</v>
      </c>
      <c r="R225" s="35">
        <v>12853</v>
      </c>
      <c r="S225" s="6">
        <v>767</v>
      </c>
      <c r="T225" s="36" t="s">
        <v>50</v>
      </c>
      <c r="U225" s="46">
        <f>IF($L225&lt;=2,
IF($R225&lt;=RpmDesignStandard!$C$2,RpmDesignStandard!$D$2,
IF(AND($R225&gt;RpmDesignStandard!$B$3,$R225&lt;=RpmDesignStandard!$C$3),RpmDesignStandard!$D$3,RpmDesignStandard!$D$4)),
IF($R225&lt;=RpmDesignStandard!$C$5, RpmDesignStandard!$D$5,
IF(AND($R225&gt;RpmDesignStandard!$B$6,$R225&lt;=RpmDesignStandard!$C$6),RpmDesignStandard!$D$6,
IF(AND($R225&gt;RpmDesignStandard!$B$7,$R225&lt;=RpmDesignStandard!$C$7),RpmDesignStandard!$D$7,RpmDesignStandard!$D$8))))</f>
        <v>3</v>
      </c>
      <c r="V225" s="47">
        <f>U225*RpmDesignStandard!$H$1</f>
        <v>6</v>
      </c>
      <c r="W225" s="37" t="str">
        <f>VLOOKUP(A225,RPM_ProjectRecord!A:AB,8,FALSE)</f>
        <v/>
      </c>
      <c r="X225" s="38" t="str">
        <f t="shared" si="30"/>
        <v/>
      </c>
      <c r="Y225" s="38" t="str">
        <f t="shared" si="31"/>
        <v/>
      </c>
      <c r="Z225" s="38" t="str">
        <f t="shared" si="32"/>
        <v/>
      </c>
      <c r="AA225" s="38" t="str">
        <f t="shared" si="33"/>
        <v/>
      </c>
      <c r="AB225" s="38" t="str">
        <f t="shared" si="34"/>
        <v/>
      </c>
      <c r="AC225" s="38" t="str">
        <f>IF(VLOOKUP(A225,'3rdPhaseChipSeal'!A:L,12,FALSE)="","",VLOOKUP(A225,'3rdPhaseChipSeal'!A:L,12,FALSE))</f>
        <v/>
      </c>
      <c r="AD225" s="38" t="str">
        <f>IFERROR(IF(VLOOKUP(A225,RpmContracts!A:C,3,FALSE)="","",VLOOKUP(A225,RpmContracts!A:C,3,FALSE)),"")</f>
        <v/>
      </c>
      <c r="AE225" s="7" t="str">
        <f>IF(VLOOKUP(A225,'20yPlan'!A:B,2,FALSE)="","",VLOOKUP(A225,'20yPlan'!A:B,2,FALSE))</f>
        <v/>
      </c>
      <c r="AF225" s="7" t="str">
        <f>IF(VLOOKUP(A225,'20yPlan'!A:C,3,FALSE)="","",VLOOKUP(A225,'20yPlan'!A:C,3,FALSE))</f>
        <v/>
      </c>
      <c r="AG225" s="7" t="str">
        <f>IF(VLOOKUP(A225,'20yPlan'!A:D,4,FALSE)="","",VLOOKUP(A225,'20yPlan'!A:D,4,FALSE))</f>
        <v/>
      </c>
      <c r="AH225" s="7" t="str">
        <f>IF(VLOOKUP(A225,'20yPlan'!A:E,5,FALSE)="","",VLOOKUP(A225,'20yPlan'!A:E,5,FALSE))</f>
        <v/>
      </c>
      <c r="AI225" s="7" t="str">
        <f>IF(VLOOKUP(A225,'20yPlan'!A:F,6,FALSE)="","",VLOOKUP(A225,'20yPlan'!A:F,6,FALSE))</f>
        <v/>
      </c>
      <c r="AJ225" s="7" t="str">
        <f t="shared" si="35"/>
        <v/>
      </c>
      <c r="AK225" s="7" t="str">
        <f t="shared" si="36"/>
        <v/>
      </c>
      <c r="AL225" s="39">
        <f t="shared" ca="1" si="37"/>
        <v>2025</v>
      </c>
      <c r="AM225" s="7" t="str">
        <f t="shared" si="38"/>
        <v/>
      </c>
      <c r="AN225" s="7" t="str">
        <f t="shared" si="39"/>
        <v/>
      </c>
    </row>
    <row r="226" spans="1:40">
      <c r="A226" s="6">
        <v>60236</v>
      </c>
      <c r="B226" s="6" t="s">
        <v>772</v>
      </c>
      <c r="C226" s="6" t="s">
        <v>773</v>
      </c>
      <c r="D226" s="6">
        <v>0</v>
      </c>
      <c r="E226" s="6">
        <v>5.5090380000000003</v>
      </c>
      <c r="F226" s="6" t="s">
        <v>53</v>
      </c>
      <c r="G226" s="6" t="s">
        <v>774</v>
      </c>
      <c r="H226" s="35">
        <v>165224</v>
      </c>
      <c r="I226" s="6" t="s">
        <v>44</v>
      </c>
      <c r="J226" s="6">
        <v>22</v>
      </c>
      <c r="K226" s="6"/>
      <c r="L226" s="6">
        <v>2</v>
      </c>
      <c r="M226" s="6" t="s">
        <v>45</v>
      </c>
      <c r="N226" s="6" t="s">
        <v>250</v>
      </c>
      <c r="O226" s="6" t="s">
        <v>130</v>
      </c>
      <c r="P226" s="6" t="s">
        <v>161</v>
      </c>
      <c r="Q226" s="6" t="s">
        <v>162</v>
      </c>
      <c r="R226" s="35">
        <v>6964</v>
      </c>
      <c r="S226" s="6">
        <v>702</v>
      </c>
      <c r="T226" s="36" t="s">
        <v>50</v>
      </c>
      <c r="U226" s="46">
        <f>IF($L226&lt;=2,
IF($R226&lt;=RpmDesignStandard!$C$2,RpmDesignStandard!$D$2,
IF(AND($R226&gt;RpmDesignStandard!$B$3,$R226&lt;=RpmDesignStandard!$C$3),RpmDesignStandard!$D$3,RpmDesignStandard!$D$4)),
IF($R226&lt;=RpmDesignStandard!$C$5, RpmDesignStandard!$D$5,
IF(AND($R226&gt;RpmDesignStandard!$B$6,$R226&lt;=RpmDesignStandard!$C$6),RpmDesignStandard!$D$6,
IF(AND($R226&gt;RpmDesignStandard!$B$7,$R226&lt;=RpmDesignStandard!$C$7),RpmDesignStandard!$D$7,RpmDesignStandard!$D$8))))</f>
        <v>3</v>
      </c>
      <c r="V226" s="47">
        <f>U226*RpmDesignStandard!$H$1</f>
        <v>6</v>
      </c>
      <c r="W226" s="37">
        <f>VLOOKUP(A226,RPM_ProjectRecord!A:AB,8,FALSE)</f>
        <v>2024</v>
      </c>
      <c r="X226" s="38" t="str">
        <f t="shared" si="30"/>
        <v/>
      </c>
      <c r="Y226" s="38" t="str">
        <f t="shared" si="31"/>
        <v/>
      </c>
      <c r="Z226" s="38" t="str">
        <f t="shared" si="32"/>
        <v/>
      </c>
      <c r="AA226" s="38" t="str">
        <f t="shared" si="33"/>
        <v/>
      </c>
      <c r="AB226" s="38" t="str">
        <f t="shared" si="34"/>
        <v/>
      </c>
      <c r="AC226" s="38" t="str">
        <f>IF(VLOOKUP(A226,'3rdPhaseChipSeal'!A:L,12,FALSE)="","",VLOOKUP(A226,'3rdPhaseChipSeal'!A:L,12,FALSE))</f>
        <v/>
      </c>
      <c r="AD226" s="38" t="str">
        <f>IFERROR(IF(VLOOKUP(A226,RpmContracts!A:C,3,FALSE)="","",VLOOKUP(A226,RpmContracts!A:C,3,FALSE)),"")</f>
        <v/>
      </c>
      <c r="AE226" s="7" t="str">
        <f>IF(VLOOKUP(A226,'20yPlan'!A:B,2,FALSE)="","",VLOOKUP(A226,'20yPlan'!A:B,2,FALSE))</f>
        <v/>
      </c>
      <c r="AF226" s="7" t="str">
        <f>IF(VLOOKUP(A226,'20yPlan'!A:C,3,FALSE)="","",VLOOKUP(A226,'20yPlan'!A:C,3,FALSE))</f>
        <v/>
      </c>
      <c r="AG226" s="7" t="str">
        <f>IF(VLOOKUP(A226,'20yPlan'!A:D,4,FALSE)="","",VLOOKUP(A226,'20yPlan'!A:D,4,FALSE))</f>
        <v/>
      </c>
      <c r="AH226" s="7" t="str">
        <f>IF(VLOOKUP(A226,'20yPlan'!A:E,5,FALSE)="","",VLOOKUP(A226,'20yPlan'!A:E,5,FALSE))</f>
        <v/>
      </c>
      <c r="AI226" s="7" t="str">
        <f>IF(VLOOKUP(A226,'20yPlan'!A:F,6,FALSE)="","",VLOOKUP(A226,'20yPlan'!A:F,6,FALSE))</f>
        <v/>
      </c>
      <c r="AJ226" s="7" t="str">
        <f t="shared" si="35"/>
        <v/>
      </c>
      <c r="AK226" s="7" t="str">
        <f t="shared" si="36"/>
        <v/>
      </c>
      <c r="AL226" s="39">
        <f t="shared" ca="1" si="37"/>
        <v>2027</v>
      </c>
      <c r="AM226" s="7" t="str">
        <f t="shared" si="38"/>
        <v/>
      </c>
      <c r="AN226" s="7" t="str">
        <f t="shared" si="39"/>
        <v/>
      </c>
    </row>
    <row r="227" spans="1:40">
      <c r="A227" s="6">
        <v>60237</v>
      </c>
      <c r="B227" s="6" t="s">
        <v>772</v>
      </c>
      <c r="C227" s="6" t="s">
        <v>775</v>
      </c>
      <c r="D227" s="6">
        <v>5.5090380000000003</v>
      </c>
      <c r="E227" s="6">
        <v>10.512181</v>
      </c>
      <c r="F227" s="6" t="s">
        <v>774</v>
      </c>
      <c r="G227" s="6" t="s">
        <v>776</v>
      </c>
      <c r="H227" s="35">
        <v>135688</v>
      </c>
      <c r="I227" s="6" t="s">
        <v>44</v>
      </c>
      <c r="J227" s="6">
        <v>7</v>
      </c>
      <c r="K227" s="6"/>
      <c r="L227" s="6">
        <v>2</v>
      </c>
      <c r="M227" s="6" t="s">
        <v>45</v>
      </c>
      <c r="N227" s="6" t="s">
        <v>250</v>
      </c>
      <c r="O227" s="6" t="s">
        <v>130</v>
      </c>
      <c r="P227" s="6" t="s">
        <v>161</v>
      </c>
      <c r="Q227" s="6" t="s">
        <v>162</v>
      </c>
      <c r="R227" s="35">
        <v>6573</v>
      </c>
      <c r="S227" s="6">
        <v>959</v>
      </c>
      <c r="T227" s="36" t="s">
        <v>50</v>
      </c>
      <c r="U227" s="46">
        <f>IF($L227&lt;=2,
IF($R227&lt;=RpmDesignStandard!$C$2,RpmDesignStandard!$D$2,
IF(AND($R227&gt;RpmDesignStandard!$B$3,$R227&lt;=RpmDesignStandard!$C$3),RpmDesignStandard!$D$3,RpmDesignStandard!$D$4)),
IF($R227&lt;=RpmDesignStandard!$C$5, RpmDesignStandard!$D$5,
IF(AND($R227&gt;RpmDesignStandard!$B$6,$R227&lt;=RpmDesignStandard!$C$6),RpmDesignStandard!$D$6,
IF(AND($R227&gt;RpmDesignStandard!$B$7,$R227&lt;=RpmDesignStandard!$C$7),RpmDesignStandard!$D$7,RpmDesignStandard!$D$8))))</f>
        <v>3</v>
      </c>
      <c r="V227" s="47">
        <f>U227*RpmDesignStandard!$H$1</f>
        <v>6</v>
      </c>
      <c r="W227" s="37" t="str">
        <f>VLOOKUP(A227,RPM_ProjectRecord!A:AB,8,FALSE)</f>
        <v/>
      </c>
      <c r="X227" s="38" t="str">
        <f t="shared" si="30"/>
        <v/>
      </c>
      <c r="Y227" s="38" t="str">
        <f t="shared" si="31"/>
        <v/>
      </c>
      <c r="Z227" s="38" t="str">
        <f t="shared" si="32"/>
        <v/>
      </c>
      <c r="AA227" s="38" t="str">
        <f t="shared" si="33"/>
        <v/>
      </c>
      <c r="AB227" s="38" t="str">
        <f t="shared" si="34"/>
        <v/>
      </c>
      <c r="AC227" s="38" t="str">
        <f>IF(VLOOKUP(A227,'3rdPhaseChipSeal'!A:L,12,FALSE)="","",VLOOKUP(A227,'3rdPhaseChipSeal'!A:L,12,FALSE))</f>
        <v/>
      </c>
      <c r="AD227" s="38">
        <f>IFERROR(IF(VLOOKUP(A227,RpmContracts!A:C,3,FALSE)="","",VLOOKUP(A227,RpmContracts!A:C,3,FALSE)),"")</f>
        <v>2026</v>
      </c>
      <c r="AE227" s="7" t="str">
        <f>IF(VLOOKUP(A227,'20yPlan'!A:B,2,FALSE)="","",VLOOKUP(A227,'20yPlan'!A:B,2,FALSE))</f>
        <v/>
      </c>
      <c r="AF227" s="7" t="str">
        <f>IF(VLOOKUP(A227,'20yPlan'!A:C,3,FALSE)="","",VLOOKUP(A227,'20yPlan'!A:C,3,FALSE))</f>
        <v/>
      </c>
      <c r="AG227" s="7" t="str">
        <f>IF(VLOOKUP(A227,'20yPlan'!A:D,4,FALSE)="","",VLOOKUP(A227,'20yPlan'!A:D,4,FALSE))</f>
        <v/>
      </c>
      <c r="AH227" s="7" t="str">
        <f>IF(VLOOKUP(A227,'20yPlan'!A:E,5,FALSE)="","",VLOOKUP(A227,'20yPlan'!A:E,5,FALSE))</f>
        <v/>
      </c>
      <c r="AI227" s="7" t="str">
        <f>IF(VLOOKUP(A227,'20yPlan'!A:F,6,FALSE)="","",VLOOKUP(A227,'20yPlan'!A:F,6,FALSE))</f>
        <v/>
      </c>
      <c r="AJ227" s="7" t="str">
        <f t="shared" si="35"/>
        <v/>
      </c>
      <c r="AK227" s="7" t="str">
        <f t="shared" si="36"/>
        <v>2026 RPM Replacement</v>
      </c>
      <c r="AL227" s="39">
        <f t="shared" ca="1" si="37"/>
        <v>2025</v>
      </c>
      <c r="AM227" s="7">
        <f t="shared" si="38"/>
        <v>2026</v>
      </c>
      <c r="AN227" s="7" t="str">
        <f t="shared" si="39"/>
        <v>2026 RPM Replacement</v>
      </c>
    </row>
    <row r="228" spans="1:40">
      <c r="A228" s="6">
        <v>60238</v>
      </c>
      <c r="B228" s="6" t="s">
        <v>772</v>
      </c>
      <c r="C228" s="6" t="s">
        <v>777</v>
      </c>
      <c r="D228" s="6">
        <v>11.711701</v>
      </c>
      <c r="E228" s="6">
        <v>14.930120000000001</v>
      </c>
      <c r="F228" s="6" t="s">
        <v>778</v>
      </c>
      <c r="G228" s="6" t="s">
        <v>779</v>
      </c>
      <c r="H228" s="35">
        <v>54974</v>
      </c>
      <c r="I228" s="6" t="s">
        <v>195</v>
      </c>
      <c r="J228" s="6">
        <v>16</v>
      </c>
      <c r="K228" s="6">
        <v>2030</v>
      </c>
      <c r="L228" s="6">
        <v>2</v>
      </c>
      <c r="M228" s="6" t="s">
        <v>45</v>
      </c>
      <c r="N228" s="6" t="s">
        <v>250</v>
      </c>
      <c r="O228" s="6" t="s">
        <v>130</v>
      </c>
      <c r="P228" s="6" t="s">
        <v>780</v>
      </c>
      <c r="Q228" s="6" t="s">
        <v>132</v>
      </c>
      <c r="R228" s="35">
        <v>3848</v>
      </c>
      <c r="S228" s="6">
        <v>560</v>
      </c>
      <c r="T228" s="36" t="s">
        <v>253</v>
      </c>
      <c r="U228" s="46">
        <f>IF($L228&lt;=2,
IF($R228&lt;=RpmDesignStandard!$C$2,RpmDesignStandard!$D$2,
IF(AND($R228&gt;RpmDesignStandard!$B$3,$R228&lt;=RpmDesignStandard!$C$3),RpmDesignStandard!$D$3,RpmDesignStandard!$D$4)),
IF($R228&lt;=RpmDesignStandard!$C$5, RpmDesignStandard!$D$5,
IF(AND($R228&gt;RpmDesignStandard!$B$6,$R228&lt;=RpmDesignStandard!$C$6),RpmDesignStandard!$D$6,
IF(AND($R228&gt;RpmDesignStandard!$B$7,$R228&lt;=RpmDesignStandard!$C$7),RpmDesignStandard!$D$7,RpmDesignStandard!$D$8))))</f>
        <v>4</v>
      </c>
      <c r="V228" s="47">
        <f>U228*RpmDesignStandard!$H$1</f>
        <v>8</v>
      </c>
      <c r="W228" s="37" t="str">
        <f>VLOOKUP(A228,RPM_ProjectRecord!A:AB,8,FALSE)</f>
        <v/>
      </c>
      <c r="X228" s="38" t="str">
        <f t="shared" si="30"/>
        <v/>
      </c>
      <c r="Y228" s="38" t="str">
        <f t="shared" si="31"/>
        <v/>
      </c>
      <c r="Z228" s="38" t="str">
        <f t="shared" si="32"/>
        <v/>
      </c>
      <c r="AA228" s="38" t="str">
        <f t="shared" si="33"/>
        <v/>
      </c>
      <c r="AB228" s="38" t="str">
        <f t="shared" si="34"/>
        <v/>
      </c>
      <c r="AC228" s="38">
        <f>IF(VLOOKUP(A228,'3rdPhaseChipSeal'!A:L,12,FALSE)="","",VLOOKUP(A228,'3rdPhaseChipSeal'!A:L,12,FALSE))</f>
        <v>2030</v>
      </c>
      <c r="AD228" s="38" t="str">
        <f>IFERROR(IF(VLOOKUP(A228,RpmContracts!A:C,3,FALSE)="","",VLOOKUP(A228,RpmContracts!A:C,3,FALSE)),"")</f>
        <v/>
      </c>
      <c r="AE228" s="7" t="str">
        <f>IF(VLOOKUP(A228,'20yPlan'!A:B,2,FALSE)="","",VLOOKUP(A228,'20yPlan'!A:B,2,FALSE))</f>
        <v/>
      </c>
      <c r="AF228" s="7" t="str">
        <f>IF(VLOOKUP(A228,'20yPlan'!A:C,3,FALSE)="","",VLOOKUP(A228,'20yPlan'!A:C,3,FALSE))</f>
        <v/>
      </c>
      <c r="AG228" s="7" t="str">
        <f>IF(VLOOKUP(A228,'20yPlan'!A:D,4,FALSE)="","",VLOOKUP(A228,'20yPlan'!A:D,4,FALSE))</f>
        <v/>
      </c>
      <c r="AH228" s="7" t="str">
        <f>IF(VLOOKUP(A228,'20yPlan'!A:E,5,FALSE)="","",VLOOKUP(A228,'20yPlan'!A:E,5,FALSE))</f>
        <v/>
      </c>
      <c r="AI228" s="7" t="str">
        <f>IF(VLOOKUP(A228,'20yPlan'!A:F,6,FALSE)="","",VLOOKUP(A228,'20yPlan'!A:F,6,FALSE))</f>
        <v/>
      </c>
      <c r="AJ228" s="7" t="str">
        <f t="shared" si="35"/>
        <v>2030 Chip Seal</v>
      </c>
      <c r="AK228" s="7" t="str">
        <f t="shared" si="36"/>
        <v/>
      </c>
      <c r="AL228" s="39">
        <f t="shared" ca="1" si="37"/>
        <v>2025</v>
      </c>
      <c r="AM228" s="7" t="str">
        <f t="shared" si="38"/>
        <v/>
      </c>
      <c r="AN228" s="7" t="str">
        <f t="shared" si="39"/>
        <v/>
      </c>
    </row>
    <row r="229" spans="1:40">
      <c r="A229" s="6">
        <v>60239</v>
      </c>
      <c r="B229" s="6" t="s">
        <v>772</v>
      </c>
      <c r="C229" s="6" t="s">
        <v>781</v>
      </c>
      <c r="D229" s="6">
        <v>15.530549000000001</v>
      </c>
      <c r="E229" s="6">
        <v>19.063047999999998</v>
      </c>
      <c r="F229" s="6" t="s">
        <v>782</v>
      </c>
      <c r="G229" s="6" t="s">
        <v>783</v>
      </c>
      <c r="H229" s="35">
        <v>56122</v>
      </c>
      <c r="I229" s="6" t="s">
        <v>195</v>
      </c>
      <c r="J229" s="6">
        <v>16</v>
      </c>
      <c r="K229" s="6">
        <v>2030</v>
      </c>
      <c r="L229" s="6">
        <v>2</v>
      </c>
      <c r="M229" s="6" t="s">
        <v>45</v>
      </c>
      <c r="N229" s="6" t="s">
        <v>250</v>
      </c>
      <c r="O229" s="6" t="s">
        <v>130</v>
      </c>
      <c r="P229" s="6" t="s">
        <v>135</v>
      </c>
      <c r="Q229" s="6" t="s">
        <v>132</v>
      </c>
      <c r="R229" s="35">
        <v>1929</v>
      </c>
      <c r="S229" s="6">
        <v>321</v>
      </c>
      <c r="T229" s="36" t="s">
        <v>253</v>
      </c>
      <c r="U229" s="46">
        <f>IF($L229&lt;=2,
IF($R229&lt;=RpmDesignStandard!$C$2,RpmDesignStandard!$D$2,
IF(AND($R229&gt;RpmDesignStandard!$B$3,$R229&lt;=RpmDesignStandard!$C$3),RpmDesignStandard!$D$3,RpmDesignStandard!$D$4)),
IF($R229&lt;=RpmDesignStandard!$C$5, RpmDesignStandard!$D$5,
IF(AND($R229&gt;RpmDesignStandard!$B$6,$R229&lt;=RpmDesignStandard!$C$6),RpmDesignStandard!$D$6,
IF(AND($R229&gt;RpmDesignStandard!$B$7,$R229&lt;=RpmDesignStandard!$C$7),RpmDesignStandard!$D$7,RpmDesignStandard!$D$8))))</f>
        <v>4</v>
      </c>
      <c r="V229" s="47">
        <f>U229*RpmDesignStandard!$H$1</f>
        <v>8</v>
      </c>
      <c r="W229" s="37" t="str">
        <f>VLOOKUP(A229,RPM_ProjectRecord!A:AB,8,FALSE)</f>
        <v/>
      </c>
      <c r="X229" s="38" t="str">
        <f t="shared" si="30"/>
        <v/>
      </c>
      <c r="Y229" s="38" t="str">
        <f t="shared" si="31"/>
        <v/>
      </c>
      <c r="Z229" s="38" t="str">
        <f t="shared" si="32"/>
        <v/>
      </c>
      <c r="AA229" s="38" t="str">
        <f t="shared" si="33"/>
        <v/>
      </c>
      <c r="AB229" s="38" t="str">
        <f t="shared" si="34"/>
        <v/>
      </c>
      <c r="AC229" s="38">
        <f>IF(VLOOKUP(A229,'3rdPhaseChipSeal'!A:L,12,FALSE)="","",VLOOKUP(A229,'3rdPhaseChipSeal'!A:L,12,FALSE))</f>
        <v>2030</v>
      </c>
      <c r="AD229" s="38" t="str">
        <f>IFERROR(IF(VLOOKUP(A229,RpmContracts!A:C,3,FALSE)="","",VLOOKUP(A229,RpmContracts!A:C,3,FALSE)),"")</f>
        <v/>
      </c>
      <c r="AE229" s="7" t="str">
        <f>IF(VLOOKUP(A229,'20yPlan'!A:B,2,FALSE)="","",VLOOKUP(A229,'20yPlan'!A:B,2,FALSE))</f>
        <v/>
      </c>
      <c r="AF229" s="7" t="str">
        <f>IF(VLOOKUP(A229,'20yPlan'!A:C,3,FALSE)="","",VLOOKUP(A229,'20yPlan'!A:C,3,FALSE))</f>
        <v/>
      </c>
      <c r="AG229" s="7" t="str">
        <f>IF(VLOOKUP(A229,'20yPlan'!A:D,4,FALSE)="","",VLOOKUP(A229,'20yPlan'!A:D,4,FALSE))</f>
        <v/>
      </c>
      <c r="AH229" s="7" t="str">
        <f>IF(VLOOKUP(A229,'20yPlan'!A:E,5,FALSE)="","",VLOOKUP(A229,'20yPlan'!A:E,5,FALSE))</f>
        <v/>
      </c>
      <c r="AI229" s="7" t="str">
        <f>IF(VLOOKUP(A229,'20yPlan'!A:F,6,FALSE)="","",VLOOKUP(A229,'20yPlan'!A:F,6,FALSE))</f>
        <v/>
      </c>
      <c r="AJ229" s="7" t="str">
        <f t="shared" si="35"/>
        <v>2030 Chip Seal</v>
      </c>
      <c r="AK229" s="7" t="str">
        <f t="shared" si="36"/>
        <v/>
      </c>
      <c r="AL229" s="39">
        <f t="shared" ca="1" si="37"/>
        <v>2025</v>
      </c>
      <c r="AM229" s="7" t="str">
        <f t="shared" si="38"/>
        <v/>
      </c>
      <c r="AN229" s="7" t="str">
        <f t="shared" si="39"/>
        <v/>
      </c>
    </row>
    <row r="230" spans="1:40">
      <c r="A230" s="6">
        <v>60240</v>
      </c>
      <c r="B230" s="6" t="s">
        <v>772</v>
      </c>
      <c r="C230" s="6" t="s">
        <v>784</v>
      </c>
      <c r="D230" s="6">
        <v>19.064048</v>
      </c>
      <c r="E230" s="6">
        <v>29.246044000000001</v>
      </c>
      <c r="F230" s="6" t="s">
        <v>785</v>
      </c>
      <c r="G230" s="6" t="s">
        <v>786</v>
      </c>
      <c r="H230" s="35">
        <v>184833</v>
      </c>
      <c r="I230" s="6" t="s">
        <v>195</v>
      </c>
      <c r="J230" s="6">
        <v>14</v>
      </c>
      <c r="K230" s="6">
        <v>2025</v>
      </c>
      <c r="L230" s="6">
        <v>2</v>
      </c>
      <c r="M230" s="6" t="s">
        <v>45</v>
      </c>
      <c r="N230" s="6" t="s">
        <v>250</v>
      </c>
      <c r="O230" s="6" t="s">
        <v>165</v>
      </c>
      <c r="P230" s="6" t="s">
        <v>236</v>
      </c>
      <c r="Q230" s="6" t="s">
        <v>587</v>
      </c>
      <c r="R230" s="35">
        <v>1090</v>
      </c>
      <c r="S230" s="6">
        <v>159</v>
      </c>
      <c r="T230" s="36" t="s">
        <v>253</v>
      </c>
      <c r="U230" s="46">
        <f>IF($L230&lt;=2,
IF($R230&lt;=RpmDesignStandard!$C$2,RpmDesignStandard!$D$2,
IF(AND($R230&gt;RpmDesignStandard!$B$3,$R230&lt;=RpmDesignStandard!$C$3),RpmDesignStandard!$D$3,RpmDesignStandard!$D$4)),
IF($R230&lt;=RpmDesignStandard!$C$5, RpmDesignStandard!$D$5,
IF(AND($R230&gt;RpmDesignStandard!$B$6,$R230&lt;=RpmDesignStandard!$C$6),RpmDesignStandard!$D$6,
IF(AND($R230&gt;RpmDesignStandard!$B$7,$R230&lt;=RpmDesignStandard!$C$7),RpmDesignStandard!$D$7,RpmDesignStandard!$D$8))))</f>
        <v>4</v>
      </c>
      <c r="V230" s="47">
        <f>U230*RpmDesignStandard!$H$1</f>
        <v>8</v>
      </c>
      <c r="W230" s="37" t="str">
        <f>VLOOKUP(A230,RPM_ProjectRecord!A:AB,8,FALSE)</f>
        <v/>
      </c>
      <c r="X230" s="38" t="str">
        <f t="shared" si="30"/>
        <v/>
      </c>
      <c r="Y230" s="38" t="str">
        <f t="shared" si="31"/>
        <v/>
      </c>
      <c r="Z230" s="38" t="str">
        <f t="shared" si="32"/>
        <v/>
      </c>
      <c r="AA230" s="38" t="str">
        <f t="shared" si="33"/>
        <v/>
      </c>
      <c r="AB230" s="38" t="str">
        <f t="shared" si="34"/>
        <v/>
      </c>
      <c r="AC230" s="38">
        <f>IF(VLOOKUP(A230,'3rdPhaseChipSeal'!A:L,12,FALSE)="","",VLOOKUP(A230,'3rdPhaseChipSeal'!A:L,12,FALSE))</f>
        <v>2033</v>
      </c>
      <c r="AD230" s="38">
        <f>IFERROR(IF(VLOOKUP(A230,RpmContracts!A:C,3,FALSE)="","",VLOOKUP(A230,RpmContracts!A:C,3,FALSE)),"")</f>
        <v>2026</v>
      </c>
      <c r="AE230" s="7" t="str">
        <f>IF(VLOOKUP(A230,'20yPlan'!A:B,2,FALSE)="","",VLOOKUP(A230,'20yPlan'!A:B,2,FALSE))</f>
        <v/>
      </c>
      <c r="AF230" s="7" t="str">
        <f>IF(VLOOKUP(A230,'20yPlan'!A:C,3,FALSE)="","",VLOOKUP(A230,'20yPlan'!A:C,3,FALSE))</f>
        <v/>
      </c>
      <c r="AG230" s="7" t="str">
        <f>IF(VLOOKUP(A230,'20yPlan'!A:D,4,FALSE)="","",VLOOKUP(A230,'20yPlan'!A:D,4,FALSE))</f>
        <v/>
      </c>
      <c r="AH230" s="7" t="str">
        <f>IF(VLOOKUP(A230,'20yPlan'!A:E,5,FALSE)="","",VLOOKUP(A230,'20yPlan'!A:E,5,FALSE))</f>
        <v/>
      </c>
      <c r="AI230" s="7" t="str">
        <f>IF(VLOOKUP(A230,'20yPlan'!A:F,6,FALSE)="","",VLOOKUP(A230,'20yPlan'!A:F,6,FALSE))</f>
        <v/>
      </c>
      <c r="AJ230" s="7" t="str">
        <f t="shared" si="35"/>
        <v>2033 Chip Seal</v>
      </c>
      <c r="AK230" s="7" t="str">
        <f t="shared" si="36"/>
        <v>2026 RPM Replacement</v>
      </c>
      <c r="AL230" s="39">
        <f t="shared" ca="1" si="37"/>
        <v>2025</v>
      </c>
      <c r="AM230" s="7">
        <f t="shared" si="38"/>
        <v>2026</v>
      </c>
      <c r="AN230" s="7" t="str">
        <f t="shared" si="39"/>
        <v>2026 RPM Replacement</v>
      </c>
    </row>
    <row r="231" spans="1:40">
      <c r="A231" s="6">
        <v>60241</v>
      </c>
      <c r="B231" s="6" t="s">
        <v>772</v>
      </c>
      <c r="C231" s="6" t="s">
        <v>787</v>
      </c>
      <c r="D231" s="6">
        <v>30.244247999999999</v>
      </c>
      <c r="E231" s="6">
        <v>33.259180999999998</v>
      </c>
      <c r="F231" s="6" t="s">
        <v>788</v>
      </c>
      <c r="G231" s="6" t="s">
        <v>789</v>
      </c>
      <c r="H231" s="35">
        <v>53594</v>
      </c>
      <c r="I231" s="6" t="s">
        <v>195</v>
      </c>
      <c r="J231" s="6">
        <v>14</v>
      </c>
      <c r="K231" s="6">
        <v>2025</v>
      </c>
      <c r="L231" s="6">
        <v>2</v>
      </c>
      <c r="M231" s="6" t="s">
        <v>45</v>
      </c>
      <c r="N231" s="6" t="s">
        <v>250</v>
      </c>
      <c r="O231" s="6" t="s">
        <v>165</v>
      </c>
      <c r="P231" s="6" t="s">
        <v>236</v>
      </c>
      <c r="Q231" s="6" t="s">
        <v>240</v>
      </c>
      <c r="R231" s="35">
        <v>1815</v>
      </c>
      <c r="S231" s="6">
        <v>265</v>
      </c>
      <c r="T231" s="36" t="s">
        <v>253</v>
      </c>
      <c r="U231" s="46">
        <f>IF($L231&lt;=2,
IF($R231&lt;=RpmDesignStandard!$C$2,RpmDesignStandard!$D$2,
IF(AND($R231&gt;RpmDesignStandard!$B$3,$R231&lt;=RpmDesignStandard!$C$3),RpmDesignStandard!$D$3,RpmDesignStandard!$D$4)),
IF($R231&lt;=RpmDesignStandard!$C$5, RpmDesignStandard!$D$5,
IF(AND($R231&gt;RpmDesignStandard!$B$6,$R231&lt;=RpmDesignStandard!$C$6),RpmDesignStandard!$D$6,
IF(AND($R231&gt;RpmDesignStandard!$B$7,$R231&lt;=RpmDesignStandard!$C$7),RpmDesignStandard!$D$7,RpmDesignStandard!$D$8))))</f>
        <v>4</v>
      </c>
      <c r="V231" s="47">
        <f>U231*RpmDesignStandard!$H$1</f>
        <v>8</v>
      </c>
      <c r="W231" s="37" t="str">
        <f>VLOOKUP(A231,RPM_ProjectRecord!A:AB,8,FALSE)</f>
        <v/>
      </c>
      <c r="X231" s="38" t="str">
        <f t="shared" si="30"/>
        <v/>
      </c>
      <c r="Y231" s="38" t="str">
        <f t="shared" si="31"/>
        <v/>
      </c>
      <c r="Z231" s="38" t="str">
        <f t="shared" si="32"/>
        <v/>
      </c>
      <c r="AA231" s="38" t="str">
        <f t="shared" si="33"/>
        <v/>
      </c>
      <c r="AB231" s="38" t="str">
        <f t="shared" si="34"/>
        <v/>
      </c>
      <c r="AC231" s="38">
        <f>IF(VLOOKUP(A231,'3rdPhaseChipSeal'!A:L,12,FALSE)="","",VLOOKUP(A231,'3rdPhaseChipSeal'!A:L,12,FALSE))</f>
        <v>2033</v>
      </c>
      <c r="AD231" s="38">
        <f>IFERROR(IF(VLOOKUP(A231,RpmContracts!A:C,3,FALSE)="","",VLOOKUP(A231,RpmContracts!A:C,3,FALSE)),"")</f>
        <v>2026</v>
      </c>
      <c r="AE231" s="7" t="str">
        <f>IF(VLOOKUP(A231,'20yPlan'!A:B,2,FALSE)="","",VLOOKUP(A231,'20yPlan'!A:B,2,FALSE))</f>
        <v/>
      </c>
      <c r="AF231" s="7" t="str">
        <f>IF(VLOOKUP(A231,'20yPlan'!A:C,3,FALSE)="","",VLOOKUP(A231,'20yPlan'!A:C,3,FALSE))</f>
        <v/>
      </c>
      <c r="AG231" s="7" t="str">
        <f>IF(VLOOKUP(A231,'20yPlan'!A:D,4,FALSE)="","",VLOOKUP(A231,'20yPlan'!A:D,4,FALSE))</f>
        <v/>
      </c>
      <c r="AH231" s="7" t="str">
        <f>IF(VLOOKUP(A231,'20yPlan'!A:E,5,FALSE)="","",VLOOKUP(A231,'20yPlan'!A:E,5,FALSE))</f>
        <v/>
      </c>
      <c r="AI231" s="7" t="str">
        <f>IF(VLOOKUP(A231,'20yPlan'!A:F,6,FALSE)="","",VLOOKUP(A231,'20yPlan'!A:F,6,FALSE))</f>
        <v/>
      </c>
      <c r="AJ231" s="7" t="str">
        <f t="shared" si="35"/>
        <v>2033 Chip Seal</v>
      </c>
      <c r="AK231" s="7" t="str">
        <f t="shared" si="36"/>
        <v>2026 RPM Replacement</v>
      </c>
      <c r="AL231" s="39">
        <f t="shared" ca="1" si="37"/>
        <v>2025</v>
      </c>
      <c r="AM231" s="7">
        <f t="shared" si="38"/>
        <v>2026</v>
      </c>
      <c r="AN231" s="7" t="str">
        <f t="shared" si="39"/>
        <v>2026 RPM Replacement</v>
      </c>
    </row>
    <row r="232" spans="1:40">
      <c r="A232" s="6">
        <v>60242</v>
      </c>
      <c r="B232" s="6" t="s">
        <v>772</v>
      </c>
      <c r="C232" s="6" t="s">
        <v>790</v>
      </c>
      <c r="D232" s="6">
        <v>33.259180999999998</v>
      </c>
      <c r="E232" s="6">
        <v>37.234912000000001</v>
      </c>
      <c r="F232" s="6" t="s">
        <v>789</v>
      </c>
      <c r="G232" s="6" t="s">
        <v>791</v>
      </c>
      <c r="H232" s="35">
        <v>69501</v>
      </c>
      <c r="I232" s="6" t="s">
        <v>195</v>
      </c>
      <c r="J232" s="6">
        <v>9</v>
      </c>
      <c r="K232" s="6">
        <v>2028</v>
      </c>
      <c r="L232" s="6">
        <v>2</v>
      </c>
      <c r="M232" s="6" t="s">
        <v>45</v>
      </c>
      <c r="N232" s="6" t="s">
        <v>250</v>
      </c>
      <c r="O232" s="6" t="s">
        <v>165</v>
      </c>
      <c r="P232" s="6" t="s">
        <v>236</v>
      </c>
      <c r="Q232" s="6" t="s">
        <v>240</v>
      </c>
      <c r="R232" s="35">
        <v>2791</v>
      </c>
      <c r="S232" s="6">
        <v>406</v>
      </c>
      <c r="T232" s="36" t="s">
        <v>253</v>
      </c>
      <c r="U232" s="46">
        <f>IF($L232&lt;=2,
IF($R232&lt;=RpmDesignStandard!$C$2,RpmDesignStandard!$D$2,
IF(AND($R232&gt;RpmDesignStandard!$B$3,$R232&lt;=RpmDesignStandard!$C$3),RpmDesignStandard!$D$3,RpmDesignStandard!$D$4)),
IF($R232&lt;=RpmDesignStandard!$C$5, RpmDesignStandard!$D$5,
IF(AND($R232&gt;RpmDesignStandard!$B$6,$R232&lt;=RpmDesignStandard!$C$6),RpmDesignStandard!$D$6,
IF(AND($R232&gt;RpmDesignStandard!$B$7,$R232&lt;=RpmDesignStandard!$C$7),RpmDesignStandard!$D$7,RpmDesignStandard!$D$8))))</f>
        <v>4</v>
      </c>
      <c r="V232" s="47">
        <f>U232*RpmDesignStandard!$H$1</f>
        <v>8</v>
      </c>
      <c r="W232" s="37" t="str">
        <f>VLOOKUP(A232,RPM_ProjectRecord!A:AB,8,FALSE)</f>
        <v/>
      </c>
      <c r="X232" s="38" t="str">
        <f t="shared" si="30"/>
        <v/>
      </c>
      <c r="Y232" s="38" t="str">
        <f t="shared" si="31"/>
        <v/>
      </c>
      <c r="Z232" s="38" t="str">
        <f t="shared" si="32"/>
        <v/>
      </c>
      <c r="AA232" s="38" t="str">
        <f t="shared" si="33"/>
        <v/>
      </c>
      <c r="AB232" s="38" t="str">
        <f t="shared" si="34"/>
        <v/>
      </c>
      <c r="AC232" s="38">
        <f>IF(VLOOKUP(A232,'3rdPhaseChipSeal'!A:L,12,FALSE)="","",VLOOKUP(A232,'3rdPhaseChipSeal'!A:L,12,FALSE))</f>
        <v>2035</v>
      </c>
      <c r="AD232" s="38" t="str">
        <f>IFERROR(IF(VLOOKUP(A232,RpmContracts!A:C,3,FALSE)="","",VLOOKUP(A232,RpmContracts!A:C,3,FALSE)),"")</f>
        <v/>
      </c>
      <c r="AE232" s="7" t="str">
        <f>IF(VLOOKUP(A232,'20yPlan'!A:B,2,FALSE)="","",VLOOKUP(A232,'20yPlan'!A:B,2,FALSE))</f>
        <v/>
      </c>
      <c r="AF232" s="7" t="str">
        <f>IF(VLOOKUP(A232,'20yPlan'!A:C,3,FALSE)="","",VLOOKUP(A232,'20yPlan'!A:C,3,FALSE))</f>
        <v/>
      </c>
      <c r="AG232" s="7" t="str">
        <f>IF(VLOOKUP(A232,'20yPlan'!A:D,4,FALSE)="","",VLOOKUP(A232,'20yPlan'!A:D,4,FALSE))</f>
        <v/>
      </c>
      <c r="AH232" s="7" t="str">
        <f>IF(VLOOKUP(A232,'20yPlan'!A:E,5,FALSE)="","",VLOOKUP(A232,'20yPlan'!A:E,5,FALSE))</f>
        <v/>
      </c>
      <c r="AI232" s="7" t="str">
        <f>IF(VLOOKUP(A232,'20yPlan'!A:F,6,FALSE)="","",VLOOKUP(A232,'20yPlan'!A:F,6,FALSE))</f>
        <v/>
      </c>
      <c r="AJ232" s="7" t="str">
        <f t="shared" si="35"/>
        <v>2035 Chip Seal</v>
      </c>
      <c r="AK232" s="7" t="str">
        <f t="shared" si="36"/>
        <v/>
      </c>
      <c r="AL232" s="39">
        <f t="shared" ca="1" si="37"/>
        <v>2025</v>
      </c>
      <c r="AM232" s="7" t="str">
        <f t="shared" si="38"/>
        <v/>
      </c>
      <c r="AN232" s="7" t="str">
        <f t="shared" si="39"/>
        <v/>
      </c>
    </row>
    <row r="233" spans="1:40">
      <c r="A233" s="6">
        <v>60243</v>
      </c>
      <c r="B233" s="6" t="s">
        <v>792</v>
      </c>
      <c r="C233" s="6" t="s">
        <v>793</v>
      </c>
      <c r="D233" s="6">
        <v>0</v>
      </c>
      <c r="E233" s="6">
        <v>6.425192</v>
      </c>
      <c r="F233" s="6" t="s">
        <v>53</v>
      </c>
      <c r="G233" s="6" t="s">
        <v>794</v>
      </c>
      <c r="H233" s="35">
        <v>84541</v>
      </c>
      <c r="I233" s="6" t="s">
        <v>195</v>
      </c>
      <c r="J233" s="6">
        <v>0</v>
      </c>
      <c r="K233" s="6">
        <v>2031</v>
      </c>
      <c r="L233" s="6">
        <v>2</v>
      </c>
      <c r="M233" s="6" t="s">
        <v>45</v>
      </c>
      <c r="N233" s="6" t="s">
        <v>250</v>
      </c>
      <c r="O233" s="6" t="s">
        <v>61</v>
      </c>
      <c r="P233" s="6" t="s">
        <v>338</v>
      </c>
      <c r="Q233" s="6" t="s">
        <v>339</v>
      </c>
      <c r="R233" s="6">
        <v>359</v>
      </c>
      <c r="S233" s="6">
        <v>30</v>
      </c>
      <c r="T233" s="36" t="s">
        <v>253</v>
      </c>
      <c r="U233" s="46">
        <f>IF($L233&lt;=2,
IF($R233&lt;=RpmDesignStandard!$C$2,RpmDesignStandard!$D$2,
IF(AND($R233&gt;RpmDesignStandard!$B$3,$R233&lt;=RpmDesignStandard!$C$3),RpmDesignStandard!$D$3,RpmDesignStandard!$D$4)),
IF($R233&lt;=RpmDesignStandard!$C$5, RpmDesignStandard!$D$5,
IF(AND($R233&gt;RpmDesignStandard!$B$6,$R233&lt;=RpmDesignStandard!$C$6),RpmDesignStandard!$D$6,
IF(AND($R233&gt;RpmDesignStandard!$B$7,$R233&lt;=RpmDesignStandard!$C$7),RpmDesignStandard!$D$7,RpmDesignStandard!$D$8))))</f>
        <v>4</v>
      </c>
      <c r="V233" s="47">
        <f>U233*RpmDesignStandard!$H$1</f>
        <v>8</v>
      </c>
      <c r="W233" s="37">
        <f>VLOOKUP(A233,RPM_ProjectRecord!A:AB,8,FALSE)</f>
        <v>2023</v>
      </c>
      <c r="X233" s="38" t="str">
        <f t="shared" si="30"/>
        <v/>
      </c>
      <c r="Y233" s="38" t="str">
        <f t="shared" si="31"/>
        <v/>
      </c>
      <c r="Z233" s="38" t="str">
        <f t="shared" si="32"/>
        <v/>
      </c>
      <c r="AA233" s="38" t="str">
        <f t="shared" si="33"/>
        <v/>
      </c>
      <c r="AB233" s="38" t="str">
        <f t="shared" si="34"/>
        <v/>
      </c>
      <c r="AC233" s="38">
        <f>IF(VLOOKUP(A233,'3rdPhaseChipSeal'!A:L,12,FALSE)="","",VLOOKUP(A233,'3rdPhaseChipSeal'!A:L,12,FALSE))</f>
        <v>2045</v>
      </c>
      <c r="AD233" s="38" t="str">
        <f>IFERROR(IF(VLOOKUP(A233,RpmContracts!A:C,3,FALSE)="","",VLOOKUP(A233,RpmContracts!A:C,3,FALSE)),"")</f>
        <v/>
      </c>
      <c r="AE233" s="7" t="str">
        <f>IF(VLOOKUP(A233,'20yPlan'!A:B,2,FALSE)="","",VLOOKUP(A233,'20yPlan'!A:B,2,FALSE))</f>
        <v/>
      </c>
      <c r="AF233" s="7" t="str">
        <f>IF(VLOOKUP(A233,'20yPlan'!A:C,3,FALSE)="","",VLOOKUP(A233,'20yPlan'!A:C,3,FALSE))</f>
        <v/>
      </c>
      <c r="AG233" s="7" t="str">
        <f>IF(VLOOKUP(A233,'20yPlan'!A:D,4,FALSE)="","",VLOOKUP(A233,'20yPlan'!A:D,4,FALSE))</f>
        <v/>
      </c>
      <c r="AH233" s="7" t="str">
        <f>IF(VLOOKUP(A233,'20yPlan'!A:E,5,FALSE)="","",VLOOKUP(A233,'20yPlan'!A:E,5,FALSE))</f>
        <v/>
      </c>
      <c r="AI233" s="7" t="str">
        <f>IF(VLOOKUP(A233,'20yPlan'!A:F,6,FALSE)="","",VLOOKUP(A233,'20yPlan'!A:F,6,FALSE))</f>
        <v/>
      </c>
      <c r="AJ233" s="7" t="str">
        <f t="shared" si="35"/>
        <v>2045 Chip Seal</v>
      </c>
      <c r="AK233" s="7" t="str">
        <f t="shared" si="36"/>
        <v/>
      </c>
      <c r="AL233" s="39">
        <f t="shared" ca="1" si="37"/>
        <v>2027</v>
      </c>
      <c r="AM233" s="7" t="str">
        <f t="shared" si="38"/>
        <v/>
      </c>
      <c r="AN233" s="7" t="str">
        <f t="shared" si="39"/>
        <v/>
      </c>
    </row>
    <row r="234" spans="1:40">
      <c r="A234" s="6">
        <v>60244</v>
      </c>
      <c r="B234" s="6" t="s">
        <v>792</v>
      </c>
      <c r="C234" s="6" t="s">
        <v>795</v>
      </c>
      <c r="D234" s="6">
        <v>6.425192</v>
      </c>
      <c r="E234" s="6">
        <v>7.907286</v>
      </c>
      <c r="F234" s="6" t="s">
        <v>794</v>
      </c>
      <c r="G234" s="6" t="s">
        <v>796</v>
      </c>
      <c r="H234" s="35">
        <v>25739</v>
      </c>
      <c r="I234" s="6" t="s">
        <v>44</v>
      </c>
      <c r="J234" s="6">
        <v>7</v>
      </c>
      <c r="K234" s="6"/>
      <c r="L234" s="6">
        <v>2</v>
      </c>
      <c r="M234" s="6" t="s">
        <v>45</v>
      </c>
      <c r="N234" s="6" t="s">
        <v>250</v>
      </c>
      <c r="O234" s="6" t="s">
        <v>61</v>
      </c>
      <c r="P234" s="6" t="s">
        <v>338</v>
      </c>
      <c r="Q234" s="6" t="s">
        <v>339</v>
      </c>
      <c r="R234" s="35">
        <v>2243</v>
      </c>
      <c r="S234" s="6">
        <v>179</v>
      </c>
      <c r="T234" s="36" t="s">
        <v>50</v>
      </c>
      <c r="U234" s="46">
        <f>IF($L234&lt;=2,
IF($R234&lt;=RpmDesignStandard!$C$2,RpmDesignStandard!$D$2,
IF(AND($R234&gt;RpmDesignStandard!$B$3,$R234&lt;=RpmDesignStandard!$C$3),RpmDesignStandard!$D$3,RpmDesignStandard!$D$4)),
IF($R234&lt;=RpmDesignStandard!$C$5, RpmDesignStandard!$D$5,
IF(AND($R234&gt;RpmDesignStandard!$B$6,$R234&lt;=RpmDesignStandard!$C$6),RpmDesignStandard!$D$6,
IF(AND($R234&gt;RpmDesignStandard!$B$7,$R234&lt;=RpmDesignStandard!$C$7),RpmDesignStandard!$D$7,RpmDesignStandard!$D$8))))</f>
        <v>4</v>
      </c>
      <c r="V234" s="47">
        <f>U234*RpmDesignStandard!$H$1</f>
        <v>8</v>
      </c>
      <c r="W234" s="37" t="str">
        <f>VLOOKUP(A234,RPM_ProjectRecord!A:AB,8,FALSE)</f>
        <v/>
      </c>
      <c r="X234" s="38">
        <f t="shared" si="30"/>
        <v>2040</v>
      </c>
      <c r="Y234" s="38" t="str">
        <f t="shared" si="31"/>
        <v/>
      </c>
      <c r="Z234" s="38" t="str">
        <f t="shared" si="32"/>
        <v/>
      </c>
      <c r="AA234" s="38" t="str">
        <f t="shared" si="33"/>
        <v/>
      </c>
      <c r="AB234" s="38" t="str">
        <f t="shared" si="34"/>
        <v/>
      </c>
      <c r="AC234" s="38" t="str">
        <f>IF(VLOOKUP(A234,'3rdPhaseChipSeal'!A:L,12,FALSE)="","",VLOOKUP(A234,'3rdPhaseChipSeal'!A:L,12,FALSE))</f>
        <v/>
      </c>
      <c r="AD234" s="38" t="str">
        <f>IFERROR(IF(VLOOKUP(A234,RpmContracts!A:C,3,FALSE)="","",VLOOKUP(A234,RpmContracts!A:C,3,FALSE)),"")</f>
        <v/>
      </c>
      <c r="AE234" s="7" t="str">
        <f>IF(VLOOKUP(A234,'20yPlan'!A:B,2,FALSE)="","",VLOOKUP(A234,'20yPlan'!A:B,2,FALSE))</f>
        <v>2040 Preventive Maintenance</v>
      </c>
      <c r="AF234" s="7" t="str">
        <f>IF(VLOOKUP(A234,'20yPlan'!A:C,3,FALSE)="","",VLOOKUP(A234,'20yPlan'!A:C,3,FALSE))</f>
        <v/>
      </c>
      <c r="AG234" s="7" t="str">
        <f>IF(VLOOKUP(A234,'20yPlan'!A:D,4,FALSE)="","",VLOOKUP(A234,'20yPlan'!A:D,4,FALSE))</f>
        <v/>
      </c>
      <c r="AH234" s="7" t="str">
        <f>IF(VLOOKUP(A234,'20yPlan'!A:E,5,FALSE)="","",VLOOKUP(A234,'20yPlan'!A:E,5,FALSE))</f>
        <v/>
      </c>
      <c r="AI234" s="7" t="str">
        <f>IF(VLOOKUP(A234,'20yPlan'!A:F,6,FALSE)="","",VLOOKUP(A234,'20yPlan'!A:F,6,FALSE))</f>
        <v/>
      </c>
      <c r="AJ234" s="7" t="str">
        <f t="shared" si="35"/>
        <v/>
      </c>
      <c r="AK234" s="7" t="str">
        <f t="shared" si="36"/>
        <v/>
      </c>
      <c r="AL234" s="39">
        <f t="shared" ca="1" si="37"/>
        <v>2025</v>
      </c>
      <c r="AM234" s="7" t="str">
        <f t="shared" si="38"/>
        <v/>
      </c>
      <c r="AN234" s="7" t="str">
        <f t="shared" si="39"/>
        <v/>
      </c>
    </row>
    <row r="235" spans="1:40">
      <c r="A235" s="6">
        <v>60245</v>
      </c>
      <c r="B235" s="6" t="s">
        <v>792</v>
      </c>
      <c r="C235" s="6" t="s">
        <v>797</v>
      </c>
      <c r="D235" s="6">
        <v>7.907286</v>
      </c>
      <c r="E235" s="6">
        <v>11.462695999999999</v>
      </c>
      <c r="F235" s="6" t="s">
        <v>796</v>
      </c>
      <c r="G235" s="6" t="s">
        <v>798</v>
      </c>
      <c r="H235" s="35">
        <v>57706</v>
      </c>
      <c r="I235" s="6" t="s">
        <v>195</v>
      </c>
      <c r="J235" s="6">
        <v>22</v>
      </c>
      <c r="K235" s="6"/>
      <c r="L235" s="6">
        <v>2</v>
      </c>
      <c r="M235" s="6" t="s">
        <v>45</v>
      </c>
      <c r="N235" s="6" t="s">
        <v>250</v>
      </c>
      <c r="O235" s="6" t="s">
        <v>61</v>
      </c>
      <c r="P235" s="6" t="s">
        <v>62</v>
      </c>
      <c r="Q235" s="6" t="s">
        <v>58</v>
      </c>
      <c r="R235" s="6">
        <v>781</v>
      </c>
      <c r="S235" s="6">
        <v>76</v>
      </c>
      <c r="T235" s="36" t="s">
        <v>304</v>
      </c>
      <c r="U235" s="46">
        <f>IF($L235&lt;=2,
IF($R235&lt;=RpmDesignStandard!$C$2,RpmDesignStandard!$D$2,
IF(AND($R235&gt;RpmDesignStandard!$B$3,$R235&lt;=RpmDesignStandard!$C$3),RpmDesignStandard!$D$3,RpmDesignStandard!$D$4)),
IF($R235&lt;=RpmDesignStandard!$C$5, RpmDesignStandard!$D$5,
IF(AND($R235&gt;RpmDesignStandard!$B$6,$R235&lt;=RpmDesignStandard!$C$6),RpmDesignStandard!$D$6,
IF(AND($R235&gt;RpmDesignStandard!$B$7,$R235&lt;=RpmDesignStandard!$C$7),RpmDesignStandard!$D$7,RpmDesignStandard!$D$8))))</f>
        <v>4</v>
      </c>
      <c r="V235" s="47">
        <f>U235*RpmDesignStandard!$H$1</f>
        <v>8</v>
      </c>
      <c r="W235" s="37" t="str">
        <f>VLOOKUP(A235,RPM_ProjectRecord!A:AB,8,FALSE)</f>
        <v/>
      </c>
      <c r="X235" s="38">
        <f t="shared" si="30"/>
        <v>2038</v>
      </c>
      <c r="Y235" s="38" t="str">
        <f t="shared" si="31"/>
        <v/>
      </c>
      <c r="Z235" s="38" t="str">
        <f t="shared" si="32"/>
        <v/>
      </c>
      <c r="AA235" s="38" t="str">
        <f t="shared" si="33"/>
        <v/>
      </c>
      <c r="AB235" s="38" t="str">
        <f t="shared" si="34"/>
        <v/>
      </c>
      <c r="AC235" s="38" t="str">
        <f>IF(VLOOKUP(A235,'3rdPhaseChipSeal'!A:L,12,FALSE)="","",VLOOKUP(A235,'3rdPhaseChipSeal'!A:L,12,FALSE))</f>
        <v/>
      </c>
      <c r="AD235" s="38" t="str">
        <f>IFERROR(IF(VLOOKUP(A235,RpmContracts!A:C,3,FALSE)="","",VLOOKUP(A235,RpmContracts!A:C,3,FALSE)),"")</f>
        <v/>
      </c>
      <c r="AE235" s="7" t="str">
        <f>IF(VLOOKUP(A235,'20yPlan'!A:B,2,FALSE)="","",VLOOKUP(A235,'20yPlan'!A:B,2,FALSE))</f>
        <v>2038 Preventive Maintenance</v>
      </c>
      <c r="AF235" s="7" t="str">
        <f>IF(VLOOKUP(A235,'20yPlan'!A:C,3,FALSE)="","",VLOOKUP(A235,'20yPlan'!A:C,3,FALSE))</f>
        <v/>
      </c>
      <c r="AG235" s="7" t="str">
        <f>IF(VLOOKUP(A235,'20yPlan'!A:D,4,FALSE)="","",VLOOKUP(A235,'20yPlan'!A:D,4,FALSE))</f>
        <v/>
      </c>
      <c r="AH235" s="7" t="str">
        <f>IF(VLOOKUP(A235,'20yPlan'!A:E,5,FALSE)="","",VLOOKUP(A235,'20yPlan'!A:E,5,FALSE))</f>
        <v/>
      </c>
      <c r="AI235" s="7" t="str">
        <f>IF(VLOOKUP(A235,'20yPlan'!A:F,6,FALSE)="","",VLOOKUP(A235,'20yPlan'!A:F,6,FALSE))</f>
        <v/>
      </c>
      <c r="AJ235" s="7" t="str">
        <f t="shared" si="35"/>
        <v/>
      </c>
      <c r="AK235" s="7" t="str">
        <f t="shared" si="36"/>
        <v/>
      </c>
      <c r="AL235" s="39">
        <f t="shared" ca="1" si="37"/>
        <v>2025</v>
      </c>
      <c r="AM235" s="7" t="str">
        <f t="shared" si="38"/>
        <v/>
      </c>
      <c r="AN235" s="7" t="str">
        <f t="shared" si="39"/>
        <v/>
      </c>
    </row>
    <row r="236" spans="1:40">
      <c r="A236" s="6">
        <v>60246</v>
      </c>
      <c r="B236" s="6" t="s">
        <v>792</v>
      </c>
      <c r="C236" s="6" t="s">
        <v>799</v>
      </c>
      <c r="D236" s="6">
        <v>11.814256</v>
      </c>
      <c r="E236" s="6">
        <v>20.007892999999999</v>
      </c>
      <c r="F236" s="6" t="s">
        <v>800</v>
      </c>
      <c r="G236" s="6" t="s">
        <v>801</v>
      </c>
      <c r="H236" s="35">
        <v>124402</v>
      </c>
      <c r="I236" s="6" t="s">
        <v>195</v>
      </c>
      <c r="J236" s="6">
        <v>5</v>
      </c>
      <c r="K236" s="6">
        <v>2026</v>
      </c>
      <c r="L236" s="6">
        <v>2</v>
      </c>
      <c r="M236" s="6" t="s">
        <v>45</v>
      </c>
      <c r="N236" s="6" t="s">
        <v>250</v>
      </c>
      <c r="O236" s="6" t="s">
        <v>56</v>
      </c>
      <c r="P236" s="6" t="s">
        <v>147</v>
      </c>
      <c r="Q236" s="6" t="s">
        <v>58</v>
      </c>
      <c r="R236" s="35">
        <v>1847</v>
      </c>
      <c r="S236" s="6">
        <v>180</v>
      </c>
      <c r="T236" s="36" t="s">
        <v>50</v>
      </c>
      <c r="U236" s="46">
        <f>IF($L236&lt;=2,
IF($R236&lt;=RpmDesignStandard!$C$2,RpmDesignStandard!$D$2,
IF(AND($R236&gt;RpmDesignStandard!$B$3,$R236&lt;=RpmDesignStandard!$C$3),RpmDesignStandard!$D$3,RpmDesignStandard!$D$4)),
IF($R236&lt;=RpmDesignStandard!$C$5, RpmDesignStandard!$D$5,
IF(AND($R236&gt;RpmDesignStandard!$B$6,$R236&lt;=RpmDesignStandard!$C$6),RpmDesignStandard!$D$6,
IF(AND($R236&gt;RpmDesignStandard!$B$7,$R236&lt;=RpmDesignStandard!$C$7),RpmDesignStandard!$D$7,RpmDesignStandard!$D$8))))</f>
        <v>4</v>
      </c>
      <c r="V236" s="47">
        <f>U236*RpmDesignStandard!$H$1</f>
        <v>8</v>
      </c>
      <c r="W236" s="37" t="str">
        <f>VLOOKUP(A236,RPM_ProjectRecord!A:AB,8,FALSE)</f>
        <v/>
      </c>
      <c r="X236" s="38" t="str">
        <f t="shared" si="30"/>
        <v/>
      </c>
      <c r="Y236" s="38" t="str">
        <f t="shared" si="31"/>
        <v/>
      </c>
      <c r="Z236" s="38" t="str">
        <f t="shared" si="32"/>
        <v/>
      </c>
      <c r="AA236" s="38" t="str">
        <f t="shared" si="33"/>
        <v/>
      </c>
      <c r="AB236" s="38" t="str">
        <f t="shared" si="34"/>
        <v/>
      </c>
      <c r="AC236" s="38">
        <f>IF(VLOOKUP(A236,'3rdPhaseChipSeal'!A:L,12,FALSE)="","",VLOOKUP(A236,'3rdPhaseChipSeal'!A:L,12,FALSE))</f>
        <v>2039</v>
      </c>
      <c r="AD236" s="38" t="str">
        <f>IFERROR(IF(VLOOKUP(A236,RpmContracts!A:C,3,FALSE)="","",VLOOKUP(A236,RpmContracts!A:C,3,FALSE)),"")</f>
        <v/>
      </c>
      <c r="AE236" s="7" t="str">
        <f>IF(VLOOKUP(A236,'20yPlan'!A:B,2,FALSE)="","",VLOOKUP(A236,'20yPlan'!A:B,2,FALSE))</f>
        <v/>
      </c>
      <c r="AF236" s="7" t="str">
        <f>IF(VLOOKUP(A236,'20yPlan'!A:C,3,FALSE)="","",VLOOKUP(A236,'20yPlan'!A:C,3,FALSE))</f>
        <v/>
      </c>
      <c r="AG236" s="7" t="str">
        <f>IF(VLOOKUP(A236,'20yPlan'!A:D,4,FALSE)="","",VLOOKUP(A236,'20yPlan'!A:D,4,FALSE))</f>
        <v/>
      </c>
      <c r="AH236" s="7" t="str">
        <f>IF(VLOOKUP(A236,'20yPlan'!A:E,5,FALSE)="","",VLOOKUP(A236,'20yPlan'!A:E,5,FALSE))</f>
        <v/>
      </c>
      <c r="AI236" s="7" t="str">
        <f>IF(VLOOKUP(A236,'20yPlan'!A:F,6,FALSE)="","",VLOOKUP(A236,'20yPlan'!A:F,6,FALSE))</f>
        <v/>
      </c>
      <c r="AJ236" s="7" t="str">
        <f t="shared" si="35"/>
        <v>2039 Chip Seal</v>
      </c>
      <c r="AK236" s="7" t="str">
        <f t="shared" si="36"/>
        <v/>
      </c>
      <c r="AL236" s="39">
        <f t="shared" ca="1" si="37"/>
        <v>2025</v>
      </c>
      <c r="AM236" s="7" t="str">
        <f t="shared" si="38"/>
        <v/>
      </c>
      <c r="AN236" s="7" t="str">
        <f t="shared" si="39"/>
        <v/>
      </c>
    </row>
    <row r="237" spans="1:40">
      <c r="A237" s="6">
        <v>60247</v>
      </c>
      <c r="B237" s="6" t="s">
        <v>792</v>
      </c>
      <c r="C237" s="6" t="s">
        <v>802</v>
      </c>
      <c r="D237" s="6">
        <v>20.007892999999999</v>
      </c>
      <c r="E237" s="6">
        <v>24.498042000000002</v>
      </c>
      <c r="F237" s="6" t="s">
        <v>801</v>
      </c>
      <c r="G237" s="6" t="s">
        <v>803</v>
      </c>
      <c r="H237" s="35">
        <v>71304</v>
      </c>
      <c r="I237" s="6" t="s">
        <v>44</v>
      </c>
      <c r="J237" s="6">
        <v>5</v>
      </c>
      <c r="K237" s="6"/>
      <c r="L237" s="6">
        <v>2</v>
      </c>
      <c r="M237" s="6" t="s">
        <v>45</v>
      </c>
      <c r="N237" s="6" t="s">
        <v>250</v>
      </c>
      <c r="O237" s="6" t="s">
        <v>61</v>
      </c>
      <c r="P237" s="6" t="s">
        <v>70</v>
      </c>
      <c r="Q237" s="6" t="s">
        <v>76</v>
      </c>
      <c r="R237" s="35">
        <v>5232</v>
      </c>
      <c r="S237" s="6">
        <v>617</v>
      </c>
      <c r="T237" s="36" t="s">
        <v>50</v>
      </c>
      <c r="U237" s="46">
        <f>IF($L237&lt;=2,
IF($R237&lt;=RpmDesignStandard!$C$2,RpmDesignStandard!$D$2,
IF(AND($R237&gt;RpmDesignStandard!$B$3,$R237&lt;=RpmDesignStandard!$C$3),RpmDesignStandard!$D$3,RpmDesignStandard!$D$4)),
IF($R237&lt;=RpmDesignStandard!$C$5, RpmDesignStandard!$D$5,
IF(AND($R237&gt;RpmDesignStandard!$B$6,$R237&lt;=RpmDesignStandard!$C$6),RpmDesignStandard!$D$6,
IF(AND($R237&gt;RpmDesignStandard!$B$7,$R237&lt;=RpmDesignStandard!$C$7),RpmDesignStandard!$D$7,RpmDesignStandard!$D$8))))</f>
        <v>4</v>
      </c>
      <c r="V237" s="47">
        <f>U237*RpmDesignStandard!$H$1</f>
        <v>8</v>
      </c>
      <c r="W237" s="37" t="str">
        <f>VLOOKUP(A237,RPM_ProjectRecord!A:AB,8,FALSE)</f>
        <v/>
      </c>
      <c r="X237" s="38" t="str">
        <f t="shared" si="30"/>
        <v/>
      </c>
      <c r="Y237" s="38" t="str">
        <f t="shared" si="31"/>
        <v/>
      </c>
      <c r="Z237" s="38" t="str">
        <f t="shared" si="32"/>
        <v/>
      </c>
      <c r="AA237" s="38" t="str">
        <f t="shared" si="33"/>
        <v/>
      </c>
      <c r="AB237" s="38" t="str">
        <f t="shared" si="34"/>
        <v/>
      </c>
      <c r="AC237" s="38" t="str">
        <f>IF(VLOOKUP(A237,'3rdPhaseChipSeal'!A:L,12,FALSE)="","",VLOOKUP(A237,'3rdPhaseChipSeal'!A:L,12,FALSE))</f>
        <v/>
      </c>
      <c r="AD237" s="38" t="str">
        <f>IFERROR(IF(VLOOKUP(A237,RpmContracts!A:C,3,FALSE)="","",VLOOKUP(A237,RpmContracts!A:C,3,FALSE)),"")</f>
        <v/>
      </c>
      <c r="AE237" s="7" t="str">
        <f>IF(VLOOKUP(A237,'20yPlan'!A:B,2,FALSE)="","",VLOOKUP(A237,'20yPlan'!A:B,2,FALSE))</f>
        <v/>
      </c>
      <c r="AF237" s="7" t="str">
        <f>IF(VLOOKUP(A237,'20yPlan'!A:C,3,FALSE)="","",VLOOKUP(A237,'20yPlan'!A:C,3,FALSE))</f>
        <v/>
      </c>
      <c r="AG237" s="7" t="str">
        <f>IF(VLOOKUP(A237,'20yPlan'!A:D,4,FALSE)="","",VLOOKUP(A237,'20yPlan'!A:D,4,FALSE))</f>
        <v/>
      </c>
      <c r="AH237" s="7" t="str">
        <f>IF(VLOOKUP(A237,'20yPlan'!A:E,5,FALSE)="","",VLOOKUP(A237,'20yPlan'!A:E,5,FALSE))</f>
        <v/>
      </c>
      <c r="AI237" s="7" t="str">
        <f>IF(VLOOKUP(A237,'20yPlan'!A:F,6,FALSE)="","",VLOOKUP(A237,'20yPlan'!A:F,6,FALSE))</f>
        <v/>
      </c>
      <c r="AJ237" s="7" t="str">
        <f t="shared" si="35"/>
        <v/>
      </c>
      <c r="AK237" s="7" t="str">
        <f t="shared" si="36"/>
        <v/>
      </c>
      <c r="AL237" s="39">
        <f t="shared" ca="1" si="37"/>
        <v>2025</v>
      </c>
      <c r="AM237" s="7" t="str">
        <f t="shared" si="38"/>
        <v/>
      </c>
      <c r="AN237" s="7" t="str">
        <f t="shared" si="39"/>
        <v/>
      </c>
    </row>
    <row r="238" spans="1:40">
      <c r="A238" s="6">
        <v>60248</v>
      </c>
      <c r="B238" s="6" t="s">
        <v>792</v>
      </c>
      <c r="C238" s="6" t="s">
        <v>804</v>
      </c>
      <c r="D238" s="6">
        <v>24.499041999999999</v>
      </c>
      <c r="E238" s="6">
        <v>33.329137000000003</v>
      </c>
      <c r="F238" s="6" t="s">
        <v>805</v>
      </c>
      <c r="G238" s="6" t="s">
        <v>806</v>
      </c>
      <c r="H238" s="35">
        <v>139557</v>
      </c>
      <c r="I238" s="6" t="s">
        <v>195</v>
      </c>
      <c r="J238" s="6">
        <v>6</v>
      </c>
      <c r="K238" s="6">
        <v>2026</v>
      </c>
      <c r="L238" s="6">
        <v>2</v>
      </c>
      <c r="M238" s="6" t="s">
        <v>45</v>
      </c>
      <c r="N238" s="6" t="s">
        <v>250</v>
      </c>
      <c r="O238" s="6" t="s">
        <v>61</v>
      </c>
      <c r="P238" s="6" t="s">
        <v>70</v>
      </c>
      <c r="Q238" s="6" t="s">
        <v>76</v>
      </c>
      <c r="R238" s="35">
        <v>2222</v>
      </c>
      <c r="S238" s="6">
        <v>267</v>
      </c>
      <c r="T238" s="36" t="s">
        <v>50</v>
      </c>
      <c r="U238" s="46">
        <f>IF($L238&lt;=2,
IF($R238&lt;=RpmDesignStandard!$C$2,RpmDesignStandard!$D$2,
IF(AND($R238&gt;RpmDesignStandard!$B$3,$R238&lt;=RpmDesignStandard!$C$3),RpmDesignStandard!$D$3,RpmDesignStandard!$D$4)),
IF($R238&lt;=RpmDesignStandard!$C$5, RpmDesignStandard!$D$5,
IF(AND($R238&gt;RpmDesignStandard!$B$6,$R238&lt;=RpmDesignStandard!$C$6),RpmDesignStandard!$D$6,
IF(AND($R238&gt;RpmDesignStandard!$B$7,$R238&lt;=RpmDesignStandard!$C$7),RpmDesignStandard!$D$7,RpmDesignStandard!$D$8))))</f>
        <v>4</v>
      </c>
      <c r="V238" s="47">
        <f>U238*RpmDesignStandard!$H$1</f>
        <v>8</v>
      </c>
      <c r="W238" s="37" t="str">
        <f>VLOOKUP(A238,RPM_ProjectRecord!A:AB,8,FALSE)</f>
        <v/>
      </c>
      <c r="X238" s="38" t="str">
        <f t="shared" si="30"/>
        <v/>
      </c>
      <c r="Y238" s="38" t="str">
        <f t="shared" si="31"/>
        <v/>
      </c>
      <c r="Z238" s="38" t="str">
        <f t="shared" si="32"/>
        <v/>
      </c>
      <c r="AA238" s="38" t="str">
        <f t="shared" si="33"/>
        <v/>
      </c>
      <c r="AB238" s="38" t="str">
        <f t="shared" si="34"/>
        <v/>
      </c>
      <c r="AC238" s="38">
        <f>IF(VLOOKUP(A238,'3rdPhaseChipSeal'!A:L,12,FALSE)="","",VLOOKUP(A238,'3rdPhaseChipSeal'!A:L,12,FALSE))</f>
        <v>2039</v>
      </c>
      <c r="AD238" s="38" t="str">
        <f>IFERROR(IF(VLOOKUP(A238,RpmContracts!A:C,3,FALSE)="","",VLOOKUP(A238,RpmContracts!A:C,3,FALSE)),"")</f>
        <v/>
      </c>
      <c r="AE238" s="7" t="str">
        <f>IF(VLOOKUP(A238,'20yPlan'!A:B,2,FALSE)="","",VLOOKUP(A238,'20yPlan'!A:B,2,FALSE))</f>
        <v/>
      </c>
      <c r="AF238" s="7" t="str">
        <f>IF(VLOOKUP(A238,'20yPlan'!A:C,3,FALSE)="","",VLOOKUP(A238,'20yPlan'!A:C,3,FALSE))</f>
        <v/>
      </c>
      <c r="AG238" s="7" t="str">
        <f>IF(VLOOKUP(A238,'20yPlan'!A:D,4,FALSE)="","",VLOOKUP(A238,'20yPlan'!A:D,4,FALSE))</f>
        <v/>
      </c>
      <c r="AH238" s="7" t="str">
        <f>IF(VLOOKUP(A238,'20yPlan'!A:E,5,FALSE)="","",VLOOKUP(A238,'20yPlan'!A:E,5,FALSE))</f>
        <v/>
      </c>
      <c r="AI238" s="7" t="str">
        <f>IF(VLOOKUP(A238,'20yPlan'!A:F,6,FALSE)="","",VLOOKUP(A238,'20yPlan'!A:F,6,FALSE))</f>
        <v/>
      </c>
      <c r="AJ238" s="7" t="str">
        <f t="shared" si="35"/>
        <v>2039 Chip Seal</v>
      </c>
      <c r="AK238" s="7" t="str">
        <f t="shared" si="36"/>
        <v/>
      </c>
      <c r="AL238" s="39">
        <f t="shared" ca="1" si="37"/>
        <v>2025</v>
      </c>
      <c r="AM238" s="7" t="str">
        <f t="shared" si="38"/>
        <v/>
      </c>
      <c r="AN238" s="7" t="str">
        <f t="shared" si="39"/>
        <v/>
      </c>
    </row>
    <row r="239" spans="1:40">
      <c r="A239" s="6">
        <v>60249</v>
      </c>
      <c r="B239" s="6" t="s">
        <v>792</v>
      </c>
      <c r="C239" s="6" t="s">
        <v>807</v>
      </c>
      <c r="D239" s="6">
        <v>33.329137000000003</v>
      </c>
      <c r="E239" s="6">
        <v>44.745190999999998</v>
      </c>
      <c r="F239" s="6" t="s">
        <v>806</v>
      </c>
      <c r="G239" s="6" t="s">
        <v>808</v>
      </c>
      <c r="H239" s="35">
        <v>167726</v>
      </c>
      <c r="I239" s="6" t="s">
        <v>195</v>
      </c>
      <c r="J239" s="6">
        <v>23</v>
      </c>
      <c r="K239" s="6">
        <v>2025</v>
      </c>
      <c r="L239" s="6">
        <v>2</v>
      </c>
      <c r="M239" s="6" t="s">
        <v>45</v>
      </c>
      <c r="N239" s="6" t="s">
        <v>250</v>
      </c>
      <c r="O239" s="6" t="s">
        <v>302</v>
      </c>
      <c r="P239" s="6" t="s">
        <v>611</v>
      </c>
      <c r="Q239" s="6" t="s">
        <v>81</v>
      </c>
      <c r="R239" s="35">
        <v>1189</v>
      </c>
      <c r="S239" s="6">
        <v>142</v>
      </c>
      <c r="T239" s="36" t="s">
        <v>304</v>
      </c>
      <c r="U239" s="46">
        <f>IF($L239&lt;=2,
IF($R239&lt;=RpmDesignStandard!$C$2,RpmDesignStandard!$D$2,
IF(AND($R239&gt;RpmDesignStandard!$B$3,$R239&lt;=RpmDesignStandard!$C$3),RpmDesignStandard!$D$3,RpmDesignStandard!$D$4)),
IF($R239&lt;=RpmDesignStandard!$C$5, RpmDesignStandard!$D$5,
IF(AND($R239&gt;RpmDesignStandard!$B$6,$R239&lt;=RpmDesignStandard!$C$6),RpmDesignStandard!$D$6,
IF(AND($R239&gt;RpmDesignStandard!$B$7,$R239&lt;=RpmDesignStandard!$C$7),RpmDesignStandard!$D$7,RpmDesignStandard!$D$8))))</f>
        <v>4</v>
      </c>
      <c r="V239" s="47">
        <f>U239*RpmDesignStandard!$H$1</f>
        <v>8</v>
      </c>
      <c r="W239" s="37" t="str">
        <f>VLOOKUP(A239,RPM_ProjectRecord!A:AB,8,FALSE)</f>
        <v/>
      </c>
      <c r="X239" s="38">
        <f t="shared" si="30"/>
        <v>2040</v>
      </c>
      <c r="Y239" s="38" t="str">
        <f t="shared" si="31"/>
        <v/>
      </c>
      <c r="Z239" s="38" t="str">
        <f t="shared" si="32"/>
        <v/>
      </c>
      <c r="AA239" s="38" t="str">
        <f t="shared" si="33"/>
        <v/>
      </c>
      <c r="AB239" s="38" t="str">
        <f t="shared" si="34"/>
        <v/>
      </c>
      <c r="AC239" s="38">
        <f>IF(VLOOKUP(A239,'3rdPhaseChipSeal'!A:L,12,FALSE)="","",VLOOKUP(A239,'3rdPhaseChipSeal'!A:L,12,FALSE))</f>
        <v>2031</v>
      </c>
      <c r="AD239" s="38" t="str">
        <f>IFERROR(IF(VLOOKUP(A239,RpmContracts!A:C,3,FALSE)="","",VLOOKUP(A239,RpmContracts!A:C,3,FALSE)),"")</f>
        <v/>
      </c>
      <c r="AE239" s="7" t="str">
        <f>IF(VLOOKUP(A239,'20yPlan'!A:B,2,FALSE)="","",VLOOKUP(A239,'20yPlan'!A:B,2,FALSE))</f>
        <v>2040 Preventive Maintenance</v>
      </c>
      <c r="AF239" s="7" t="str">
        <f>IF(VLOOKUP(A239,'20yPlan'!A:C,3,FALSE)="","",VLOOKUP(A239,'20yPlan'!A:C,3,FALSE))</f>
        <v/>
      </c>
      <c r="AG239" s="7" t="str">
        <f>IF(VLOOKUP(A239,'20yPlan'!A:D,4,FALSE)="","",VLOOKUP(A239,'20yPlan'!A:D,4,FALSE))</f>
        <v/>
      </c>
      <c r="AH239" s="7" t="str">
        <f>IF(VLOOKUP(A239,'20yPlan'!A:E,5,FALSE)="","",VLOOKUP(A239,'20yPlan'!A:E,5,FALSE))</f>
        <v/>
      </c>
      <c r="AI239" s="7" t="str">
        <f>IF(VLOOKUP(A239,'20yPlan'!A:F,6,FALSE)="","",VLOOKUP(A239,'20yPlan'!A:F,6,FALSE))</f>
        <v/>
      </c>
      <c r="AJ239" s="7" t="str">
        <f t="shared" si="35"/>
        <v>2031 Chip Seal</v>
      </c>
      <c r="AK239" s="7" t="str">
        <f t="shared" si="36"/>
        <v/>
      </c>
      <c r="AL239" s="39">
        <f t="shared" ca="1" si="37"/>
        <v>2025</v>
      </c>
      <c r="AM239" s="7" t="str">
        <f t="shared" si="38"/>
        <v/>
      </c>
      <c r="AN239" s="7" t="str">
        <f t="shared" si="39"/>
        <v/>
      </c>
    </row>
    <row r="240" spans="1:40">
      <c r="A240" s="6">
        <v>60252</v>
      </c>
      <c r="B240" s="6" t="s">
        <v>809</v>
      </c>
      <c r="C240" s="6" t="s">
        <v>810</v>
      </c>
      <c r="D240" s="6">
        <v>0</v>
      </c>
      <c r="E240" s="6">
        <v>4.6814869999999997</v>
      </c>
      <c r="F240" s="6" t="s">
        <v>53</v>
      </c>
      <c r="G240" s="6" t="s">
        <v>811</v>
      </c>
      <c r="H240" s="35">
        <v>62468</v>
      </c>
      <c r="I240" s="6" t="s">
        <v>195</v>
      </c>
      <c r="J240" s="6">
        <v>67</v>
      </c>
      <c r="K240" s="6">
        <v>2026</v>
      </c>
      <c r="L240" s="6">
        <v>2</v>
      </c>
      <c r="M240" s="6" t="s">
        <v>45</v>
      </c>
      <c r="N240" s="6" t="s">
        <v>250</v>
      </c>
      <c r="O240" s="6" t="s">
        <v>61</v>
      </c>
      <c r="P240" s="6" t="s">
        <v>338</v>
      </c>
      <c r="Q240" s="6" t="s">
        <v>339</v>
      </c>
      <c r="R240" s="6">
        <v>258</v>
      </c>
      <c r="S240" s="6">
        <v>34</v>
      </c>
      <c r="T240" s="36" t="s">
        <v>253</v>
      </c>
      <c r="U240" s="46">
        <f>IF($L240&lt;=2,
IF($R240&lt;=RpmDesignStandard!$C$2,RpmDesignStandard!$D$2,
IF(AND($R240&gt;RpmDesignStandard!$B$3,$R240&lt;=RpmDesignStandard!$C$3),RpmDesignStandard!$D$3,RpmDesignStandard!$D$4)),
IF($R240&lt;=RpmDesignStandard!$C$5, RpmDesignStandard!$D$5,
IF(AND($R240&gt;RpmDesignStandard!$B$6,$R240&lt;=RpmDesignStandard!$C$6),RpmDesignStandard!$D$6,
IF(AND($R240&gt;RpmDesignStandard!$B$7,$R240&lt;=RpmDesignStandard!$C$7),RpmDesignStandard!$D$7,RpmDesignStandard!$D$8))))</f>
        <v>4</v>
      </c>
      <c r="V240" s="47">
        <f>U240*RpmDesignStandard!$H$1</f>
        <v>8</v>
      </c>
      <c r="W240" s="37" t="str">
        <f>VLOOKUP(A240,RPM_ProjectRecord!A:AB,8,FALSE)</f>
        <v/>
      </c>
      <c r="X240" s="38" t="str">
        <f t="shared" si="30"/>
        <v/>
      </c>
      <c r="Y240" s="38" t="str">
        <f t="shared" si="31"/>
        <v/>
      </c>
      <c r="Z240" s="38" t="str">
        <f t="shared" si="32"/>
        <v/>
      </c>
      <c r="AA240" s="38" t="str">
        <f t="shared" si="33"/>
        <v/>
      </c>
      <c r="AB240" s="38" t="str">
        <f t="shared" si="34"/>
        <v/>
      </c>
      <c r="AC240" s="38">
        <f>IF(VLOOKUP(A240,'3rdPhaseChipSeal'!A:L,12,FALSE)="","",VLOOKUP(A240,'3rdPhaseChipSeal'!A:L,12,FALSE))</f>
        <v>2034</v>
      </c>
      <c r="AD240" s="38" t="str">
        <f>IFERROR(IF(VLOOKUP(A240,RpmContracts!A:C,3,FALSE)="","",VLOOKUP(A240,RpmContracts!A:C,3,FALSE)),"")</f>
        <v/>
      </c>
      <c r="AE240" s="7" t="str">
        <f>IF(VLOOKUP(A240,'20yPlan'!A:B,2,FALSE)="","",VLOOKUP(A240,'20yPlan'!A:B,2,FALSE))</f>
        <v/>
      </c>
      <c r="AF240" s="7" t="str">
        <f>IF(VLOOKUP(A240,'20yPlan'!A:C,3,FALSE)="","",VLOOKUP(A240,'20yPlan'!A:C,3,FALSE))</f>
        <v/>
      </c>
      <c r="AG240" s="7" t="str">
        <f>IF(VLOOKUP(A240,'20yPlan'!A:D,4,FALSE)="","",VLOOKUP(A240,'20yPlan'!A:D,4,FALSE))</f>
        <v/>
      </c>
      <c r="AH240" s="7" t="str">
        <f>IF(VLOOKUP(A240,'20yPlan'!A:E,5,FALSE)="","",VLOOKUP(A240,'20yPlan'!A:E,5,FALSE))</f>
        <v/>
      </c>
      <c r="AI240" s="7" t="str">
        <f>IF(VLOOKUP(A240,'20yPlan'!A:F,6,FALSE)="","",VLOOKUP(A240,'20yPlan'!A:F,6,FALSE))</f>
        <v/>
      </c>
      <c r="AJ240" s="7" t="str">
        <f t="shared" si="35"/>
        <v>2034 Chip Seal</v>
      </c>
      <c r="AK240" s="7" t="str">
        <f t="shared" si="36"/>
        <v/>
      </c>
      <c r="AL240" s="39">
        <f t="shared" ca="1" si="37"/>
        <v>2025</v>
      </c>
      <c r="AM240" s="7" t="str">
        <f t="shared" si="38"/>
        <v/>
      </c>
      <c r="AN240" s="7" t="str">
        <f t="shared" si="39"/>
        <v/>
      </c>
    </row>
    <row r="241" spans="1:40">
      <c r="A241" s="6">
        <v>60253</v>
      </c>
      <c r="B241" s="6" t="s">
        <v>809</v>
      </c>
      <c r="C241" s="6" t="s">
        <v>812</v>
      </c>
      <c r="D241" s="6">
        <v>4.6814869999999997</v>
      </c>
      <c r="E241" s="6">
        <v>8.2165809999999997</v>
      </c>
      <c r="F241" s="6" t="s">
        <v>811</v>
      </c>
      <c r="G241" s="6" t="s">
        <v>813</v>
      </c>
      <c r="H241" s="35">
        <v>95629</v>
      </c>
      <c r="I241" s="6" t="s">
        <v>195</v>
      </c>
      <c r="J241" s="6">
        <v>12</v>
      </c>
      <c r="K241" s="6"/>
      <c r="L241" s="6">
        <v>2</v>
      </c>
      <c r="M241" s="6" t="s">
        <v>111</v>
      </c>
      <c r="N241" s="6" t="s">
        <v>250</v>
      </c>
      <c r="O241" s="6" t="s">
        <v>61</v>
      </c>
      <c r="P241" s="6" t="s">
        <v>338</v>
      </c>
      <c r="Q241" s="6" t="s">
        <v>339</v>
      </c>
      <c r="R241" s="35">
        <v>1673</v>
      </c>
      <c r="S241" s="6">
        <v>201</v>
      </c>
      <c r="T241" s="36" t="s">
        <v>253</v>
      </c>
      <c r="U241" s="46">
        <f>IF($L241&lt;=2,
IF($R241&lt;=RpmDesignStandard!$C$2,RpmDesignStandard!$D$2,
IF(AND($R241&gt;RpmDesignStandard!$B$3,$R241&lt;=RpmDesignStandard!$C$3),RpmDesignStandard!$D$3,RpmDesignStandard!$D$4)),
IF($R241&lt;=RpmDesignStandard!$C$5, RpmDesignStandard!$D$5,
IF(AND($R241&gt;RpmDesignStandard!$B$6,$R241&lt;=RpmDesignStandard!$C$6),RpmDesignStandard!$D$6,
IF(AND($R241&gt;RpmDesignStandard!$B$7,$R241&lt;=RpmDesignStandard!$C$7),RpmDesignStandard!$D$7,RpmDesignStandard!$D$8))))</f>
        <v>4</v>
      </c>
      <c r="V241" s="47">
        <f>U241*RpmDesignStandard!$H$1</f>
        <v>8</v>
      </c>
      <c r="W241" s="37" t="str">
        <f>VLOOKUP(A241,RPM_ProjectRecord!A:AB,8,FALSE)</f>
        <v/>
      </c>
      <c r="X241" s="38" t="str">
        <f t="shared" si="30"/>
        <v/>
      </c>
      <c r="Y241" s="38" t="str">
        <f t="shared" si="31"/>
        <v/>
      </c>
      <c r="Z241" s="38" t="str">
        <f t="shared" si="32"/>
        <v/>
      </c>
      <c r="AA241" s="38" t="str">
        <f t="shared" si="33"/>
        <v/>
      </c>
      <c r="AB241" s="38" t="str">
        <f t="shared" si="34"/>
        <v/>
      </c>
      <c r="AC241" s="38" t="str">
        <f>IF(VLOOKUP(A241,'3rdPhaseChipSeal'!A:L,12,FALSE)="","",VLOOKUP(A241,'3rdPhaseChipSeal'!A:L,12,FALSE))</f>
        <v/>
      </c>
      <c r="AD241" s="38" t="str">
        <f>IFERROR(IF(VLOOKUP(A241,RpmContracts!A:C,3,FALSE)="","",VLOOKUP(A241,RpmContracts!A:C,3,FALSE)),"")</f>
        <v/>
      </c>
      <c r="AE241" s="7" t="str">
        <f>IF(VLOOKUP(A241,'20yPlan'!A:B,2,FALSE)="","",VLOOKUP(A241,'20yPlan'!A:B,2,FALSE))</f>
        <v/>
      </c>
      <c r="AF241" s="7" t="str">
        <f>IF(VLOOKUP(A241,'20yPlan'!A:C,3,FALSE)="","",VLOOKUP(A241,'20yPlan'!A:C,3,FALSE))</f>
        <v/>
      </c>
      <c r="AG241" s="7" t="str">
        <f>IF(VLOOKUP(A241,'20yPlan'!A:D,4,FALSE)="","",VLOOKUP(A241,'20yPlan'!A:D,4,FALSE))</f>
        <v/>
      </c>
      <c r="AH241" s="7" t="str">
        <f>IF(VLOOKUP(A241,'20yPlan'!A:E,5,FALSE)="","",VLOOKUP(A241,'20yPlan'!A:E,5,FALSE))</f>
        <v/>
      </c>
      <c r="AI241" s="7" t="str">
        <f>IF(VLOOKUP(A241,'20yPlan'!A:F,6,FALSE)="","",VLOOKUP(A241,'20yPlan'!A:F,6,FALSE))</f>
        <v/>
      </c>
      <c r="AJ241" s="7" t="str">
        <f t="shared" si="35"/>
        <v/>
      </c>
      <c r="AK241" s="7" t="str">
        <f t="shared" si="36"/>
        <v/>
      </c>
      <c r="AL241" s="39">
        <f t="shared" ca="1" si="37"/>
        <v>2025</v>
      </c>
      <c r="AM241" s="7" t="str">
        <f t="shared" si="38"/>
        <v/>
      </c>
      <c r="AN241" s="7" t="str">
        <f t="shared" si="39"/>
        <v/>
      </c>
    </row>
    <row r="242" spans="1:40">
      <c r="A242" s="6">
        <v>60254</v>
      </c>
      <c r="B242" s="6" t="s">
        <v>809</v>
      </c>
      <c r="C242" s="6" t="s">
        <v>814</v>
      </c>
      <c r="D242" s="6">
        <v>8.2175809999999991</v>
      </c>
      <c r="E242" s="6">
        <v>12.123844999999999</v>
      </c>
      <c r="F242" s="6" t="s">
        <v>815</v>
      </c>
      <c r="G242" s="6" t="s">
        <v>816</v>
      </c>
      <c r="H242" s="35">
        <v>108339</v>
      </c>
      <c r="I242" s="6" t="s">
        <v>44</v>
      </c>
      <c r="J242" s="6">
        <v>9</v>
      </c>
      <c r="K242" s="6"/>
      <c r="L242" s="6">
        <v>2</v>
      </c>
      <c r="M242" s="6" t="s">
        <v>111</v>
      </c>
      <c r="N242" s="6" t="s">
        <v>46</v>
      </c>
      <c r="O242" s="6" t="s">
        <v>61</v>
      </c>
      <c r="P242" s="6" t="s">
        <v>338</v>
      </c>
      <c r="Q242" s="6" t="s">
        <v>339</v>
      </c>
      <c r="R242" s="35">
        <v>2228</v>
      </c>
      <c r="S242" s="6">
        <v>574</v>
      </c>
      <c r="T242" s="36" t="s">
        <v>50</v>
      </c>
      <c r="U242" s="46">
        <f>IF($L242&lt;=2,
IF($R242&lt;=RpmDesignStandard!$C$2,RpmDesignStandard!$D$2,
IF(AND($R242&gt;RpmDesignStandard!$B$3,$R242&lt;=RpmDesignStandard!$C$3),RpmDesignStandard!$D$3,RpmDesignStandard!$D$4)),
IF($R242&lt;=RpmDesignStandard!$C$5, RpmDesignStandard!$D$5,
IF(AND($R242&gt;RpmDesignStandard!$B$6,$R242&lt;=RpmDesignStandard!$C$6),RpmDesignStandard!$D$6,
IF(AND($R242&gt;RpmDesignStandard!$B$7,$R242&lt;=RpmDesignStandard!$C$7),RpmDesignStandard!$D$7,RpmDesignStandard!$D$8))))</f>
        <v>4</v>
      </c>
      <c r="V242" s="47">
        <f>U242*RpmDesignStandard!$H$1</f>
        <v>8</v>
      </c>
      <c r="W242" s="37" t="str">
        <f>VLOOKUP(A242,RPM_ProjectRecord!A:AB,8,FALSE)</f>
        <v/>
      </c>
      <c r="X242" s="38" t="str">
        <f t="shared" si="30"/>
        <v/>
      </c>
      <c r="Y242" s="38" t="str">
        <f t="shared" si="31"/>
        <v/>
      </c>
      <c r="Z242" s="38" t="str">
        <f t="shared" si="32"/>
        <v/>
      </c>
      <c r="AA242" s="38" t="str">
        <f t="shared" si="33"/>
        <v/>
      </c>
      <c r="AB242" s="38" t="str">
        <f t="shared" si="34"/>
        <v/>
      </c>
      <c r="AC242" s="38" t="str">
        <f>IF(VLOOKUP(A242,'3rdPhaseChipSeal'!A:L,12,FALSE)="","",VLOOKUP(A242,'3rdPhaseChipSeal'!A:L,12,FALSE))</f>
        <v/>
      </c>
      <c r="AD242" s="38" t="str">
        <f>IFERROR(IF(VLOOKUP(A242,RpmContracts!A:C,3,FALSE)="","",VLOOKUP(A242,RpmContracts!A:C,3,FALSE)),"")</f>
        <v/>
      </c>
      <c r="AE242" s="7" t="str">
        <f>IF(VLOOKUP(A242,'20yPlan'!A:B,2,FALSE)="","",VLOOKUP(A242,'20yPlan'!A:B,2,FALSE))</f>
        <v/>
      </c>
      <c r="AF242" s="7" t="str">
        <f>IF(VLOOKUP(A242,'20yPlan'!A:C,3,FALSE)="","",VLOOKUP(A242,'20yPlan'!A:C,3,FALSE))</f>
        <v/>
      </c>
      <c r="AG242" s="7" t="str">
        <f>IF(VLOOKUP(A242,'20yPlan'!A:D,4,FALSE)="","",VLOOKUP(A242,'20yPlan'!A:D,4,FALSE))</f>
        <v/>
      </c>
      <c r="AH242" s="7" t="str">
        <f>IF(VLOOKUP(A242,'20yPlan'!A:E,5,FALSE)="","",VLOOKUP(A242,'20yPlan'!A:E,5,FALSE))</f>
        <v/>
      </c>
      <c r="AI242" s="7" t="str">
        <f>IF(VLOOKUP(A242,'20yPlan'!A:F,6,FALSE)="","",VLOOKUP(A242,'20yPlan'!A:F,6,FALSE))</f>
        <v/>
      </c>
      <c r="AJ242" s="7" t="str">
        <f t="shared" si="35"/>
        <v/>
      </c>
      <c r="AK242" s="7" t="str">
        <f t="shared" si="36"/>
        <v/>
      </c>
      <c r="AL242" s="39">
        <f t="shared" ca="1" si="37"/>
        <v>2025</v>
      </c>
      <c r="AM242" s="7" t="str">
        <f t="shared" si="38"/>
        <v/>
      </c>
      <c r="AN242" s="7" t="str">
        <f t="shared" si="39"/>
        <v/>
      </c>
    </row>
    <row r="243" spans="1:40">
      <c r="A243" s="6">
        <v>60255</v>
      </c>
      <c r="B243" s="6" t="s">
        <v>809</v>
      </c>
      <c r="C243" s="6" t="s">
        <v>817</v>
      </c>
      <c r="D243" s="6">
        <v>12.123844999999999</v>
      </c>
      <c r="E243" s="6">
        <v>21.236564000000001</v>
      </c>
      <c r="F243" s="6" t="s">
        <v>816</v>
      </c>
      <c r="G243" s="6" t="s">
        <v>818</v>
      </c>
      <c r="H243" s="35">
        <v>252974</v>
      </c>
      <c r="I243" s="6" t="s">
        <v>44</v>
      </c>
      <c r="J243" s="6">
        <v>3</v>
      </c>
      <c r="K243" s="6"/>
      <c r="L243" s="6">
        <v>2</v>
      </c>
      <c r="M243" s="6" t="s">
        <v>45</v>
      </c>
      <c r="N243" s="6" t="s">
        <v>46</v>
      </c>
      <c r="O243" s="6" t="s">
        <v>61</v>
      </c>
      <c r="P243" s="6" t="s">
        <v>338</v>
      </c>
      <c r="Q243" s="6" t="s">
        <v>339</v>
      </c>
      <c r="R243" s="35">
        <v>3255</v>
      </c>
      <c r="S243" s="6">
        <v>953</v>
      </c>
      <c r="T243" s="36" t="s">
        <v>50</v>
      </c>
      <c r="U243" s="46">
        <f>IF($L243&lt;=2,
IF($R243&lt;=RpmDesignStandard!$C$2,RpmDesignStandard!$D$2,
IF(AND($R243&gt;RpmDesignStandard!$B$3,$R243&lt;=RpmDesignStandard!$C$3),RpmDesignStandard!$D$3,RpmDesignStandard!$D$4)),
IF($R243&lt;=RpmDesignStandard!$C$5, RpmDesignStandard!$D$5,
IF(AND($R243&gt;RpmDesignStandard!$B$6,$R243&lt;=RpmDesignStandard!$C$6),RpmDesignStandard!$D$6,
IF(AND($R243&gt;RpmDesignStandard!$B$7,$R243&lt;=RpmDesignStandard!$C$7),RpmDesignStandard!$D$7,RpmDesignStandard!$D$8))))</f>
        <v>4</v>
      </c>
      <c r="V243" s="47">
        <f>U243*RpmDesignStandard!$H$1</f>
        <v>8</v>
      </c>
      <c r="W243" s="37" t="str">
        <f>VLOOKUP(A243,RPM_ProjectRecord!A:AB,8,FALSE)</f>
        <v/>
      </c>
      <c r="X243" s="38" t="str">
        <f t="shared" si="30"/>
        <v/>
      </c>
      <c r="Y243" s="38" t="str">
        <f t="shared" si="31"/>
        <v/>
      </c>
      <c r="Z243" s="38" t="str">
        <f t="shared" si="32"/>
        <v/>
      </c>
      <c r="AA243" s="38" t="str">
        <f t="shared" si="33"/>
        <v/>
      </c>
      <c r="AB243" s="38" t="str">
        <f t="shared" si="34"/>
        <v/>
      </c>
      <c r="AC243" s="38" t="str">
        <f>IF(VLOOKUP(A243,'3rdPhaseChipSeal'!A:L,12,FALSE)="","",VLOOKUP(A243,'3rdPhaseChipSeal'!A:L,12,FALSE))</f>
        <v/>
      </c>
      <c r="AD243" s="38" t="str">
        <f>IFERROR(IF(VLOOKUP(A243,RpmContracts!A:C,3,FALSE)="","",VLOOKUP(A243,RpmContracts!A:C,3,FALSE)),"")</f>
        <v/>
      </c>
      <c r="AE243" s="7" t="str">
        <f>IF(VLOOKUP(A243,'20yPlan'!A:B,2,FALSE)="","",VLOOKUP(A243,'20yPlan'!A:B,2,FALSE))</f>
        <v/>
      </c>
      <c r="AF243" s="7" t="str">
        <f>IF(VLOOKUP(A243,'20yPlan'!A:C,3,FALSE)="","",VLOOKUP(A243,'20yPlan'!A:C,3,FALSE))</f>
        <v/>
      </c>
      <c r="AG243" s="7" t="str">
        <f>IF(VLOOKUP(A243,'20yPlan'!A:D,4,FALSE)="","",VLOOKUP(A243,'20yPlan'!A:D,4,FALSE))</f>
        <v/>
      </c>
      <c r="AH243" s="7" t="str">
        <f>IF(VLOOKUP(A243,'20yPlan'!A:E,5,FALSE)="","",VLOOKUP(A243,'20yPlan'!A:E,5,FALSE))</f>
        <v/>
      </c>
      <c r="AI243" s="7" t="str">
        <f>IF(VLOOKUP(A243,'20yPlan'!A:F,6,FALSE)="","",VLOOKUP(A243,'20yPlan'!A:F,6,FALSE))</f>
        <v/>
      </c>
      <c r="AJ243" s="7" t="str">
        <f t="shared" si="35"/>
        <v/>
      </c>
      <c r="AK243" s="7" t="str">
        <f t="shared" si="36"/>
        <v/>
      </c>
      <c r="AL243" s="39">
        <f t="shared" ca="1" si="37"/>
        <v>2025</v>
      </c>
      <c r="AM243" s="7" t="str">
        <f t="shared" si="38"/>
        <v/>
      </c>
      <c r="AN243" s="7" t="str">
        <f t="shared" si="39"/>
        <v/>
      </c>
    </row>
    <row r="244" spans="1:40">
      <c r="A244" s="6">
        <v>60256</v>
      </c>
      <c r="B244" s="6" t="s">
        <v>809</v>
      </c>
      <c r="C244" s="6" t="s">
        <v>819</v>
      </c>
      <c r="D244" s="6">
        <v>21.236564000000001</v>
      </c>
      <c r="E244" s="6">
        <v>24.468333000000001</v>
      </c>
      <c r="F244" s="6" t="s">
        <v>818</v>
      </c>
      <c r="G244" s="6" t="s">
        <v>820</v>
      </c>
      <c r="H244" s="35">
        <v>98812</v>
      </c>
      <c r="I244" s="6" t="s">
        <v>44</v>
      </c>
      <c r="J244" s="6">
        <v>14</v>
      </c>
      <c r="K244" s="6"/>
      <c r="L244" s="6">
        <v>2</v>
      </c>
      <c r="M244" s="6" t="s">
        <v>45</v>
      </c>
      <c r="N244" s="6" t="s">
        <v>46</v>
      </c>
      <c r="O244" s="6" t="s">
        <v>61</v>
      </c>
      <c r="P244" s="6" t="s">
        <v>338</v>
      </c>
      <c r="Q244" s="6" t="s">
        <v>339</v>
      </c>
      <c r="R244" s="35">
        <v>2830</v>
      </c>
      <c r="S244" s="35">
        <v>1010</v>
      </c>
      <c r="T244" s="36" t="s">
        <v>50</v>
      </c>
      <c r="U244" s="46">
        <f>IF($L244&lt;=2,
IF($R244&lt;=RpmDesignStandard!$C$2,RpmDesignStandard!$D$2,
IF(AND($R244&gt;RpmDesignStandard!$B$3,$R244&lt;=RpmDesignStandard!$C$3),RpmDesignStandard!$D$3,RpmDesignStandard!$D$4)),
IF($R244&lt;=RpmDesignStandard!$C$5, RpmDesignStandard!$D$5,
IF(AND($R244&gt;RpmDesignStandard!$B$6,$R244&lt;=RpmDesignStandard!$C$6),RpmDesignStandard!$D$6,
IF(AND($R244&gt;RpmDesignStandard!$B$7,$R244&lt;=RpmDesignStandard!$C$7),RpmDesignStandard!$D$7,RpmDesignStandard!$D$8))))</f>
        <v>4</v>
      </c>
      <c r="V244" s="47">
        <f>U244*RpmDesignStandard!$H$1</f>
        <v>8</v>
      </c>
      <c r="W244" s="37" t="str">
        <f>VLOOKUP(A244,RPM_ProjectRecord!A:AB,8,FALSE)</f>
        <v/>
      </c>
      <c r="X244" s="38" t="str">
        <f t="shared" si="30"/>
        <v/>
      </c>
      <c r="Y244" s="38" t="str">
        <f t="shared" si="31"/>
        <v/>
      </c>
      <c r="Z244" s="38" t="str">
        <f t="shared" si="32"/>
        <v/>
      </c>
      <c r="AA244" s="38" t="str">
        <f t="shared" si="33"/>
        <v/>
      </c>
      <c r="AB244" s="38" t="str">
        <f t="shared" si="34"/>
        <v/>
      </c>
      <c r="AC244" s="38" t="str">
        <f>IF(VLOOKUP(A244,'3rdPhaseChipSeal'!A:L,12,FALSE)="","",VLOOKUP(A244,'3rdPhaseChipSeal'!A:L,12,FALSE))</f>
        <v/>
      </c>
      <c r="AD244" s="38" t="str">
        <f>IFERROR(IF(VLOOKUP(A244,RpmContracts!A:C,3,FALSE)="","",VLOOKUP(A244,RpmContracts!A:C,3,FALSE)),"")</f>
        <v/>
      </c>
      <c r="AE244" s="7" t="str">
        <f>IF(VLOOKUP(A244,'20yPlan'!A:B,2,FALSE)="","",VLOOKUP(A244,'20yPlan'!A:B,2,FALSE))</f>
        <v/>
      </c>
      <c r="AF244" s="7" t="str">
        <f>IF(VLOOKUP(A244,'20yPlan'!A:C,3,FALSE)="","",VLOOKUP(A244,'20yPlan'!A:C,3,FALSE))</f>
        <v/>
      </c>
      <c r="AG244" s="7" t="str">
        <f>IF(VLOOKUP(A244,'20yPlan'!A:D,4,FALSE)="","",VLOOKUP(A244,'20yPlan'!A:D,4,FALSE))</f>
        <v/>
      </c>
      <c r="AH244" s="7" t="str">
        <f>IF(VLOOKUP(A244,'20yPlan'!A:E,5,FALSE)="","",VLOOKUP(A244,'20yPlan'!A:E,5,FALSE))</f>
        <v/>
      </c>
      <c r="AI244" s="7" t="str">
        <f>IF(VLOOKUP(A244,'20yPlan'!A:F,6,FALSE)="","",VLOOKUP(A244,'20yPlan'!A:F,6,FALSE))</f>
        <v/>
      </c>
      <c r="AJ244" s="7" t="str">
        <f t="shared" si="35"/>
        <v/>
      </c>
      <c r="AK244" s="7" t="str">
        <f t="shared" si="36"/>
        <v/>
      </c>
      <c r="AL244" s="39">
        <f t="shared" ca="1" si="37"/>
        <v>2025</v>
      </c>
      <c r="AM244" s="7" t="str">
        <f t="shared" si="38"/>
        <v/>
      </c>
      <c r="AN244" s="7" t="str">
        <f t="shared" si="39"/>
        <v/>
      </c>
    </row>
    <row r="245" spans="1:40">
      <c r="A245" s="6">
        <v>60257</v>
      </c>
      <c r="B245" s="6" t="s">
        <v>809</v>
      </c>
      <c r="C245" s="6" t="s">
        <v>821</v>
      </c>
      <c r="D245" s="6">
        <v>24.468333000000001</v>
      </c>
      <c r="E245" s="6">
        <v>29.865062000000002</v>
      </c>
      <c r="F245" s="6" t="s">
        <v>820</v>
      </c>
      <c r="G245" s="6" t="s">
        <v>822</v>
      </c>
      <c r="H245" s="35">
        <v>150566</v>
      </c>
      <c r="I245" s="6" t="s">
        <v>44</v>
      </c>
      <c r="J245" s="6">
        <v>14</v>
      </c>
      <c r="K245" s="6"/>
      <c r="L245" s="6">
        <v>2</v>
      </c>
      <c r="M245" s="6" t="s">
        <v>45</v>
      </c>
      <c r="N245" s="6" t="s">
        <v>46</v>
      </c>
      <c r="O245" s="6" t="s">
        <v>61</v>
      </c>
      <c r="P245" s="6" t="s">
        <v>338</v>
      </c>
      <c r="Q245" s="6" t="s">
        <v>58</v>
      </c>
      <c r="R245" s="35">
        <v>3291</v>
      </c>
      <c r="S245" s="6">
        <v>676</v>
      </c>
      <c r="T245" s="36" t="s">
        <v>50</v>
      </c>
      <c r="U245" s="46">
        <f>IF($L245&lt;=2,
IF($R245&lt;=RpmDesignStandard!$C$2,RpmDesignStandard!$D$2,
IF(AND($R245&gt;RpmDesignStandard!$B$3,$R245&lt;=RpmDesignStandard!$C$3),RpmDesignStandard!$D$3,RpmDesignStandard!$D$4)),
IF($R245&lt;=RpmDesignStandard!$C$5, RpmDesignStandard!$D$5,
IF(AND($R245&gt;RpmDesignStandard!$B$6,$R245&lt;=RpmDesignStandard!$C$6),RpmDesignStandard!$D$6,
IF(AND($R245&gt;RpmDesignStandard!$B$7,$R245&lt;=RpmDesignStandard!$C$7),RpmDesignStandard!$D$7,RpmDesignStandard!$D$8))))</f>
        <v>4</v>
      </c>
      <c r="V245" s="47">
        <f>U245*RpmDesignStandard!$H$1</f>
        <v>8</v>
      </c>
      <c r="W245" s="37" t="str">
        <f>VLOOKUP(A245,RPM_ProjectRecord!A:AB,8,FALSE)</f>
        <v/>
      </c>
      <c r="X245" s="38" t="str">
        <f t="shared" si="30"/>
        <v/>
      </c>
      <c r="Y245" s="38" t="str">
        <f t="shared" si="31"/>
        <v/>
      </c>
      <c r="Z245" s="38" t="str">
        <f t="shared" si="32"/>
        <v/>
      </c>
      <c r="AA245" s="38" t="str">
        <f t="shared" si="33"/>
        <v/>
      </c>
      <c r="AB245" s="38" t="str">
        <f t="shared" si="34"/>
        <v/>
      </c>
      <c r="AC245" s="38" t="str">
        <f>IF(VLOOKUP(A245,'3rdPhaseChipSeal'!A:L,12,FALSE)="","",VLOOKUP(A245,'3rdPhaseChipSeal'!A:L,12,FALSE))</f>
        <v/>
      </c>
      <c r="AD245" s="38">
        <f>IFERROR(IF(VLOOKUP(A245,RpmContracts!A:C,3,FALSE)="","",VLOOKUP(A245,RpmContracts!A:C,3,FALSE)),"")</f>
        <v>2026</v>
      </c>
      <c r="AE245" s="7" t="str">
        <f>IF(VLOOKUP(A245,'20yPlan'!A:B,2,FALSE)="","",VLOOKUP(A245,'20yPlan'!A:B,2,FALSE))</f>
        <v/>
      </c>
      <c r="AF245" s="7" t="str">
        <f>IF(VLOOKUP(A245,'20yPlan'!A:C,3,FALSE)="","",VLOOKUP(A245,'20yPlan'!A:C,3,FALSE))</f>
        <v/>
      </c>
      <c r="AG245" s="7" t="str">
        <f>IF(VLOOKUP(A245,'20yPlan'!A:D,4,FALSE)="","",VLOOKUP(A245,'20yPlan'!A:D,4,FALSE))</f>
        <v/>
      </c>
      <c r="AH245" s="7" t="str">
        <f>IF(VLOOKUP(A245,'20yPlan'!A:E,5,FALSE)="","",VLOOKUP(A245,'20yPlan'!A:E,5,FALSE))</f>
        <v/>
      </c>
      <c r="AI245" s="7" t="str">
        <f>IF(VLOOKUP(A245,'20yPlan'!A:F,6,FALSE)="","",VLOOKUP(A245,'20yPlan'!A:F,6,FALSE))</f>
        <v/>
      </c>
      <c r="AJ245" s="7" t="str">
        <f t="shared" si="35"/>
        <v/>
      </c>
      <c r="AK245" s="7" t="str">
        <f t="shared" si="36"/>
        <v>2026 RPM Replacement</v>
      </c>
      <c r="AL245" s="39">
        <f t="shared" ca="1" si="37"/>
        <v>2025</v>
      </c>
      <c r="AM245" s="7">
        <f t="shared" si="38"/>
        <v>2026</v>
      </c>
      <c r="AN245" s="7" t="str">
        <f t="shared" si="39"/>
        <v>2026 RPM Replacement</v>
      </c>
    </row>
    <row r="246" spans="1:40">
      <c r="A246" s="6">
        <v>60258</v>
      </c>
      <c r="B246" s="6" t="s">
        <v>823</v>
      </c>
      <c r="C246" s="6" t="s">
        <v>824</v>
      </c>
      <c r="D246" s="6">
        <v>0</v>
      </c>
      <c r="E246" s="6">
        <v>9.1155600000000003</v>
      </c>
      <c r="F246" s="6" t="s">
        <v>825</v>
      </c>
      <c r="G246" s="6" t="s">
        <v>826</v>
      </c>
      <c r="H246" s="35">
        <v>152633</v>
      </c>
      <c r="I246" s="6" t="s">
        <v>195</v>
      </c>
      <c r="J246" s="6">
        <v>5</v>
      </c>
      <c r="K246" s="6">
        <v>2028</v>
      </c>
      <c r="L246" s="6">
        <v>2</v>
      </c>
      <c r="M246" s="6" t="s">
        <v>45</v>
      </c>
      <c r="N246" s="6" t="s">
        <v>250</v>
      </c>
      <c r="O246" s="6" t="s">
        <v>79</v>
      </c>
      <c r="P246" s="6" t="s">
        <v>743</v>
      </c>
      <c r="Q246" s="6" t="s">
        <v>81</v>
      </c>
      <c r="R246" s="35">
        <v>1534</v>
      </c>
      <c r="S246" s="6">
        <v>200</v>
      </c>
      <c r="T246" s="36" t="s">
        <v>304</v>
      </c>
      <c r="U246" s="46">
        <f>IF($L246&lt;=2,
IF($R246&lt;=RpmDesignStandard!$C$2,RpmDesignStandard!$D$2,
IF(AND($R246&gt;RpmDesignStandard!$B$3,$R246&lt;=RpmDesignStandard!$C$3),RpmDesignStandard!$D$3,RpmDesignStandard!$D$4)),
IF($R246&lt;=RpmDesignStandard!$C$5, RpmDesignStandard!$D$5,
IF(AND($R246&gt;RpmDesignStandard!$B$6,$R246&lt;=RpmDesignStandard!$C$6),RpmDesignStandard!$D$6,
IF(AND($R246&gt;RpmDesignStandard!$B$7,$R246&lt;=RpmDesignStandard!$C$7),RpmDesignStandard!$D$7,RpmDesignStandard!$D$8))))</f>
        <v>4</v>
      </c>
      <c r="V246" s="47">
        <f>U246*RpmDesignStandard!$H$1</f>
        <v>8</v>
      </c>
      <c r="W246" s="37" t="str">
        <f>VLOOKUP(A246,RPM_ProjectRecord!A:AB,8,FALSE)</f>
        <v/>
      </c>
      <c r="X246" s="38" t="str">
        <f t="shared" si="30"/>
        <v/>
      </c>
      <c r="Y246" s="38" t="str">
        <f t="shared" si="31"/>
        <v/>
      </c>
      <c r="Z246" s="38" t="str">
        <f t="shared" si="32"/>
        <v/>
      </c>
      <c r="AA246" s="38" t="str">
        <f t="shared" si="33"/>
        <v/>
      </c>
      <c r="AB246" s="38" t="str">
        <f t="shared" si="34"/>
        <v/>
      </c>
      <c r="AC246" s="38">
        <f>IF(VLOOKUP(A246,'3rdPhaseChipSeal'!A:L,12,FALSE)="","",VLOOKUP(A246,'3rdPhaseChipSeal'!A:L,12,FALSE))</f>
        <v>2041</v>
      </c>
      <c r="AD246" s="38" t="str">
        <f>IFERROR(IF(VLOOKUP(A246,RpmContracts!A:C,3,FALSE)="","",VLOOKUP(A246,RpmContracts!A:C,3,FALSE)),"")</f>
        <v/>
      </c>
      <c r="AE246" s="7" t="str">
        <f>IF(VLOOKUP(A246,'20yPlan'!A:B,2,FALSE)="","",VLOOKUP(A246,'20yPlan'!A:B,2,FALSE))</f>
        <v/>
      </c>
      <c r="AF246" s="7" t="str">
        <f>IF(VLOOKUP(A246,'20yPlan'!A:C,3,FALSE)="","",VLOOKUP(A246,'20yPlan'!A:C,3,FALSE))</f>
        <v/>
      </c>
      <c r="AG246" s="7" t="str">
        <f>IF(VLOOKUP(A246,'20yPlan'!A:D,4,FALSE)="","",VLOOKUP(A246,'20yPlan'!A:D,4,FALSE))</f>
        <v/>
      </c>
      <c r="AH246" s="7" t="str">
        <f>IF(VLOOKUP(A246,'20yPlan'!A:E,5,FALSE)="","",VLOOKUP(A246,'20yPlan'!A:E,5,FALSE))</f>
        <v/>
      </c>
      <c r="AI246" s="7" t="str">
        <f>IF(VLOOKUP(A246,'20yPlan'!A:F,6,FALSE)="","",VLOOKUP(A246,'20yPlan'!A:F,6,FALSE))</f>
        <v/>
      </c>
      <c r="AJ246" s="7" t="str">
        <f t="shared" si="35"/>
        <v>2041 Chip Seal</v>
      </c>
      <c r="AK246" s="7" t="str">
        <f t="shared" si="36"/>
        <v/>
      </c>
      <c r="AL246" s="39">
        <f t="shared" ca="1" si="37"/>
        <v>2025</v>
      </c>
      <c r="AM246" s="7" t="str">
        <f t="shared" si="38"/>
        <v/>
      </c>
      <c r="AN246" s="7" t="str">
        <f t="shared" si="39"/>
        <v/>
      </c>
    </row>
    <row r="247" spans="1:40">
      <c r="A247" s="6">
        <v>60259</v>
      </c>
      <c r="B247" s="6" t="s">
        <v>823</v>
      </c>
      <c r="C247" s="6" t="s">
        <v>827</v>
      </c>
      <c r="D247" s="6">
        <v>9.1165599999999998</v>
      </c>
      <c r="E247" s="6">
        <v>15.271152000000001</v>
      </c>
      <c r="F247" s="6" t="s">
        <v>828</v>
      </c>
      <c r="G247" s="6" t="s">
        <v>829</v>
      </c>
      <c r="H247" s="35">
        <v>76180</v>
      </c>
      <c r="I247" s="6" t="s">
        <v>195</v>
      </c>
      <c r="J247" s="6">
        <v>22</v>
      </c>
      <c r="K247" s="6">
        <v>2031</v>
      </c>
      <c r="L247" s="6">
        <v>2</v>
      </c>
      <c r="M247" s="6" t="s">
        <v>45</v>
      </c>
      <c r="N247" s="6" t="s">
        <v>250</v>
      </c>
      <c r="O247" s="6" t="s">
        <v>79</v>
      </c>
      <c r="P247" s="6" t="s">
        <v>346</v>
      </c>
      <c r="Q247" s="6" t="s">
        <v>347</v>
      </c>
      <c r="R247" s="6">
        <v>555</v>
      </c>
      <c r="S247" s="6">
        <v>54</v>
      </c>
      <c r="T247" s="36" t="s">
        <v>253</v>
      </c>
      <c r="U247" s="46">
        <f>IF($L247&lt;=2,
IF($R247&lt;=RpmDesignStandard!$C$2,RpmDesignStandard!$D$2,
IF(AND($R247&gt;RpmDesignStandard!$B$3,$R247&lt;=RpmDesignStandard!$C$3),RpmDesignStandard!$D$3,RpmDesignStandard!$D$4)),
IF($R247&lt;=RpmDesignStandard!$C$5, RpmDesignStandard!$D$5,
IF(AND($R247&gt;RpmDesignStandard!$B$6,$R247&lt;=RpmDesignStandard!$C$6),RpmDesignStandard!$D$6,
IF(AND($R247&gt;RpmDesignStandard!$B$7,$R247&lt;=RpmDesignStandard!$C$7),RpmDesignStandard!$D$7,RpmDesignStandard!$D$8))))</f>
        <v>4</v>
      </c>
      <c r="V247" s="47">
        <f>U247*RpmDesignStandard!$H$1</f>
        <v>8</v>
      </c>
      <c r="W247" s="37" t="str">
        <f>VLOOKUP(A247,RPM_ProjectRecord!A:AB,8,FALSE)</f>
        <v/>
      </c>
      <c r="X247" s="38">
        <f t="shared" si="30"/>
        <v>2036</v>
      </c>
      <c r="Y247" s="38" t="str">
        <f t="shared" si="31"/>
        <v/>
      </c>
      <c r="Z247" s="38" t="str">
        <f t="shared" si="32"/>
        <v/>
      </c>
      <c r="AA247" s="38" t="str">
        <f t="shared" si="33"/>
        <v/>
      </c>
      <c r="AB247" s="38" t="str">
        <f t="shared" si="34"/>
        <v/>
      </c>
      <c r="AC247" s="38" t="str">
        <f>IF(VLOOKUP(A247,'3rdPhaseChipSeal'!A:L,12,FALSE)="","",VLOOKUP(A247,'3rdPhaseChipSeal'!A:L,12,FALSE))</f>
        <v/>
      </c>
      <c r="AD247" s="38" t="str">
        <f>IFERROR(IF(VLOOKUP(A247,RpmContracts!A:C,3,FALSE)="","",VLOOKUP(A247,RpmContracts!A:C,3,FALSE)),"")</f>
        <v/>
      </c>
      <c r="AE247" s="7" t="str">
        <f>IF(VLOOKUP(A247,'20yPlan'!A:B,2,FALSE)="","",VLOOKUP(A247,'20yPlan'!A:B,2,FALSE))</f>
        <v>2036 Preventive Maintenance</v>
      </c>
      <c r="AF247" s="7" t="str">
        <f>IF(VLOOKUP(A247,'20yPlan'!A:C,3,FALSE)="","",VLOOKUP(A247,'20yPlan'!A:C,3,FALSE))</f>
        <v/>
      </c>
      <c r="AG247" s="7" t="str">
        <f>IF(VLOOKUP(A247,'20yPlan'!A:D,4,FALSE)="","",VLOOKUP(A247,'20yPlan'!A:D,4,FALSE))</f>
        <v/>
      </c>
      <c r="AH247" s="7" t="str">
        <f>IF(VLOOKUP(A247,'20yPlan'!A:E,5,FALSE)="","",VLOOKUP(A247,'20yPlan'!A:E,5,FALSE))</f>
        <v/>
      </c>
      <c r="AI247" s="7" t="str">
        <f>IF(VLOOKUP(A247,'20yPlan'!A:F,6,FALSE)="","",VLOOKUP(A247,'20yPlan'!A:F,6,FALSE))</f>
        <v/>
      </c>
      <c r="AJ247" s="7" t="str">
        <f t="shared" si="35"/>
        <v/>
      </c>
      <c r="AK247" s="7" t="str">
        <f t="shared" si="36"/>
        <v/>
      </c>
      <c r="AL247" s="39">
        <f t="shared" ca="1" si="37"/>
        <v>2025</v>
      </c>
      <c r="AM247" s="7" t="str">
        <f t="shared" si="38"/>
        <v/>
      </c>
      <c r="AN247" s="7" t="str">
        <f t="shared" si="39"/>
        <v/>
      </c>
    </row>
    <row r="248" spans="1:40">
      <c r="A248" s="6">
        <v>60260</v>
      </c>
      <c r="B248" s="6" t="s">
        <v>830</v>
      </c>
      <c r="C248" s="6" t="s">
        <v>831</v>
      </c>
      <c r="D248" s="6">
        <v>5.3708460000000002</v>
      </c>
      <c r="E248" s="6">
        <v>13.635641</v>
      </c>
      <c r="F248" s="6" t="s">
        <v>832</v>
      </c>
      <c r="G248" s="6" t="s">
        <v>833</v>
      </c>
      <c r="H248" s="35">
        <v>158947</v>
      </c>
      <c r="I248" s="6" t="s">
        <v>195</v>
      </c>
      <c r="J248" s="6">
        <v>18</v>
      </c>
      <c r="K248" s="6">
        <v>2030</v>
      </c>
      <c r="L248" s="6">
        <v>2</v>
      </c>
      <c r="M248" s="6" t="s">
        <v>45</v>
      </c>
      <c r="N248" s="6" t="s">
        <v>250</v>
      </c>
      <c r="O248" s="6" t="s">
        <v>79</v>
      </c>
      <c r="P248" s="6" t="s">
        <v>92</v>
      </c>
      <c r="Q248" s="6" t="s">
        <v>96</v>
      </c>
      <c r="R248" s="6">
        <v>699</v>
      </c>
      <c r="S248" s="6">
        <v>76</v>
      </c>
      <c r="T248" s="36" t="s">
        <v>253</v>
      </c>
      <c r="U248" s="46">
        <f>IF($L248&lt;=2,
IF($R248&lt;=RpmDesignStandard!$C$2,RpmDesignStandard!$D$2,
IF(AND($R248&gt;RpmDesignStandard!$B$3,$R248&lt;=RpmDesignStandard!$C$3),RpmDesignStandard!$D$3,RpmDesignStandard!$D$4)),
IF($R248&lt;=RpmDesignStandard!$C$5, RpmDesignStandard!$D$5,
IF(AND($R248&gt;RpmDesignStandard!$B$6,$R248&lt;=RpmDesignStandard!$C$6),RpmDesignStandard!$D$6,
IF(AND($R248&gt;RpmDesignStandard!$B$7,$R248&lt;=RpmDesignStandard!$C$7),RpmDesignStandard!$D$7,RpmDesignStandard!$D$8))))</f>
        <v>4</v>
      </c>
      <c r="V248" s="47">
        <f>U248*RpmDesignStandard!$H$1</f>
        <v>8</v>
      </c>
      <c r="W248" s="37" t="str">
        <f>VLOOKUP(A248,RPM_ProjectRecord!A:AB,8,FALSE)</f>
        <v/>
      </c>
      <c r="X248" s="38" t="str">
        <f t="shared" si="30"/>
        <v/>
      </c>
      <c r="Y248" s="38" t="str">
        <f t="shared" si="31"/>
        <v/>
      </c>
      <c r="Z248" s="38" t="str">
        <f t="shared" si="32"/>
        <v/>
      </c>
      <c r="AA248" s="38" t="str">
        <f t="shared" si="33"/>
        <v/>
      </c>
      <c r="AB248" s="38" t="str">
        <f t="shared" si="34"/>
        <v/>
      </c>
      <c r="AC248" s="38">
        <f>IF(VLOOKUP(A248,'3rdPhaseChipSeal'!A:L,12,FALSE)="","",VLOOKUP(A248,'3rdPhaseChipSeal'!A:L,12,FALSE))</f>
        <v>2037</v>
      </c>
      <c r="AD248" s="38" t="str">
        <f>IFERROR(IF(VLOOKUP(A248,RpmContracts!A:C,3,FALSE)="","",VLOOKUP(A248,RpmContracts!A:C,3,FALSE)),"")</f>
        <v/>
      </c>
      <c r="AE248" s="7" t="str">
        <f>IF(VLOOKUP(A248,'20yPlan'!A:B,2,FALSE)="","",VLOOKUP(A248,'20yPlan'!A:B,2,FALSE))</f>
        <v/>
      </c>
      <c r="AF248" s="7" t="str">
        <f>IF(VLOOKUP(A248,'20yPlan'!A:C,3,FALSE)="","",VLOOKUP(A248,'20yPlan'!A:C,3,FALSE))</f>
        <v/>
      </c>
      <c r="AG248" s="7" t="str">
        <f>IF(VLOOKUP(A248,'20yPlan'!A:D,4,FALSE)="","",VLOOKUP(A248,'20yPlan'!A:D,4,FALSE))</f>
        <v/>
      </c>
      <c r="AH248" s="7" t="str">
        <f>IF(VLOOKUP(A248,'20yPlan'!A:E,5,FALSE)="","",VLOOKUP(A248,'20yPlan'!A:E,5,FALSE))</f>
        <v/>
      </c>
      <c r="AI248" s="7" t="str">
        <f>IF(VLOOKUP(A248,'20yPlan'!A:F,6,FALSE)="","",VLOOKUP(A248,'20yPlan'!A:F,6,FALSE))</f>
        <v/>
      </c>
      <c r="AJ248" s="7" t="str">
        <f t="shared" si="35"/>
        <v>2037 Chip Seal</v>
      </c>
      <c r="AK248" s="7" t="str">
        <f t="shared" si="36"/>
        <v/>
      </c>
      <c r="AL248" s="39">
        <f t="shared" ca="1" si="37"/>
        <v>2025</v>
      </c>
      <c r="AM248" s="7" t="str">
        <f t="shared" si="38"/>
        <v/>
      </c>
      <c r="AN248" s="7" t="str">
        <f t="shared" si="39"/>
        <v/>
      </c>
    </row>
    <row r="249" spans="1:40">
      <c r="A249" s="6">
        <v>60261</v>
      </c>
      <c r="B249" s="6" t="s">
        <v>102</v>
      </c>
      <c r="C249" s="6" t="s">
        <v>834</v>
      </c>
      <c r="D249" s="6">
        <v>0</v>
      </c>
      <c r="E249" s="6">
        <v>0.68250999999999995</v>
      </c>
      <c r="F249" s="6" t="s">
        <v>835</v>
      </c>
      <c r="G249" s="6" t="s">
        <v>104</v>
      </c>
      <c r="H249" s="35">
        <v>32177</v>
      </c>
      <c r="I249" s="6" t="s">
        <v>55</v>
      </c>
      <c r="J249" s="6">
        <v>5</v>
      </c>
      <c r="K249" s="6">
        <v>2035</v>
      </c>
      <c r="L249" s="6">
        <v>4</v>
      </c>
      <c r="M249" s="6" t="s">
        <v>111</v>
      </c>
      <c r="N249" s="6" t="s">
        <v>46</v>
      </c>
      <c r="O249" s="6" t="s">
        <v>61</v>
      </c>
      <c r="P249" s="6" t="s">
        <v>106</v>
      </c>
      <c r="Q249" s="6" t="s">
        <v>107</v>
      </c>
      <c r="R249" s="35">
        <v>38467</v>
      </c>
      <c r="S249" s="35">
        <v>5288</v>
      </c>
      <c r="T249" s="36" t="s">
        <v>50</v>
      </c>
      <c r="U249" s="46">
        <f>IF($L249&lt;=2,
IF($R249&lt;=RpmDesignStandard!$C$2,RpmDesignStandard!$D$2,
IF(AND($R249&gt;RpmDesignStandard!$B$3,$R249&lt;=RpmDesignStandard!$C$3),RpmDesignStandard!$D$3,RpmDesignStandard!$D$4)),
IF($R249&lt;=RpmDesignStandard!$C$5, RpmDesignStandard!$D$5,
IF(AND($R249&gt;RpmDesignStandard!$B$6,$R249&lt;=RpmDesignStandard!$C$6),RpmDesignStandard!$D$6,
IF(AND($R249&gt;RpmDesignStandard!$B$7,$R249&lt;=RpmDesignStandard!$C$7),RpmDesignStandard!$D$7,RpmDesignStandard!$D$8))))</f>
        <v>2</v>
      </c>
      <c r="V249" s="47">
        <f>U249*RpmDesignStandard!$H$1</f>
        <v>4</v>
      </c>
      <c r="W249" s="37" t="str">
        <f>VLOOKUP(A249,RPM_ProjectRecord!A:AB,8,FALSE)</f>
        <v/>
      </c>
      <c r="X249" s="38">
        <f t="shared" si="30"/>
        <v>2035</v>
      </c>
      <c r="Y249" s="38" t="str">
        <f t="shared" si="31"/>
        <v/>
      </c>
      <c r="Z249" s="38" t="str">
        <f t="shared" si="32"/>
        <v/>
      </c>
      <c r="AA249" s="38" t="str">
        <f t="shared" si="33"/>
        <v/>
      </c>
      <c r="AB249" s="38" t="str">
        <f t="shared" si="34"/>
        <v/>
      </c>
      <c r="AC249" s="38" t="str">
        <f>IF(VLOOKUP(A249,'3rdPhaseChipSeal'!A:L,12,FALSE)="","",VLOOKUP(A249,'3rdPhaseChipSeal'!A:L,12,FALSE))</f>
        <v/>
      </c>
      <c r="AD249" s="38" t="str">
        <f>IFERROR(IF(VLOOKUP(A249,RpmContracts!A:C,3,FALSE)="","",VLOOKUP(A249,RpmContracts!A:C,3,FALSE)),"")</f>
        <v/>
      </c>
      <c r="AE249" s="7" t="str">
        <f>IF(VLOOKUP(A249,'20yPlan'!A:B,2,FALSE)="","",VLOOKUP(A249,'20yPlan'!A:B,2,FALSE))</f>
        <v>2035 Preventive Maintenance</v>
      </c>
      <c r="AF249" s="7" t="str">
        <f>IF(VLOOKUP(A249,'20yPlan'!A:C,3,FALSE)="","",VLOOKUP(A249,'20yPlan'!A:C,3,FALSE))</f>
        <v/>
      </c>
      <c r="AG249" s="7" t="str">
        <f>IF(VLOOKUP(A249,'20yPlan'!A:D,4,FALSE)="","",VLOOKUP(A249,'20yPlan'!A:D,4,FALSE))</f>
        <v/>
      </c>
      <c r="AH249" s="7" t="str">
        <f>IF(VLOOKUP(A249,'20yPlan'!A:E,5,FALSE)="","",VLOOKUP(A249,'20yPlan'!A:E,5,FALSE))</f>
        <v/>
      </c>
      <c r="AI249" s="7" t="str">
        <f>IF(VLOOKUP(A249,'20yPlan'!A:F,6,FALSE)="","",VLOOKUP(A249,'20yPlan'!A:F,6,FALSE))</f>
        <v/>
      </c>
      <c r="AJ249" s="7" t="str">
        <f t="shared" si="35"/>
        <v/>
      </c>
      <c r="AK249" s="7" t="str">
        <f t="shared" si="36"/>
        <v/>
      </c>
      <c r="AL249" s="39">
        <f t="shared" ca="1" si="37"/>
        <v>2025</v>
      </c>
      <c r="AM249" s="7" t="str">
        <f t="shared" si="38"/>
        <v/>
      </c>
      <c r="AN249" s="7" t="str">
        <f t="shared" si="39"/>
        <v/>
      </c>
    </row>
    <row r="250" spans="1:40">
      <c r="A250" s="6">
        <v>60262</v>
      </c>
      <c r="B250" s="6" t="s">
        <v>279</v>
      </c>
      <c r="C250" s="6" t="s">
        <v>836</v>
      </c>
      <c r="D250" s="6">
        <v>9.3680009999999996</v>
      </c>
      <c r="E250" s="6">
        <v>9.9742669999999993</v>
      </c>
      <c r="F250" s="6" t="s">
        <v>837</v>
      </c>
      <c r="G250" s="6" t="s">
        <v>838</v>
      </c>
      <c r="H250" s="35">
        <v>12161</v>
      </c>
      <c r="I250" s="6" t="s">
        <v>44</v>
      </c>
      <c r="J250" s="6">
        <v>55</v>
      </c>
      <c r="K250" s="6">
        <v>2026</v>
      </c>
      <c r="L250" s="6">
        <v>2</v>
      </c>
      <c r="M250" s="6" t="s">
        <v>45</v>
      </c>
      <c r="N250" s="6" t="s">
        <v>250</v>
      </c>
      <c r="O250" s="6" t="s">
        <v>165</v>
      </c>
      <c r="P250" s="6" t="s">
        <v>236</v>
      </c>
      <c r="Q250" s="6" t="s">
        <v>240</v>
      </c>
      <c r="R250" s="35">
        <v>1144</v>
      </c>
      <c r="S250" s="6">
        <v>137</v>
      </c>
      <c r="T250" s="36" t="s">
        <v>50</v>
      </c>
      <c r="U250" s="46">
        <f>IF($L250&lt;=2,
IF($R250&lt;=RpmDesignStandard!$C$2,RpmDesignStandard!$D$2,
IF(AND($R250&gt;RpmDesignStandard!$B$3,$R250&lt;=RpmDesignStandard!$C$3),RpmDesignStandard!$D$3,RpmDesignStandard!$D$4)),
IF($R250&lt;=RpmDesignStandard!$C$5, RpmDesignStandard!$D$5,
IF(AND($R250&gt;RpmDesignStandard!$B$6,$R250&lt;=RpmDesignStandard!$C$6),RpmDesignStandard!$D$6,
IF(AND($R250&gt;RpmDesignStandard!$B$7,$R250&lt;=RpmDesignStandard!$C$7),RpmDesignStandard!$D$7,RpmDesignStandard!$D$8))))</f>
        <v>4</v>
      </c>
      <c r="V250" s="47">
        <f>U250*RpmDesignStandard!$H$1</f>
        <v>8</v>
      </c>
      <c r="W250" s="37" t="str">
        <f>VLOOKUP(A250,RPM_ProjectRecord!A:AB,8,FALSE)</f>
        <v/>
      </c>
      <c r="X250" s="38" t="str">
        <f t="shared" si="30"/>
        <v/>
      </c>
      <c r="Y250" s="38" t="str">
        <f t="shared" si="31"/>
        <v/>
      </c>
      <c r="Z250" s="38" t="str">
        <f t="shared" si="32"/>
        <v/>
      </c>
      <c r="AA250" s="38" t="str">
        <f t="shared" si="33"/>
        <v/>
      </c>
      <c r="AB250" s="38" t="str">
        <f t="shared" si="34"/>
        <v/>
      </c>
      <c r="AC250" s="38" t="str">
        <f>IF(VLOOKUP(A250,'3rdPhaseChipSeal'!A:L,12,FALSE)="","",VLOOKUP(A250,'3rdPhaseChipSeal'!A:L,12,FALSE))</f>
        <v/>
      </c>
      <c r="AD250" s="38" t="str">
        <f>IFERROR(IF(VLOOKUP(A250,RpmContracts!A:C,3,FALSE)="","",VLOOKUP(A250,RpmContracts!A:C,3,FALSE)),"")</f>
        <v/>
      </c>
      <c r="AE250" s="7" t="str">
        <f>IF(VLOOKUP(A250,'20yPlan'!A:B,2,FALSE)="","",VLOOKUP(A250,'20yPlan'!A:B,2,FALSE))</f>
        <v/>
      </c>
      <c r="AF250" s="7" t="str">
        <f>IF(VLOOKUP(A250,'20yPlan'!A:C,3,FALSE)="","",VLOOKUP(A250,'20yPlan'!A:C,3,FALSE))</f>
        <v/>
      </c>
      <c r="AG250" s="7" t="str">
        <f>IF(VLOOKUP(A250,'20yPlan'!A:D,4,FALSE)="","",VLOOKUP(A250,'20yPlan'!A:D,4,FALSE))</f>
        <v/>
      </c>
      <c r="AH250" s="7" t="str">
        <f>IF(VLOOKUP(A250,'20yPlan'!A:E,5,FALSE)="","",VLOOKUP(A250,'20yPlan'!A:E,5,FALSE))</f>
        <v/>
      </c>
      <c r="AI250" s="7" t="str">
        <f>IF(VLOOKUP(A250,'20yPlan'!A:F,6,FALSE)="","",VLOOKUP(A250,'20yPlan'!A:F,6,FALSE))</f>
        <v/>
      </c>
      <c r="AJ250" s="7" t="str">
        <f t="shared" si="35"/>
        <v/>
      </c>
      <c r="AK250" s="7" t="str">
        <f t="shared" si="36"/>
        <v/>
      </c>
      <c r="AL250" s="39">
        <f t="shared" ca="1" si="37"/>
        <v>2025</v>
      </c>
      <c r="AM250" s="7" t="str">
        <f t="shared" si="38"/>
        <v/>
      </c>
      <c r="AN250" s="7" t="str">
        <f t="shared" si="39"/>
        <v/>
      </c>
    </row>
    <row r="251" spans="1:40">
      <c r="A251" s="6">
        <v>60263</v>
      </c>
      <c r="B251" s="6" t="s">
        <v>533</v>
      </c>
      <c r="C251" s="6" t="s">
        <v>839</v>
      </c>
      <c r="D251" s="6">
        <v>7.7505309999999996</v>
      </c>
      <c r="E251" s="6">
        <v>8.5551960000000005</v>
      </c>
      <c r="F251" s="6" t="s">
        <v>537</v>
      </c>
      <c r="G251" s="6" t="s">
        <v>840</v>
      </c>
      <c r="H251" s="35">
        <v>19034</v>
      </c>
      <c r="I251" s="6" t="s">
        <v>195</v>
      </c>
      <c r="J251" s="6">
        <v>37</v>
      </c>
      <c r="K251" s="6"/>
      <c r="L251" s="6">
        <v>2</v>
      </c>
      <c r="M251" s="6" t="s">
        <v>111</v>
      </c>
      <c r="N251" s="6" t="s">
        <v>46</v>
      </c>
      <c r="O251" s="6" t="s">
        <v>61</v>
      </c>
      <c r="P251" s="6" t="s">
        <v>70</v>
      </c>
      <c r="Q251" s="6" t="s">
        <v>633</v>
      </c>
      <c r="R251" s="35">
        <v>3464</v>
      </c>
      <c r="S251" s="6">
        <v>490</v>
      </c>
      <c r="T251" s="36" t="s">
        <v>50</v>
      </c>
      <c r="U251" s="46">
        <f>IF($L251&lt;=2,
IF($R251&lt;=RpmDesignStandard!$C$2,RpmDesignStandard!$D$2,
IF(AND($R251&gt;RpmDesignStandard!$B$3,$R251&lt;=RpmDesignStandard!$C$3),RpmDesignStandard!$D$3,RpmDesignStandard!$D$4)),
IF($R251&lt;=RpmDesignStandard!$C$5, RpmDesignStandard!$D$5,
IF(AND($R251&gt;RpmDesignStandard!$B$6,$R251&lt;=RpmDesignStandard!$C$6),RpmDesignStandard!$D$6,
IF(AND($R251&gt;RpmDesignStandard!$B$7,$R251&lt;=RpmDesignStandard!$C$7),RpmDesignStandard!$D$7,RpmDesignStandard!$D$8))))</f>
        <v>4</v>
      </c>
      <c r="V251" s="47">
        <f>U251*RpmDesignStandard!$H$1</f>
        <v>8</v>
      </c>
      <c r="W251" s="37" t="str">
        <f>VLOOKUP(A251,RPM_ProjectRecord!A:AB,8,FALSE)</f>
        <v/>
      </c>
      <c r="X251" s="38">
        <f t="shared" si="30"/>
        <v>2038</v>
      </c>
      <c r="Y251" s="38">
        <f t="shared" si="31"/>
        <v>2039</v>
      </c>
      <c r="Z251" s="38" t="str">
        <f t="shared" si="32"/>
        <v/>
      </c>
      <c r="AA251" s="38" t="str">
        <f t="shared" si="33"/>
        <v/>
      </c>
      <c r="AB251" s="38" t="str">
        <f t="shared" si="34"/>
        <v/>
      </c>
      <c r="AC251" s="38" t="str">
        <f>IF(VLOOKUP(A251,'3rdPhaseChipSeal'!A:L,12,FALSE)="","",VLOOKUP(A251,'3rdPhaseChipSeal'!A:L,12,FALSE))</f>
        <v/>
      </c>
      <c r="AD251" s="38" t="str">
        <f>IFERROR(IF(VLOOKUP(A251,RpmContracts!A:C,3,FALSE)="","",VLOOKUP(A251,RpmContracts!A:C,3,FALSE)),"")</f>
        <v/>
      </c>
      <c r="AE251" s="7" t="str">
        <f>IF(VLOOKUP(A251,'20yPlan'!A:B,2,FALSE)="","",VLOOKUP(A251,'20yPlan'!A:B,2,FALSE))</f>
        <v>2038 Rehab</v>
      </c>
      <c r="AF251" s="7" t="str">
        <f>IF(VLOOKUP(A251,'20yPlan'!A:C,3,FALSE)="","",VLOOKUP(A251,'20yPlan'!A:C,3,FALSE))</f>
        <v>2039 Rehab</v>
      </c>
      <c r="AG251" s="7" t="str">
        <f>IF(VLOOKUP(A251,'20yPlan'!A:D,4,FALSE)="","",VLOOKUP(A251,'20yPlan'!A:D,4,FALSE))</f>
        <v/>
      </c>
      <c r="AH251" s="7" t="str">
        <f>IF(VLOOKUP(A251,'20yPlan'!A:E,5,FALSE)="","",VLOOKUP(A251,'20yPlan'!A:E,5,FALSE))</f>
        <v/>
      </c>
      <c r="AI251" s="7" t="str">
        <f>IF(VLOOKUP(A251,'20yPlan'!A:F,6,FALSE)="","",VLOOKUP(A251,'20yPlan'!A:F,6,FALSE))</f>
        <v/>
      </c>
      <c r="AJ251" s="7" t="str">
        <f t="shared" si="35"/>
        <v/>
      </c>
      <c r="AK251" s="7" t="str">
        <f t="shared" si="36"/>
        <v/>
      </c>
      <c r="AL251" s="39">
        <f t="shared" ca="1" si="37"/>
        <v>2025</v>
      </c>
      <c r="AM251" s="7" t="str">
        <f t="shared" si="38"/>
        <v/>
      </c>
      <c r="AN251" s="7" t="str">
        <f t="shared" si="39"/>
        <v/>
      </c>
    </row>
    <row r="252" spans="1:40">
      <c r="A252" s="6">
        <v>60264</v>
      </c>
      <c r="B252" s="6" t="s">
        <v>599</v>
      </c>
      <c r="C252" s="6" t="s">
        <v>841</v>
      </c>
      <c r="D252" s="6">
        <v>41.221288000000001</v>
      </c>
      <c r="E252" s="6">
        <v>42.325566000000002</v>
      </c>
      <c r="F252" s="6" t="s">
        <v>842</v>
      </c>
      <c r="G252" s="6" t="s">
        <v>616</v>
      </c>
      <c r="H252" s="35">
        <v>20587</v>
      </c>
      <c r="I252" s="6" t="s">
        <v>44</v>
      </c>
      <c r="J252" s="6">
        <v>1</v>
      </c>
      <c r="K252" s="6"/>
      <c r="L252" s="6">
        <v>2</v>
      </c>
      <c r="M252" s="6" t="s">
        <v>45</v>
      </c>
      <c r="N252" s="6" t="s">
        <v>250</v>
      </c>
      <c r="O252" s="6" t="s">
        <v>121</v>
      </c>
      <c r="P252" s="6" t="s">
        <v>122</v>
      </c>
      <c r="Q252" s="6" t="s">
        <v>123</v>
      </c>
      <c r="R252" s="35">
        <v>3341</v>
      </c>
      <c r="S252" s="6">
        <v>441</v>
      </c>
      <c r="T252" s="36" t="s">
        <v>50</v>
      </c>
      <c r="U252" s="46">
        <f>IF($L252&lt;=2,
IF($R252&lt;=RpmDesignStandard!$C$2,RpmDesignStandard!$D$2,
IF(AND($R252&gt;RpmDesignStandard!$B$3,$R252&lt;=RpmDesignStandard!$C$3),RpmDesignStandard!$D$3,RpmDesignStandard!$D$4)),
IF($R252&lt;=RpmDesignStandard!$C$5, RpmDesignStandard!$D$5,
IF(AND($R252&gt;RpmDesignStandard!$B$6,$R252&lt;=RpmDesignStandard!$C$6),RpmDesignStandard!$D$6,
IF(AND($R252&gt;RpmDesignStandard!$B$7,$R252&lt;=RpmDesignStandard!$C$7),RpmDesignStandard!$D$7,RpmDesignStandard!$D$8))))</f>
        <v>4</v>
      </c>
      <c r="V252" s="47">
        <f>U252*RpmDesignStandard!$H$1</f>
        <v>8</v>
      </c>
      <c r="W252" s="37">
        <f>VLOOKUP(A252,RPM_ProjectRecord!A:AB,8,FALSE)</f>
        <v>2022</v>
      </c>
      <c r="X252" s="38" t="str">
        <f t="shared" si="30"/>
        <v/>
      </c>
      <c r="Y252" s="38" t="str">
        <f t="shared" si="31"/>
        <v/>
      </c>
      <c r="Z252" s="38" t="str">
        <f t="shared" si="32"/>
        <v/>
      </c>
      <c r="AA252" s="38" t="str">
        <f t="shared" si="33"/>
        <v/>
      </c>
      <c r="AB252" s="38" t="str">
        <f t="shared" si="34"/>
        <v/>
      </c>
      <c r="AC252" s="38" t="str">
        <f>IF(VLOOKUP(A252,'3rdPhaseChipSeal'!A:L,12,FALSE)="","",VLOOKUP(A252,'3rdPhaseChipSeal'!A:L,12,FALSE))</f>
        <v/>
      </c>
      <c r="AD252" s="38" t="str">
        <f>IFERROR(IF(VLOOKUP(A252,RpmContracts!A:C,3,FALSE)="","",VLOOKUP(A252,RpmContracts!A:C,3,FALSE)),"")</f>
        <v/>
      </c>
      <c r="AE252" s="7" t="str">
        <f>IF(VLOOKUP(A252,'20yPlan'!A:B,2,FALSE)="","",VLOOKUP(A252,'20yPlan'!A:B,2,FALSE))</f>
        <v/>
      </c>
      <c r="AF252" s="7" t="str">
        <f>IF(VLOOKUP(A252,'20yPlan'!A:C,3,FALSE)="","",VLOOKUP(A252,'20yPlan'!A:C,3,FALSE))</f>
        <v/>
      </c>
      <c r="AG252" s="7" t="str">
        <f>IF(VLOOKUP(A252,'20yPlan'!A:D,4,FALSE)="","",VLOOKUP(A252,'20yPlan'!A:D,4,FALSE))</f>
        <v/>
      </c>
      <c r="AH252" s="7" t="str">
        <f>IF(VLOOKUP(A252,'20yPlan'!A:E,5,FALSE)="","",VLOOKUP(A252,'20yPlan'!A:E,5,FALSE))</f>
        <v/>
      </c>
      <c r="AI252" s="7" t="str">
        <f>IF(VLOOKUP(A252,'20yPlan'!A:F,6,FALSE)="","",VLOOKUP(A252,'20yPlan'!A:F,6,FALSE))</f>
        <v/>
      </c>
      <c r="AJ252" s="7" t="str">
        <f t="shared" si="35"/>
        <v/>
      </c>
      <c r="AK252" s="7" t="str">
        <f t="shared" si="36"/>
        <v/>
      </c>
      <c r="AL252" s="39">
        <f t="shared" ca="1" si="37"/>
        <v>2026</v>
      </c>
      <c r="AM252" s="7" t="str">
        <f t="shared" si="38"/>
        <v/>
      </c>
      <c r="AN252" s="7" t="str">
        <f t="shared" si="39"/>
        <v/>
      </c>
    </row>
    <row r="253" spans="1:40">
      <c r="A253" s="6">
        <v>60265</v>
      </c>
      <c r="B253" s="6" t="s">
        <v>843</v>
      </c>
      <c r="C253" s="6" t="s">
        <v>844</v>
      </c>
      <c r="D253" s="6">
        <v>0</v>
      </c>
      <c r="E253" s="6">
        <v>1.0896049999999999</v>
      </c>
      <c r="F253" s="6" t="s">
        <v>845</v>
      </c>
      <c r="G253" s="6" t="s">
        <v>846</v>
      </c>
      <c r="H253" s="35">
        <v>23377</v>
      </c>
      <c r="I253" s="6" t="s">
        <v>44</v>
      </c>
      <c r="J253" s="6">
        <v>13</v>
      </c>
      <c r="K253" s="6">
        <v>2025</v>
      </c>
      <c r="L253" s="6">
        <v>2</v>
      </c>
      <c r="M253" s="6" t="s">
        <v>45</v>
      </c>
      <c r="N253" s="6" t="s">
        <v>250</v>
      </c>
      <c r="O253" s="6" t="s">
        <v>61</v>
      </c>
      <c r="P253" s="6" t="s">
        <v>338</v>
      </c>
      <c r="Q253" s="6" t="s">
        <v>339</v>
      </c>
      <c r="R253" s="35">
        <v>1000</v>
      </c>
      <c r="S253" s="6">
        <v>23</v>
      </c>
      <c r="T253" s="36" t="s">
        <v>50</v>
      </c>
      <c r="U253" s="46">
        <f>IF($L253&lt;=2,
IF($R253&lt;=RpmDesignStandard!$C$2,RpmDesignStandard!$D$2,
IF(AND($R253&gt;RpmDesignStandard!$B$3,$R253&lt;=RpmDesignStandard!$C$3),RpmDesignStandard!$D$3,RpmDesignStandard!$D$4)),
IF($R253&lt;=RpmDesignStandard!$C$5, RpmDesignStandard!$D$5,
IF(AND($R253&gt;RpmDesignStandard!$B$6,$R253&lt;=RpmDesignStandard!$C$6),RpmDesignStandard!$D$6,
IF(AND($R253&gt;RpmDesignStandard!$B$7,$R253&lt;=RpmDesignStandard!$C$7),RpmDesignStandard!$D$7,RpmDesignStandard!$D$8))))</f>
        <v>4</v>
      </c>
      <c r="V253" s="47">
        <f>U253*RpmDesignStandard!$H$1</f>
        <v>8</v>
      </c>
      <c r="W253" s="37" t="str">
        <f>VLOOKUP(A253,RPM_ProjectRecord!A:AB,8,FALSE)</f>
        <v/>
      </c>
      <c r="X253" s="38" t="str">
        <f t="shared" si="30"/>
        <v/>
      </c>
      <c r="Y253" s="38" t="str">
        <f t="shared" si="31"/>
        <v/>
      </c>
      <c r="Z253" s="38" t="str">
        <f t="shared" si="32"/>
        <v/>
      </c>
      <c r="AA253" s="38" t="str">
        <f t="shared" si="33"/>
        <v/>
      </c>
      <c r="AB253" s="38" t="str">
        <f t="shared" si="34"/>
        <v/>
      </c>
      <c r="AC253" s="38" t="str">
        <f>IF(VLOOKUP(A253,'3rdPhaseChipSeal'!A:L,12,FALSE)="","",VLOOKUP(A253,'3rdPhaseChipSeal'!A:L,12,FALSE))</f>
        <v/>
      </c>
      <c r="AD253" s="38" t="str">
        <f>IFERROR(IF(VLOOKUP(A253,RpmContracts!A:C,3,FALSE)="","",VLOOKUP(A253,RpmContracts!A:C,3,FALSE)),"")</f>
        <v/>
      </c>
      <c r="AE253" s="7" t="str">
        <f>IF(VLOOKUP(A253,'20yPlan'!A:B,2,FALSE)="","",VLOOKUP(A253,'20yPlan'!A:B,2,FALSE))</f>
        <v/>
      </c>
      <c r="AF253" s="7" t="str">
        <f>IF(VLOOKUP(A253,'20yPlan'!A:C,3,FALSE)="","",VLOOKUP(A253,'20yPlan'!A:C,3,FALSE))</f>
        <v/>
      </c>
      <c r="AG253" s="7" t="str">
        <f>IF(VLOOKUP(A253,'20yPlan'!A:D,4,FALSE)="","",VLOOKUP(A253,'20yPlan'!A:D,4,FALSE))</f>
        <v/>
      </c>
      <c r="AH253" s="7" t="str">
        <f>IF(VLOOKUP(A253,'20yPlan'!A:E,5,FALSE)="","",VLOOKUP(A253,'20yPlan'!A:E,5,FALSE))</f>
        <v/>
      </c>
      <c r="AI253" s="7" t="str">
        <f>IF(VLOOKUP(A253,'20yPlan'!A:F,6,FALSE)="","",VLOOKUP(A253,'20yPlan'!A:F,6,FALSE))</f>
        <v/>
      </c>
      <c r="AJ253" s="7" t="str">
        <f t="shared" si="35"/>
        <v/>
      </c>
      <c r="AK253" s="7" t="str">
        <f t="shared" si="36"/>
        <v/>
      </c>
      <c r="AL253" s="39">
        <f t="shared" ca="1" si="37"/>
        <v>2025</v>
      </c>
      <c r="AM253" s="7" t="str">
        <f t="shared" si="38"/>
        <v/>
      </c>
      <c r="AN253" s="7" t="str">
        <f t="shared" si="39"/>
        <v/>
      </c>
    </row>
    <row r="254" spans="1:40">
      <c r="A254" s="6">
        <v>60266</v>
      </c>
      <c r="B254" s="6" t="s">
        <v>792</v>
      </c>
      <c r="C254" s="6" t="s">
        <v>847</v>
      </c>
      <c r="D254" s="6">
        <v>44.745190999999998</v>
      </c>
      <c r="E254" s="6">
        <v>48.215367000000001</v>
      </c>
      <c r="F254" s="6" t="s">
        <v>808</v>
      </c>
      <c r="G254" s="6" t="s">
        <v>848</v>
      </c>
      <c r="H254" s="35">
        <v>55403</v>
      </c>
      <c r="I254" s="6" t="s">
        <v>195</v>
      </c>
      <c r="J254" s="6">
        <v>0</v>
      </c>
      <c r="K254" s="6">
        <v>2025</v>
      </c>
      <c r="L254" s="6">
        <v>2</v>
      </c>
      <c r="M254" s="6" t="s">
        <v>45</v>
      </c>
      <c r="N254" s="6" t="s">
        <v>250</v>
      </c>
      <c r="O254" s="6" t="s">
        <v>79</v>
      </c>
      <c r="P254" s="6" t="s">
        <v>80</v>
      </c>
      <c r="Q254" s="6" t="s">
        <v>81</v>
      </c>
      <c r="R254" s="6">
        <v>798</v>
      </c>
      <c r="S254" s="6">
        <v>95</v>
      </c>
      <c r="T254" s="36" t="s">
        <v>253</v>
      </c>
      <c r="U254" s="46">
        <f>IF($L254&lt;=2,
IF($R254&lt;=RpmDesignStandard!$C$2,RpmDesignStandard!$D$2,
IF(AND($R254&gt;RpmDesignStandard!$B$3,$R254&lt;=RpmDesignStandard!$C$3),RpmDesignStandard!$D$3,RpmDesignStandard!$D$4)),
IF($R254&lt;=RpmDesignStandard!$C$5, RpmDesignStandard!$D$5,
IF(AND($R254&gt;RpmDesignStandard!$B$6,$R254&lt;=RpmDesignStandard!$C$6),RpmDesignStandard!$D$6,
IF(AND($R254&gt;RpmDesignStandard!$B$7,$R254&lt;=RpmDesignStandard!$C$7),RpmDesignStandard!$D$7,RpmDesignStandard!$D$8))))</f>
        <v>4</v>
      </c>
      <c r="V254" s="47">
        <f>U254*RpmDesignStandard!$H$1</f>
        <v>8</v>
      </c>
      <c r="W254" s="37">
        <f>VLOOKUP(A254,RPM_ProjectRecord!A:AB,8,FALSE)</f>
        <v>2023</v>
      </c>
      <c r="X254" s="38">
        <f t="shared" si="30"/>
        <v>2043</v>
      </c>
      <c r="Y254" s="38" t="str">
        <f t="shared" si="31"/>
        <v/>
      </c>
      <c r="Z254" s="38" t="str">
        <f t="shared" si="32"/>
        <v/>
      </c>
      <c r="AA254" s="38" t="str">
        <f t="shared" si="33"/>
        <v/>
      </c>
      <c r="AB254" s="38" t="str">
        <f t="shared" si="34"/>
        <v/>
      </c>
      <c r="AC254" s="38">
        <f>IF(VLOOKUP(A254,'3rdPhaseChipSeal'!A:L,12,FALSE)="","",VLOOKUP(A254,'3rdPhaseChipSeal'!A:L,12,FALSE))</f>
        <v>2038</v>
      </c>
      <c r="AD254" s="38" t="str">
        <f>IFERROR(IF(VLOOKUP(A254,RpmContracts!A:C,3,FALSE)="","",VLOOKUP(A254,RpmContracts!A:C,3,FALSE)),"")</f>
        <v/>
      </c>
      <c r="AE254" s="7" t="str">
        <f>IF(VLOOKUP(A254,'20yPlan'!A:B,2,FALSE)="","",VLOOKUP(A254,'20yPlan'!A:B,2,FALSE))</f>
        <v>2043 Preventive Maintenance</v>
      </c>
      <c r="AF254" s="7" t="str">
        <f>IF(VLOOKUP(A254,'20yPlan'!A:C,3,FALSE)="","",VLOOKUP(A254,'20yPlan'!A:C,3,FALSE))</f>
        <v/>
      </c>
      <c r="AG254" s="7" t="str">
        <f>IF(VLOOKUP(A254,'20yPlan'!A:D,4,FALSE)="","",VLOOKUP(A254,'20yPlan'!A:D,4,FALSE))</f>
        <v/>
      </c>
      <c r="AH254" s="7" t="str">
        <f>IF(VLOOKUP(A254,'20yPlan'!A:E,5,FALSE)="","",VLOOKUP(A254,'20yPlan'!A:E,5,FALSE))</f>
        <v/>
      </c>
      <c r="AI254" s="7" t="str">
        <f>IF(VLOOKUP(A254,'20yPlan'!A:F,6,FALSE)="","",VLOOKUP(A254,'20yPlan'!A:F,6,FALSE))</f>
        <v/>
      </c>
      <c r="AJ254" s="7" t="str">
        <f t="shared" si="35"/>
        <v>2038 Chip Seal</v>
      </c>
      <c r="AK254" s="7" t="str">
        <f t="shared" si="36"/>
        <v/>
      </c>
      <c r="AL254" s="39">
        <f t="shared" ca="1" si="37"/>
        <v>2027</v>
      </c>
      <c r="AM254" s="7" t="str">
        <f t="shared" si="38"/>
        <v/>
      </c>
      <c r="AN254" s="7" t="str">
        <f t="shared" si="39"/>
        <v/>
      </c>
    </row>
    <row r="255" spans="1:40">
      <c r="A255" s="6">
        <v>60267</v>
      </c>
      <c r="B255" s="6" t="s">
        <v>849</v>
      </c>
      <c r="C255" s="6" t="s">
        <v>850</v>
      </c>
      <c r="D255" s="6">
        <v>0</v>
      </c>
      <c r="E255" s="6">
        <v>1.2421690000000001</v>
      </c>
      <c r="F255" s="6" t="s">
        <v>851</v>
      </c>
      <c r="G255" s="6" t="s">
        <v>852</v>
      </c>
      <c r="H255" s="35">
        <v>18080</v>
      </c>
      <c r="I255" s="6" t="s">
        <v>44</v>
      </c>
      <c r="J255" s="6">
        <v>2</v>
      </c>
      <c r="K255" s="6"/>
      <c r="L255" s="6">
        <v>2</v>
      </c>
      <c r="M255" s="6" t="s">
        <v>45</v>
      </c>
      <c r="N255" s="6" t="s">
        <v>250</v>
      </c>
      <c r="O255" s="6" t="s">
        <v>79</v>
      </c>
      <c r="P255" s="6" t="s">
        <v>210</v>
      </c>
      <c r="Q255" s="6" t="s">
        <v>81</v>
      </c>
      <c r="R255" s="35">
        <v>1544</v>
      </c>
      <c r="S255" s="6">
        <v>186</v>
      </c>
      <c r="T255" s="36" t="s">
        <v>50</v>
      </c>
      <c r="U255" s="46">
        <f>IF($L255&lt;=2,
IF($R255&lt;=RpmDesignStandard!$C$2,RpmDesignStandard!$D$2,
IF(AND($R255&gt;RpmDesignStandard!$B$3,$R255&lt;=RpmDesignStandard!$C$3),RpmDesignStandard!$D$3,RpmDesignStandard!$D$4)),
IF($R255&lt;=RpmDesignStandard!$C$5, RpmDesignStandard!$D$5,
IF(AND($R255&gt;RpmDesignStandard!$B$6,$R255&lt;=RpmDesignStandard!$C$6),RpmDesignStandard!$D$6,
IF(AND($R255&gt;RpmDesignStandard!$B$7,$R255&lt;=RpmDesignStandard!$C$7),RpmDesignStandard!$D$7,RpmDesignStandard!$D$8))))</f>
        <v>4</v>
      </c>
      <c r="V255" s="47">
        <f>U255*RpmDesignStandard!$H$1</f>
        <v>8</v>
      </c>
      <c r="W255" s="37">
        <f>VLOOKUP(A255,RPM_ProjectRecord!A:AB,8,FALSE)</f>
        <v>2021</v>
      </c>
      <c r="X255" s="38" t="str">
        <f t="shared" si="30"/>
        <v/>
      </c>
      <c r="Y255" s="38" t="str">
        <f t="shared" si="31"/>
        <v/>
      </c>
      <c r="Z255" s="38" t="str">
        <f t="shared" si="32"/>
        <v/>
      </c>
      <c r="AA255" s="38" t="str">
        <f t="shared" si="33"/>
        <v/>
      </c>
      <c r="AB255" s="38" t="str">
        <f t="shared" si="34"/>
        <v/>
      </c>
      <c r="AC255" s="38" t="str">
        <f>IF(VLOOKUP(A255,'3rdPhaseChipSeal'!A:L,12,FALSE)="","",VLOOKUP(A255,'3rdPhaseChipSeal'!A:L,12,FALSE))</f>
        <v/>
      </c>
      <c r="AD255" s="38" t="str">
        <f>IFERROR(IF(VLOOKUP(A255,RpmContracts!A:C,3,FALSE)="","",VLOOKUP(A255,RpmContracts!A:C,3,FALSE)),"")</f>
        <v/>
      </c>
      <c r="AE255" s="7" t="str">
        <f>IF(VLOOKUP(A255,'20yPlan'!A:B,2,FALSE)="","",VLOOKUP(A255,'20yPlan'!A:B,2,FALSE))</f>
        <v/>
      </c>
      <c r="AF255" s="7" t="str">
        <f>IF(VLOOKUP(A255,'20yPlan'!A:C,3,FALSE)="","",VLOOKUP(A255,'20yPlan'!A:C,3,FALSE))</f>
        <v/>
      </c>
      <c r="AG255" s="7" t="str">
        <f>IF(VLOOKUP(A255,'20yPlan'!A:D,4,FALSE)="","",VLOOKUP(A255,'20yPlan'!A:D,4,FALSE))</f>
        <v/>
      </c>
      <c r="AH255" s="7" t="str">
        <f>IF(VLOOKUP(A255,'20yPlan'!A:E,5,FALSE)="","",VLOOKUP(A255,'20yPlan'!A:E,5,FALSE))</f>
        <v/>
      </c>
      <c r="AI255" s="7" t="str">
        <f>IF(VLOOKUP(A255,'20yPlan'!A:F,6,FALSE)="","",VLOOKUP(A255,'20yPlan'!A:F,6,FALSE))</f>
        <v/>
      </c>
      <c r="AJ255" s="7" t="str">
        <f t="shared" si="35"/>
        <v/>
      </c>
      <c r="AK255" s="7" t="str">
        <f t="shared" si="36"/>
        <v/>
      </c>
      <c r="AL255" s="39">
        <f t="shared" ca="1" si="37"/>
        <v>2025</v>
      </c>
      <c r="AM255" s="7" t="str">
        <f t="shared" si="38"/>
        <v/>
      </c>
      <c r="AN255" s="7" t="str">
        <f t="shared" si="39"/>
        <v/>
      </c>
    </row>
    <row r="256" spans="1:40">
      <c r="A256" s="6">
        <v>60268</v>
      </c>
      <c r="B256" s="6" t="s">
        <v>533</v>
      </c>
      <c r="C256" s="6" t="s">
        <v>853</v>
      </c>
      <c r="D256" s="6">
        <v>32.165137999999999</v>
      </c>
      <c r="E256" s="6">
        <v>32.828184999999998</v>
      </c>
      <c r="F256" s="6" t="s">
        <v>543</v>
      </c>
      <c r="G256" s="6" t="s">
        <v>854</v>
      </c>
      <c r="H256" s="35">
        <v>13440</v>
      </c>
      <c r="I256" s="6" t="s">
        <v>44</v>
      </c>
      <c r="J256" s="6">
        <v>0</v>
      </c>
      <c r="K256" s="6"/>
      <c r="L256" s="6">
        <v>2</v>
      </c>
      <c r="M256" s="6" t="s">
        <v>45</v>
      </c>
      <c r="N256" s="6" t="s">
        <v>250</v>
      </c>
      <c r="O256" s="6" t="s">
        <v>121</v>
      </c>
      <c r="P256" s="6" t="s">
        <v>122</v>
      </c>
      <c r="Q256" s="6" t="s">
        <v>123</v>
      </c>
      <c r="R256" s="35">
        <v>4989</v>
      </c>
      <c r="S256" s="35">
        <v>1095</v>
      </c>
      <c r="T256" s="36" t="s">
        <v>50</v>
      </c>
      <c r="U256" s="46">
        <f>IF($L256&lt;=2,
IF($R256&lt;=RpmDesignStandard!$C$2,RpmDesignStandard!$D$2,
IF(AND($R256&gt;RpmDesignStandard!$B$3,$R256&lt;=RpmDesignStandard!$C$3),RpmDesignStandard!$D$3,RpmDesignStandard!$D$4)),
IF($R256&lt;=RpmDesignStandard!$C$5, RpmDesignStandard!$D$5,
IF(AND($R256&gt;RpmDesignStandard!$B$6,$R256&lt;=RpmDesignStandard!$C$6),RpmDesignStandard!$D$6,
IF(AND($R256&gt;RpmDesignStandard!$B$7,$R256&lt;=RpmDesignStandard!$C$7),RpmDesignStandard!$D$7,RpmDesignStandard!$D$8))))</f>
        <v>4</v>
      </c>
      <c r="V256" s="47">
        <f>U256*RpmDesignStandard!$H$1</f>
        <v>8</v>
      </c>
      <c r="W256" s="37">
        <f>VLOOKUP(A256,RPM_ProjectRecord!A:AB,8,FALSE)</f>
        <v>2023</v>
      </c>
      <c r="X256" s="38" t="str">
        <f t="shared" si="30"/>
        <v/>
      </c>
      <c r="Y256" s="38" t="str">
        <f t="shared" si="31"/>
        <v/>
      </c>
      <c r="Z256" s="38" t="str">
        <f t="shared" si="32"/>
        <v/>
      </c>
      <c r="AA256" s="38" t="str">
        <f t="shared" si="33"/>
        <v/>
      </c>
      <c r="AB256" s="38" t="str">
        <f t="shared" si="34"/>
        <v/>
      </c>
      <c r="AC256" s="38" t="str">
        <f>IF(VLOOKUP(A256,'3rdPhaseChipSeal'!A:L,12,FALSE)="","",VLOOKUP(A256,'3rdPhaseChipSeal'!A:L,12,FALSE))</f>
        <v/>
      </c>
      <c r="AD256" s="38" t="str">
        <f>IFERROR(IF(VLOOKUP(A256,RpmContracts!A:C,3,FALSE)="","",VLOOKUP(A256,RpmContracts!A:C,3,FALSE)),"")</f>
        <v/>
      </c>
      <c r="AE256" s="7" t="str">
        <f>IF(VLOOKUP(A256,'20yPlan'!A:B,2,FALSE)="","",VLOOKUP(A256,'20yPlan'!A:B,2,FALSE))</f>
        <v/>
      </c>
      <c r="AF256" s="7" t="str">
        <f>IF(VLOOKUP(A256,'20yPlan'!A:C,3,FALSE)="","",VLOOKUP(A256,'20yPlan'!A:C,3,FALSE))</f>
        <v/>
      </c>
      <c r="AG256" s="7" t="str">
        <f>IF(VLOOKUP(A256,'20yPlan'!A:D,4,FALSE)="","",VLOOKUP(A256,'20yPlan'!A:D,4,FALSE))</f>
        <v/>
      </c>
      <c r="AH256" s="7" t="str">
        <f>IF(VLOOKUP(A256,'20yPlan'!A:E,5,FALSE)="","",VLOOKUP(A256,'20yPlan'!A:E,5,FALSE))</f>
        <v/>
      </c>
      <c r="AI256" s="7" t="str">
        <f>IF(VLOOKUP(A256,'20yPlan'!A:F,6,FALSE)="","",VLOOKUP(A256,'20yPlan'!A:F,6,FALSE))</f>
        <v/>
      </c>
      <c r="AJ256" s="7" t="str">
        <f t="shared" si="35"/>
        <v/>
      </c>
      <c r="AK256" s="7" t="str">
        <f t="shared" si="36"/>
        <v/>
      </c>
      <c r="AL256" s="39">
        <f t="shared" ca="1" si="37"/>
        <v>2027</v>
      </c>
      <c r="AM256" s="7" t="str">
        <f t="shared" si="38"/>
        <v/>
      </c>
      <c r="AN256" s="7" t="str">
        <f t="shared" si="39"/>
        <v/>
      </c>
    </row>
    <row r="257" spans="1:40">
      <c r="A257" s="6">
        <v>60269</v>
      </c>
      <c r="B257" s="6" t="s">
        <v>315</v>
      </c>
      <c r="C257" s="6" t="s">
        <v>855</v>
      </c>
      <c r="D257" s="6">
        <v>15.994801000000001</v>
      </c>
      <c r="E257" s="6">
        <v>20.585681000000001</v>
      </c>
      <c r="F257" s="6" t="s">
        <v>323</v>
      </c>
      <c r="G257" s="6" t="s">
        <v>326</v>
      </c>
      <c r="H257" s="35">
        <v>122377</v>
      </c>
      <c r="I257" s="6" t="s">
        <v>44</v>
      </c>
      <c r="J257" s="6">
        <v>3</v>
      </c>
      <c r="K257" s="6"/>
      <c r="L257" s="6">
        <v>2</v>
      </c>
      <c r="M257" s="6" t="s">
        <v>45</v>
      </c>
      <c r="N257" s="6" t="s">
        <v>250</v>
      </c>
      <c r="O257" s="6" t="s">
        <v>215</v>
      </c>
      <c r="P257" s="6" t="s">
        <v>216</v>
      </c>
      <c r="Q257" s="6" t="s">
        <v>217</v>
      </c>
      <c r="R257" s="35">
        <v>8643</v>
      </c>
      <c r="S257" s="6">
        <v>666</v>
      </c>
      <c r="T257" s="36" t="s">
        <v>50</v>
      </c>
      <c r="U257" s="46">
        <f>IF($L257&lt;=2,
IF($R257&lt;=RpmDesignStandard!$C$2,RpmDesignStandard!$D$2,
IF(AND($R257&gt;RpmDesignStandard!$B$3,$R257&lt;=RpmDesignStandard!$C$3),RpmDesignStandard!$D$3,RpmDesignStandard!$D$4)),
IF($R257&lt;=RpmDesignStandard!$C$5, RpmDesignStandard!$D$5,
IF(AND($R257&gt;RpmDesignStandard!$B$6,$R257&lt;=RpmDesignStandard!$C$6),RpmDesignStandard!$D$6,
IF(AND($R257&gt;RpmDesignStandard!$B$7,$R257&lt;=RpmDesignStandard!$C$7),RpmDesignStandard!$D$7,RpmDesignStandard!$D$8))))</f>
        <v>3</v>
      </c>
      <c r="V257" s="47">
        <f>U257*RpmDesignStandard!$H$1</f>
        <v>6</v>
      </c>
      <c r="W257" s="37" t="str">
        <f>VLOOKUP(A257,RPM_ProjectRecord!A:AB,8,FALSE)</f>
        <v/>
      </c>
      <c r="X257" s="38" t="str">
        <f t="shared" si="30"/>
        <v/>
      </c>
      <c r="Y257" s="38" t="str">
        <f t="shared" si="31"/>
        <v/>
      </c>
      <c r="Z257" s="38" t="str">
        <f t="shared" si="32"/>
        <v/>
      </c>
      <c r="AA257" s="38" t="str">
        <f t="shared" si="33"/>
        <v/>
      </c>
      <c r="AB257" s="38" t="str">
        <f t="shared" si="34"/>
        <v/>
      </c>
      <c r="AC257" s="38" t="str">
        <f>IF(VLOOKUP(A257,'3rdPhaseChipSeal'!A:L,12,FALSE)="","",VLOOKUP(A257,'3rdPhaseChipSeal'!A:L,12,FALSE))</f>
        <v/>
      </c>
      <c r="AD257" s="38">
        <f>IFERROR(IF(VLOOKUP(A257,RpmContracts!A:C,3,FALSE)="","",VLOOKUP(A257,RpmContracts!A:C,3,FALSE)),"")</f>
        <v>2026</v>
      </c>
      <c r="AE257" s="7" t="str">
        <f>IF(VLOOKUP(A257,'20yPlan'!A:B,2,FALSE)="","",VLOOKUP(A257,'20yPlan'!A:B,2,FALSE))</f>
        <v/>
      </c>
      <c r="AF257" s="7" t="str">
        <f>IF(VLOOKUP(A257,'20yPlan'!A:C,3,FALSE)="","",VLOOKUP(A257,'20yPlan'!A:C,3,FALSE))</f>
        <v/>
      </c>
      <c r="AG257" s="7" t="str">
        <f>IF(VLOOKUP(A257,'20yPlan'!A:D,4,FALSE)="","",VLOOKUP(A257,'20yPlan'!A:D,4,FALSE))</f>
        <v/>
      </c>
      <c r="AH257" s="7" t="str">
        <f>IF(VLOOKUP(A257,'20yPlan'!A:E,5,FALSE)="","",VLOOKUP(A257,'20yPlan'!A:E,5,FALSE))</f>
        <v/>
      </c>
      <c r="AI257" s="7" t="str">
        <f>IF(VLOOKUP(A257,'20yPlan'!A:F,6,FALSE)="","",VLOOKUP(A257,'20yPlan'!A:F,6,FALSE))</f>
        <v/>
      </c>
      <c r="AJ257" s="7" t="str">
        <f t="shared" si="35"/>
        <v/>
      </c>
      <c r="AK257" s="7" t="str">
        <f t="shared" si="36"/>
        <v>2026 RPM Replacement</v>
      </c>
      <c r="AL257" s="39">
        <f t="shared" ca="1" si="37"/>
        <v>2025</v>
      </c>
      <c r="AM257" s="7">
        <f t="shared" si="38"/>
        <v>2026</v>
      </c>
      <c r="AN257" s="7" t="str">
        <f t="shared" si="39"/>
        <v>2026 RPM Replacement</v>
      </c>
    </row>
    <row r="258" spans="1:40">
      <c r="A258" s="6">
        <v>60270</v>
      </c>
      <c r="B258" s="6" t="s">
        <v>463</v>
      </c>
      <c r="C258" s="6" t="s">
        <v>856</v>
      </c>
      <c r="D258" s="6">
        <v>17.449052999999999</v>
      </c>
      <c r="E258" s="6">
        <v>21.370301000000001</v>
      </c>
      <c r="F258" s="6" t="s">
        <v>857</v>
      </c>
      <c r="G258" s="6" t="s">
        <v>474</v>
      </c>
      <c r="H258" s="35">
        <v>78002</v>
      </c>
      <c r="I258" s="6" t="s">
        <v>44</v>
      </c>
      <c r="J258" s="6">
        <v>6</v>
      </c>
      <c r="K258" s="6"/>
      <c r="L258" s="6">
        <v>2</v>
      </c>
      <c r="M258" s="6" t="s">
        <v>45</v>
      </c>
      <c r="N258" s="6" t="s">
        <v>250</v>
      </c>
      <c r="O258" s="6" t="s">
        <v>165</v>
      </c>
      <c r="P258" s="6" t="s">
        <v>236</v>
      </c>
      <c r="Q258" s="6" t="s">
        <v>240</v>
      </c>
      <c r="R258" s="35">
        <v>8080</v>
      </c>
      <c r="S258" s="35">
        <v>1179</v>
      </c>
      <c r="T258" s="36" t="s">
        <v>50</v>
      </c>
      <c r="U258" s="46">
        <f>IF($L258&lt;=2,
IF($R258&lt;=RpmDesignStandard!$C$2,RpmDesignStandard!$D$2,
IF(AND($R258&gt;RpmDesignStandard!$B$3,$R258&lt;=RpmDesignStandard!$C$3),RpmDesignStandard!$D$3,RpmDesignStandard!$D$4)),
IF($R258&lt;=RpmDesignStandard!$C$5, RpmDesignStandard!$D$5,
IF(AND($R258&gt;RpmDesignStandard!$B$6,$R258&lt;=RpmDesignStandard!$C$6),RpmDesignStandard!$D$6,
IF(AND($R258&gt;RpmDesignStandard!$B$7,$R258&lt;=RpmDesignStandard!$C$7),RpmDesignStandard!$D$7,RpmDesignStandard!$D$8))))</f>
        <v>3</v>
      </c>
      <c r="V258" s="47">
        <f>U258*RpmDesignStandard!$H$1</f>
        <v>6</v>
      </c>
      <c r="W258" s="37" t="str">
        <f>VLOOKUP(A258,RPM_ProjectRecord!A:AB,8,FALSE)</f>
        <v/>
      </c>
      <c r="X258" s="38" t="str">
        <f t="shared" si="30"/>
        <v/>
      </c>
      <c r="Y258" s="38" t="str">
        <f t="shared" si="31"/>
        <v/>
      </c>
      <c r="Z258" s="38" t="str">
        <f t="shared" si="32"/>
        <v/>
      </c>
      <c r="AA258" s="38" t="str">
        <f t="shared" si="33"/>
        <v/>
      </c>
      <c r="AB258" s="38" t="str">
        <f t="shared" si="34"/>
        <v/>
      </c>
      <c r="AC258" s="38" t="str">
        <f>IF(VLOOKUP(A258,'3rdPhaseChipSeal'!A:L,12,FALSE)="","",VLOOKUP(A258,'3rdPhaseChipSeal'!A:L,12,FALSE))</f>
        <v/>
      </c>
      <c r="AD258" s="38" t="str">
        <f>IFERROR(IF(VLOOKUP(A258,RpmContracts!A:C,3,FALSE)="","",VLOOKUP(A258,RpmContracts!A:C,3,FALSE)),"")</f>
        <v/>
      </c>
      <c r="AE258" s="7" t="str">
        <f>IF(VLOOKUP(A258,'20yPlan'!A:B,2,FALSE)="","",VLOOKUP(A258,'20yPlan'!A:B,2,FALSE))</f>
        <v/>
      </c>
      <c r="AF258" s="7" t="str">
        <f>IF(VLOOKUP(A258,'20yPlan'!A:C,3,FALSE)="","",VLOOKUP(A258,'20yPlan'!A:C,3,FALSE))</f>
        <v/>
      </c>
      <c r="AG258" s="7" t="str">
        <f>IF(VLOOKUP(A258,'20yPlan'!A:D,4,FALSE)="","",VLOOKUP(A258,'20yPlan'!A:D,4,FALSE))</f>
        <v/>
      </c>
      <c r="AH258" s="7" t="str">
        <f>IF(VLOOKUP(A258,'20yPlan'!A:E,5,FALSE)="","",VLOOKUP(A258,'20yPlan'!A:E,5,FALSE))</f>
        <v/>
      </c>
      <c r="AI258" s="7" t="str">
        <f>IF(VLOOKUP(A258,'20yPlan'!A:F,6,FALSE)="","",VLOOKUP(A258,'20yPlan'!A:F,6,FALSE))</f>
        <v/>
      </c>
      <c r="AJ258" s="7" t="str">
        <f t="shared" si="35"/>
        <v/>
      </c>
      <c r="AK258" s="7" t="str">
        <f t="shared" si="36"/>
        <v/>
      </c>
      <c r="AL258" s="39">
        <f t="shared" ca="1" si="37"/>
        <v>2025</v>
      </c>
      <c r="AM258" s="7" t="str">
        <f t="shared" si="38"/>
        <v/>
      </c>
      <c r="AN258" s="7" t="str">
        <f t="shared" si="39"/>
        <v/>
      </c>
    </row>
    <row r="259" spans="1:40">
      <c r="A259" s="6">
        <v>60271</v>
      </c>
      <c r="B259" s="6" t="s">
        <v>279</v>
      </c>
      <c r="C259" s="6" t="s">
        <v>858</v>
      </c>
      <c r="D259" s="6">
        <v>1.096978</v>
      </c>
      <c r="E259" s="6">
        <v>8.296144</v>
      </c>
      <c r="F259" s="6" t="s">
        <v>281</v>
      </c>
      <c r="G259" s="6" t="s">
        <v>859</v>
      </c>
      <c r="H259" s="35">
        <v>136462</v>
      </c>
      <c r="I259" s="6" t="s">
        <v>195</v>
      </c>
      <c r="J259" s="6">
        <v>19</v>
      </c>
      <c r="K259" s="6">
        <v>2026</v>
      </c>
      <c r="L259" s="6">
        <v>2</v>
      </c>
      <c r="M259" s="6" t="s">
        <v>45</v>
      </c>
      <c r="N259" s="6" t="s">
        <v>250</v>
      </c>
      <c r="O259" s="6" t="s">
        <v>165</v>
      </c>
      <c r="P259" s="6" t="s">
        <v>236</v>
      </c>
      <c r="Q259" s="6" t="s">
        <v>240</v>
      </c>
      <c r="R259" s="35">
        <v>1705</v>
      </c>
      <c r="S259" s="6">
        <v>204</v>
      </c>
      <c r="T259" s="36" t="s">
        <v>253</v>
      </c>
      <c r="U259" s="46">
        <f>IF($L259&lt;=2,
IF($R259&lt;=RpmDesignStandard!$C$2,RpmDesignStandard!$D$2,
IF(AND($R259&gt;RpmDesignStandard!$B$3,$R259&lt;=RpmDesignStandard!$C$3),RpmDesignStandard!$D$3,RpmDesignStandard!$D$4)),
IF($R259&lt;=RpmDesignStandard!$C$5, RpmDesignStandard!$D$5,
IF(AND($R259&gt;RpmDesignStandard!$B$6,$R259&lt;=RpmDesignStandard!$C$6),RpmDesignStandard!$D$6,
IF(AND($R259&gt;RpmDesignStandard!$B$7,$R259&lt;=RpmDesignStandard!$C$7),RpmDesignStandard!$D$7,RpmDesignStandard!$D$8))))</f>
        <v>4</v>
      </c>
      <c r="V259" s="47">
        <f>U259*RpmDesignStandard!$H$1</f>
        <v>8</v>
      </c>
      <c r="W259" s="37" t="str">
        <f>VLOOKUP(A259,RPM_ProjectRecord!A:AB,8,FALSE)</f>
        <v/>
      </c>
      <c r="X259" s="38" t="str">
        <f t="shared" ref="X259:X322" si="40">IFERROR(VALUE(LEFT(AE259,4)),"")</f>
        <v/>
      </c>
      <c r="Y259" s="38" t="str">
        <f t="shared" ref="Y259:Y322" si="41">IFERROR(VALUE(LEFT(AF259,4)),"")</f>
        <v/>
      </c>
      <c r="Z259" s="38" t="str">
        <f t="shared" ref="Z259:Z322" si="42">IFERROR(VALUE(LEFT(AG259,4)),"")</f>
        <v/>
      </c>
      <c r="AA259" s="38" t="str">
        <f t="shared" ref="AA259:AA322" si="43">IFERROR(VALUE(LEFT(AH259,4)),"")</f>
        <v/>
      </c>
      <c r="AB259" s="38" t="str">
        <f t="shared" ref="AB259:AB322" si="44">IFERROR(VALUE(LEFT(AI259,4)),"")</f>
        <v/>
      </c>
      <c r="AC259" s="38">
        <f>IF(VLOOKUP(A259,'3rdPhaseChipSeal'!A:L,12,FALSE)="","",VLOOKUP(A259,'3rdPhaseChipSeal'!A:L,12,FALSE))</f>
        <v>2026</v>
      </c>
      <c r="AD259" s="38" t="str">
        <f>IFERROR(IF(VLOOKUP(A259,RpmContracts!A:C,3,FALSE)="","",VLOOKUP(A259,RpmContracts!A:C,3,FALSE)),"")</f>
        <v/>
      </c>
      <c r="AE259" s="7" t="str">
        <f>IF(VLOOKUP(A259,'20yPlan'!A:B,2,FALSE)="","",VLOOKUP(A259,'20yPlan'!A:B,2,FALSE))</f>
        <v/>
      </c>
      <c r="AF259" s="7" t="str">
        <f>IF(VLOOKUP(A259,'20yPlan'!A:C,3,FALSE)="","",VLOOKUP(A259,'20yPlan'!A:C,3,FALSE))</f>
        <v/>
      </c>
      <c r="AG259" s="7" t="str">
        <f>IF(VLOOKUP(A259,'20yPlan'!A:D,4,FALSE)="","",VLOOKUP(A259,'20yPlan'!A:D,4,FALSE))</f>
        <v/>
      </c>
      <c r="AH259" s="7" t="str">
        <f>IF(VLOOKUP(A259,'20yPlan'!A:E,5,FALSE)="","",VLOOKUP(A259,'20yPlan'!A:E,5,FALSE))</f>
        <v/>
      </c>
      <c r="AI259" s="7" t="str">
        <f>IF(VLOOKUP(A259,'20yPlan'!A:F,6,FALSE)="","",VLOOKUP(A259,'20yPlan'!A:F,6,FALSE))</f>
        <v/>
      </c>
      <c r="AJ259" s="7" t="str">
        <f t="shared" ref="AJ259:AJ322" si="45">IF(AC259="","",_xlfn.CONCAT(AC259," ","Chip Seal"))</f>
        <v>2026 Chip Seal</v>
      </c>
      <c r="AK259" s="7" t="str">
        <f t="shared" ref="AK259:AK322" si="46">IF(AD259="","",_xlfn.CONCAT(AD259," ","RPM Replacement"))</f>
        <v/>
      </c>
      <c r="AL259" s="39">
        <f t="shared" ref="AL259:AL322" ca="1" si="47">IFERROR(U259+W259,YEAR(TODAY()))</f>
        <v>2025</v>
      </c>
      <c r="AM259" s="7" t="str">
        <f t="shared" ref="AM259:AM322" si="48">IF(W259="",AD259,IF(AND(MIN(X259:AD259)&lt;=(W259+V259),MIN(X259:AD259)&gt;W259),MIN(X259:AD259),""))</f>
        <v/>
      </c>
      <c r="AN259" s="7" t="str">
        <f t="shared" ref="AN259:AN322" si="49">IF(AM259=X259,AE259,IF(AM259=Y259,AF259,IF(AM259=AC259,AJ259,AK259)))</f>
        <v/>
      </c>
    </row>
    <row r="260" spans="1:40">
      <c r="A260" s="6">
        <v>60273</v>
      </c>
      <c r="B260" s="6" t="s">
        <v>137</v>
      </c>
      <c r="C260" s="6" t="s">
        <v>860</v>
      </c>
      <c r="D260" s="6">
        <v>54.736685999999999</v>
      </c>
      <c r="E260" s="6">
        <v>56.490667999999999</v>
      </c>
      <c r="F260" s="6" t="s">
        <v>157</v>
      </c>
      <c r="G260" s="6" t="s">
        <v>159</v>
      </c>
      <c r="H260" s="35">
        <v>82909</v>
      </c>
      <c r="I260" s="6" t="s">
        <v>141</v>
      </c>
      <c r="J260" s="6">
        <v>16</v>
      </c>
      <c r="K260" s="6"/>
      <c r="L260" s="6">
        <v>4</v>
      </c>
      <c r="M260" s="6" t="s">
        <v>45</v>
      </c>
      <c r="N260" s="6" t="s">
        <v>46</v>
      </c>
      <c r="O260" s="6" t="s">
        <v>121</v>
      </c>
      <c r="P260" s="6" t="s">
        <v>180</v>
      </c>
      <c r="Q260" s="6" t="s">
        <v>162</v>
      </c>
      <c r="R260" s="35">
        <v>18139</v>
      </c>
      <c r="S260" s="35">
        <v>2782</v>
      </c>
      <c r="T260" s="36" t="s">
        <v>50</v>
      </c>
      <c r="U260" s="46">
        <f>IF($L260&lt;=2,
IF($R260&lt;=RpmDesignStandard!$C$2,RpmDesignStandard!$D$2,
IF(AND($R260&gt;RpmDesignStandard!$B$3,$R260&lt;=RpmDesignStandard!$C$3),RpmDesignStandard!$D$3,RpmDesignStandard!$D$4)),
IF($R260&lt;=RpmDesignStandard!$C$5, RpmDesignStandard!$D$5,
IF(AND($R260&gt;RpmDesignStandard!$B$6,$R260&lt;=RpmDesignStandard!$C$6),RpmDesignStandard!$D$6,
IF(AND($R260&gt;RpmDesignStandard!$B$7,$R260&lt;=RpmDesignStandard!$C$7),RpmDesignStandard!$D$7,RpmDesignStandard!$D$8))))</f>
        <v>3</v>
      </c>
      <c r="V260" s="47">
        <f>U260*RpmDesignStandard!$H$1</f>
        <v>6</v>
      </c>
      <c r="W260" s="37">
        <f>VLOOKUP(A260,RPM_ProjectRecord!A:AB,8,FALSE)</f>
        <v>2024</v>
      </c>
      <c r="X260" s="38" t="str">
        <f t="shared" si="40"/>
        <v/>
      </c>
      <c r="Y260" s="38" t="str">
        <f t="shared" si="41"/>
        <v/>
      </c>
      <c r="Z260" s="38" t="str">
        <f t="shared" si="42"/>
        <v/>
      </c>
      <c r="AA260" s="38" t="str">
        <f t="shared" si="43"/>
        <v/>
      </c>
      <c r="AB260" s="38" t="str">
        <f t="shared" si="44"/>
        <v/>
      </c>
      <c r="AC260" s="38" t="str">
        <f>IF(VLOOKUP(A260,'3rdPhaseChipSeal'!A:L,12,FALSE)="","",VLOOKUP(A260,'3rdPhaseChipSeal'!A:L,12,FALSE))</f>
        <v/>
      </c>
      <c r="AD260" s="38" t="str">
        <f>IFERROR(IF(VLOOKUP(A260,RpmContracts!A:C,3,FALSE)="","",VLOOKUP(A260,RpmContracts!A:C,3,FALSE)),"")</f>
        <v/>
      </c>
      <c r="AE260" s="7" t="str">
        <f>IF(VLOOKUP(A260,'20yPlan'!A:B,2,FALSE)="","",VLOOKUP(A260,'20yPlan'!A:B,2,FALSE))</f>
        <v/>
      </c>
      <c r="AF260" s="7" t="str">
        <f>IF(VLOOKUP(A260,'20yPlan'!A:C,3,FALSE)="","",VLOOKUP(A260,'20yPlan'!A:C,3,FALSE))</f>
        <v/>
      </c>
      <c r="AG260" s="7" t="str">
        <f>IF(VLOOKUP(A260,'20yPlan'!A:D,4,FALSE)="","",VLOOKUP(A260,'20yPlan'!A:D,4,FALSE))</f>
        <v/>
      </c>
      <c r="AH260" s="7" t="str">
        <f>IF(VLOOKUP(A260,'20yPlan'!A:E,5,FALSE)="","",VLOOKUP(A260,'20yPlan'!A:E,5,FALSE))</f>
        <v/>
      </c>
      <c r="AI260" s="7" t="str">
        <f>IF(VLOOKUP(A260,'20yPlan'!A:F,6,FALSE)="","",VLOOKUP(A260,'20yPlan'!A:F,6,FALSE))</f>
        <v/>
      </c>
      <c r="AJ260" s="7" t="str">
        <f t="shared" si="45"/>
        <v/>
      </c>
      <c r="AK260" s="7" t="str">
        <f t="shared" si="46"/>
        <v/>
      </c>
      <c r="AL260" s="39">
        <f t="shared" ca="1" si="47"/>
        <v>2027</v>
      </c>
      <c r="AM260" s="7" t="str">
        <f t="shared" si="48"/>
        <v/>
      </c>
      <c r="AN260" s="7" t="str">
        <f t="shared" si="49"/>
        <v/>
      </c>
    </row>
    <row r="261" spans="1:40">
      <c r="A261" s="6">
        <v>60274</v>
      </c>
      <c r="B261" s="6" t="s">
        <v>621</v>
      </c>
      <c r="C261" s="6" t="s">
        <v>861</v>
      </c>
      <c r="D261" s="6">
        <v>25.508597000000002</v>
      </c>
      <c r="E261" s="6">
        <v>28.237835</v>
      </c>
      <c r="F261" s="6" t="s">
        <v>862</v>
      </c>
      <c r="G261" s="6" t="s">
        <v>863</v>
      </c>
      <c r="H261" s="35">
        <v>166653</v>
      </c>
      <c r="I261" s="6" t="s">
        <v>141</v>
      </c>
      <c r="J261" s="6">
        <v>5</v>
      </c>
      <c r="K261" s="6"/>
      <c r="L261" s="6">
        <v>6</v>
      </c>
      <c r="M261" s="6" t="s">
        <v>111</v>
      </c>
      <c r="N261" s="6" t="s">
        <v>46</v>
      </c>
      <c r="O261" s="6" t="s">
        <v>61</v>
      </c>
      <c r="P261" s="6" t="s">
        <v>106</v>
      </c>
      <c r="Q261" s="6" t="s">
        <v>107</v>
      </c>
      <c r="R261" s="35">
        <v>41404</v>
      </c>
      <c r="S261" s="35">
        <v>2306</v>
      </c>
      <c r="T261" s="36" t="s">
        <v>50</v>
      </c>
      <c r="U261" s="46">
        <f>IF($L261&lt;=2,
IF($R261&lt;=RpmDesignStandard!$C$2,RpmDesignStandard!$D$2,
IF(AND($R261&gt;RpmDesignStandard!$B$3,$R261&lt;=RpmDesignStandard!$C$3),RpmDesignStandard!$D$3,RpmDesignStandard!$D$4)),
IF($R261&lt;=RpmDesignStandard!$C$5, RpmDesignStandard!$D$5,
IF(AND($R261&gt;RpmDesignStandard!$B$6,$R261&lt;=RpmDesignStandard!$C$6),RpmDesignStandard!$D$6,
IF(AND($R261&gt;RpmDesignStandard!$B$7,$R261&lt;=RpmDesignStandard!$C$7),RpmDesignStandard!$D$7,RpmDesignStandard!$D$8))))</f>
        <v>2</v>
      </c>
      <c r="V261" s="47">
        <f>U261*RpmDesignStandard!$H$1</f>
        <v>4</v>
      </c>
      <c r="W261" s="37" t="str">
        <f>VLOOKUP(A261,RPM_ProjectRecord!A:AB,8,FALSE)</f>
        <v/>
      </c>
      <c r="X261" s="38" t="str">
        <f t="shared" si="40"/>
        <v/>
      </c>
      <c r="Y261" s="38" t="str">
        <f t="shared" si="41"/>
        <v/>
      </c>
      <c r="Z261" s="38" t="str">
        <f t="shared" si="42"/>
        <v/>
      </c>
      <c r="AA261" s="38" t="str">
        <f t="shared" si="43"/>
        <v/>
      </c>
      <c r="AB261" s="38" t="str">
        <f t="shared" si="44"/>
        <v/>
      </c>
      <c r="AC261" s="38" t="str">
        <f>IF(VLOOKUP(A261,'3rdPhaseChipSeal'!A:L,12,FALSE)="","",VLOOKUP(A261,'3rdPhaseChipSeal'!A:L,12,FALSE))</f>
        <v/>
      </c>
      <c r="AD261" s="38" t="str">
        <f>IFERROR(IF(VLOOKUP(A261,RpmContracts!A:C,3,FALSE)="","",VLOOKUP(A261,RpmContracts!A:C,3,FALSE)),"")</f>
        <v/>
      </c>
      <c r="AE261" s="7" t="str">
        <f>IF(VLOOKUP(A261,'20yPlan'!A:B,2,FALSE)="","",VLOOKUP(A261,'20yPlan'!A:B,2,FALSE))</f>
        <v/>
      </c>
      <c r="AF261" s="7" t="str">
        <f>IF(VLOOKUP(A261,'20yPlan'!A:C,3,FALSE)="","",VLOOKUP(A261,'20yPlan'!A:C,3,FALSE))</f>
        <v/>
      </c>
      <c r="AG261" s="7" t="str">
        <f>IF(VLOOKUP(A261,'20yPlan'!A:D,4,FALSE)="","",VLOOKUP(A261,'20yPlan'!A:D,4,FALSE))</f>
        <v/>
      </c>
      <c r="AH261" s="7" t="str">
        <f>IF(VLOOKUP(A261,'20yPlan'!A:E,5,FALSE)="","",VLOOKUP(A261,'20yPlan'!A:E,5,FALSE))</f>
        <v/>
      </c>
      <c r="AI261" s="7" t="str">
        <f>IF(VLOOKUP(A261,'20yPlan'!A:F,6,FALSE)="","",VLOOKUP(A261,'20yPlan'!A:F,6,FALSE))</f>
        <v/>
      </c>
      <c r="AJ261" s="7" t="str">
        <f t="shared" si="45"/>
        <v/>
      </c>
      <c r="AK261" s="7" t="str">
        <f t="shared" si="46"/>
        <v/>
      </c>
      <c r="AL261" s="39">
        <f t="shared" ca="1" si="47"/>
        <v>2025</v>
      </c>
      <c r="AM261" s="7" t="str">
        <f t="shared" si="48"/>
        <v/>
      </c>
      <c r="AN261" s="7" t="str">
        <f t="shared" si="49"/>
        <v/>
      </c>
    </row>
    <row r="262" spans="1:40">
      <c r="A262" s="6">
        <v>60275</v>
      </c>
      <c r="B262" s="6" t="s">
        <v>533</v>
      </c>
      <c r="C262" s="6" t="s">
        <v>864</v>
      </c>
      <c r="D262" s="6">
        <v>32.829185000000003</v>
      </c>
      <c r="E262" s="6">
        <v>33.924619999999997</v>
      </c>
      <c r="F262" s="6" t="s">
        <v>865</v>
      </c>
      <c r="G262" s="6" t="s">
        <v>545</v>
      </c>
      <c r="H262" s="35">
        <v>24615</v>
      </c>
      <c r="I262" s="6" t="s">
        <v>44</v>
      </c>
      <c r="J262" s="6">
        <v>0</v>
      </c>
      <c r="K262" s="6"/>
      <c r="L262" s="6">
        <v>2</v>
      </c>
      <c r="M262" s="6" t="s">
        <v>45</v>
      </c>
      <c r="N262" s="6" t="s">
        <v>250</v>
      </c>
      <c r="O262" s="6" t="s">
        <v>121</v>
      </c>
      <c r="P262" s="6" t="s">
        <v>180</v>
      </c>
      <c r="Q262" s="6" t="s">
        <v>123</v>
      </c>
      <c r="R262" s="35">
        <v>5249</v>
      </c>
      <c r="S262" s="35">
        <v>1152</v>
      </c>
      <c r="T262" s="36" t="s">
        <v>50</v>
      </c>
      <c r="U262" s="46">
        <f>IF($L262&lt;=2,
IF($R262&lt;=RpmDesignStandard!$C$2,RpmDesignStandard!$D$2,
IF(AND($R262&gt;RpmDesignStandard!$B$3,$R262&lt;=RpmDesignStandard!$C$3),RpmDesignStandard!$D$3,RpmDesignStandard!$D$4)),
IF($R262&lt;=RpmDesignStandard!$C$5, RpmDesignStandard!$D$5,
IF(AND($R262&gt;RpmDesignStandard!$B$6,$R262&lt;=RpmDesignStandard!$C$6),RpmDesignStandard!$D$6,
IF(AND($R262&gt;RpmDesignStandard!$B$7,$R262&lt;=RpmDesignStandard!$C$7),RpmDesignStandard!$D$7,RpmDesignStandard!$D$8))))</f>
        <v>4</v>
      </c>
      <c r="V262" s="47">
        <f>U262*RpmDesignStandard!$H$1</f>
        <v>8</v>
      </c>
      <c r="W262" s="37">
        <f>VLOOKUP(A262,RPM_ProjectRecord!A:AB,8,FALSE)</f>
        <v>2023</v>
      </c>
      <c r="X262" s="38" t="str">
        <f t="shared" si="40"/>
        <v/>
      </c>
      <c r="Y262" s="38" t="str">
        <f t="shared" si="41"/>
        <v/>
      </c>
      <c r="Z262" s="38" t="str">
        <f t="shared" si="42"/>
        <v/>
      </c>
      <c r="AA262" s="38" t="str">
        <f t="shared" si="43"/>
        <v/>
      </c>
      <c r="AB262" s="38" t="str">
        <f t="shared" si="44"/>
        <v/>
      </c>
      <c r="AC262" s="38" t="str">
        <f>IF(VLOOKUP(A262,'3rdPhaseChipSeal'!A:L,12,FALSE)="","",VLOOKUP(A262,'3rdPhaseChipSeal'!A:L,12,FALSE))</f>
        <v/>
      </c>
      <c r="AD262" s="38" t="str">
        <f>IFERROR(IF(VLOOKUP(A262,RpmContracts!A:C,3,FALSE)="","",VLOOKUP(A262,RpmContracts!A:C,3,FALSE)),"")</f>
        <v/>
      </c>
      <c r="AE262" s="7" t="str">
        <f>IF(VLOOKUP(A262,'20yPlan'!A:B,2,FALSE)="","",VLOOKUP(A262,'20yPlan'!A:B,2,FALSE))</f>
        <v/>
      </c>
      <c r="AF262" s="7" t="str">
        <f>IF(VLOOKUP(A262,'20yPlan'!A:C,3,FALSE)="","",VLOOKUP(A262,'20yPlan'!A:C,3,FALSE))</f>
        <v/>
      </c>
      <c r="AG262" s="7" t="str">
        <f>IF(VLOOKUP(A262,'20yPlan'!A:D,4,FALSE)="","",VLOOKUP(A262,'20yPlan'!A:D,4,FALSE))</f>
        <v/>
      </c>
      <c r="AH262" s="7" t="str">
        <f>IF(VLOOKUP(A262,'20yPlan'!A:E,5,FALSE)="","",VLOOKUP(A262,'20yPlan'!A:E,5,FALSE))</f>
        <v/>
      </c>
      <c r="AI262" s="7" t="str">
        <f>IF(VLOOKUP(A262,'20yPlan'!A:F,6,FALSE)="","",VLOOKUP(A262,'20yPlan'!A:F,6,FALSE))</f>
        <v/>
      </c>
      <c r="AJ262" s="7" t="str">
        <f t="shared" si="45"/>
        <v/>
      </c>
      <c r="AK262" s="7" t="str">
        <f t="shared" si="46"/>
        <v/>
      </c>
      <c r="AL262" s="39">
        <f t="shared" ca="1" si="47"/>
        <v>2027</v>
      </c>
      <c r="AM262" s="7" t="str">
        <f t="shared" si="48"/>
        <v/>
      </c>
      <c r="AN262" s="7" t="str">
        <f t="shared" si="49"/>
        <v/>
      </c>
    </row>
    <row r="263" spans="1:40">
      <c r="A263" s="6">
        <v>60276</v>
      </c>
      <c r="B263" s="6" t="s">
        <v>102</v>
      </c>
      <c r="C263" s="6" t="s">
        <v>866</v>
      </c>
      <c r="D263" s="6">
        <v>73.499572999999998</v>
      </c>
      <c r="E263" s="6">
        <v>92.718073000000004</v>
      </c>
      <c r="F263" s="6" t="s">
        <v>134</v>
      </c>
      <c r="G263" s="6" t="s">
        <v>867</v>
      </c>
      <c r="H263" s="35">
        <v>618440</v>
      </c>
      <c r="I263" s="6" t="s">
        <v>55</v>
      </c>
      <c r="J263" s="6">
        <v>11</v>
      </c>
      <c r="K263" s="6">
        <v>2034</v>
      </c>
      <c r="L263" s="6">
        <v>4</v>
      </c>
      <c r="M263" s="6" t="s">
        <v>111</v>
      </c>
      <c r="N263" s="6" t="s">
        <v>46</v>
      </c>
      <c r="O263" s="6" t="s">
        <v>130</v>
      </c>
      <c r="P263" s="6" t="s">
        <v>868</v>
      </c>
      <c r="Q263" s="6" t="s">
        <v>237</v>
      </c>
      <c r="R263" s="35">
        <v>8734</v>
      </c>
      <c r="S263" s="35">
        <v>2166</v>
      </c>
      <c r="T263" s="36" t="s">
        <v>50</v>
      </c>
      <c r="U263" s="46">
        <f>IF($L263&lt;=2,
IF($R263&lt;=RpmDesignStandard!$C$2,RpmDesignStandard!$D$2,
IF(AND($R263&gt;RpmDesignStandard!$B$3,$R263&lt;=RpmDesignStandard!$C$3),RpmDesignStandard!$D$3,RpmDesignStandard!$D$4)),
IF($R263&lt;=RpmDesignStandard!$C$5, RpmDesignStandard!$D$5,
IF(AND($R263&gt;RpmDesignStandard!$B$6,$R263&lt;=RpmDesignStandard!$C$6),RpmDesignStandard!$D$6,
IF(AND($R263&gt;RpmDesignStandard!$B$7,$R263&lt;=RpmDesignStandard!$C$7),RpmDesignStandard!$D$7,RpmDesignStandard!$D$8))))</f>
        <v>4</v>
      </c>
      <c r="V263" s="47">
        <f>U263*RpmDesignStandard!$H$1</f>
        <v>8</v>
      </c>
      <c r="W263" s="37" t="str">
        <f>VLOOKUP(A263,RPM_ProjectRecord!A:AB,8,FALSE)</f>
        <v/>
      </c>
      <c r="X263" s="38">
        <f t="shared" si="40"/>
        <v>2034</v>
      </c>
      <c r="Y263" s="38">
        <f t="shared" si="41"/>
        <v>2044</v>
      </c>
      <c r="Z263" s="38" t="str">
        <f t="shared" si="42"/>
        <v/>
      </c>
      <c r="AA263" s="38" t="str">
        <f t="shared" si="43"/>
        <v/>
      </c>
      <c r="AB263" s="38" t="str">
        <f t="shared" si="44"/>
        <v/>
      </c>
      <c r="AC263" s="38" t="str">
        <f>IF(VLOOKUP(A263,'3rdPhaseChipSeal'!A:L,12,FALSE)="","",VLOOKUP(A263,'3rdPhaseChipSeal'!A:L,12,FALSE))</f>
        <v/>
      </c>
      <c r="AD263" s="38">
        <f>IFERROR(IF(VLOOKUP(A263,RpmContracts!A:C,3,FALSE)="","",VLOOKUP(A263,RpmContracts!A:C,3,FALSE)),"")</f>
        <v>2027</v>
      </c>
      <c r="AE263" s="7" t="str">
        <f>IF(VLOOKUP(A263,'20yPlan'!A:B,2,FALSE)="","",VLOOKUP(A263,'20yPlan'!A:B,2,FALSE))</f>
        <v>2034 Preventive Maintenance</v>
      </c>
      <c r="AF263" s="7" t="str">
        <f>IF(VLOOKUP(A263,'20yPlan'!A:C,3,FALSE)="","",VLOOKUP(A263,'20yPlan'!A:C,3,FALSE))</f>
        <v>2044 Preventive Maintenance</v>
      </c>
      <c r="AG263" s="7" t="str">
        <f>IF(VLOOKUP(A263,'20yPlan'!A:D,4,FALSE)="","",VLOOKUP(A263,'20yPlan'!A:D,4,FALSE))</f>
        <v/>
      </c>
      <c r="AH263" s="7" t="str">
        <f>IF(VLOOKUP(A263,'20yPlan'!A:E,5,FALSE)="","",VLOOKUP(A263,'20yPlan'!A:E,5,FALSE))</f>
        <v/>
      </c>
      <c r="AI263" s="7" t="str">
        <f>IF(VLOOKUP(A263,'20yPlan'!A:F,6,FALSE)="","",VLOOKUP(A263,'20yPlan'!A:F,6,FALSE))</f>
        <v/>
      </c>
      <c r="AJ263" s="7" t="str">
        <f t="shared" si="45"/>
        <v/>
      </c>
      <c r="AK263" s="7" t="str">
        <f t="shared" si="46"/>
        <v>2027 RPM Replacement</v>
      </c>
      <c r="AL263" s="39">
        <f t="shared" ca="1" si="47"/>
        <v>2025</v>
      </c>
      <c r="AM263" s="7">
        <f t="shared" si="48"/>
        <v>2027</v>
      </c>
      <c r="AN263" s="7" t="str">
        <f t="shared" si="49"/>
        <v>2027 RPM Replacement</v>
      </c>
    </row>
    <row r="264" spans="1:40">
      <c r="A264" s="6">
        <v>60277</v>
      </c>
      <c r="B264" s="6" t="s">
        <v>555</v>
      </c>
      <c r="C264" s="6" t="s">
        <v>869</v>
      </c>
      <c r="D264" s="6">
        <v>38.269964999999999</v>
      </c>
      <c r="E264" s="6">
        <v>42.937251000000003</v>
      </c>
      <c r="F264" s="6" t="s">
        <v>572</v>
      </c>
      <c r="G264" s="6" t="s">
        <v>870</v>
      </c>
      <c r="H264" s="35">
        <v>76910</v>
      </c>
      <c r="I264" s="6" t="s">
        <v>195</v>
      </c>
      <c r="J264" s="6">
        <v>10</v>
      </c>
      <c r="K264" s="6">
        <v>2025</v>
      </c>
      <c r="L264" s="6">
        <v>2</v>
      </c>
      <c r="M264" s="6" t="s">
        <v>45</v>
      </c>
      <c r="N264" s="6" t="s">
        <v>250</v>
      </c>
      <c r="O264" s="6" t="s">
        <v>165</v>
      </c>
      <c r="P264" s="6" t="s">
        <v>236</v>
      </c>
      <c r="Q264" s="6" t="s">
        <v>136</v>
      </c>
      <c r="R264" s="35">
        <v>4178</v>
      </c>
      <c r="S264" s="6">
        <v>500</v>
      </c>
      <c r="T264" s="36" t="s">
        <v>253</v>
      </c>
      <c r="U264" s="46">
        <f>IF($L264&lt;=2,
IF($R264&lt;=RpmDesignStandard!$C$2,RpmDesignStandard!$D$2,
IF(AND($R264&gt;RpmDesignStandard!$B$3,$R264&lt;=RpmDesignStandard!$C$3),RpmDesignStandard!$D$3,RpmDesignStandard!$D$4)),
IF($R264&lt;=RpmDesignStandard!$C$5, RpmDesignStandard!$D$5,
IF(AND($R264&gt;RpmDesignStandard!$B$6,$R264&lt;=RpmDesignStandard!$C$6),RpmDesignStandard!$D$6,
IF(AND($R264&gt;RpmDesignStandard!$B$7,$R264&lt;=RpmDesignStandard!$C$7),RpmDesignStandard!$D$7,RpmDesignStandard!$D$8))))</f>
        <v>4</v>
      </c>
      <c r="V264" s="47">
        <f>U264*RpmDesignStandard!$H$1</f>
        <v>8</v>
      </c>
      <c r="W264" s="37">
        <f>VLOOKUP(A264,RPM_ProjectRecord!A:AB,8,FALSE)</f>
        <v>2025</v>
      </c>
      <c r="X264" s="38" t="str">
        <f t="shared" si="40"/>
        <v/>
      </c>
      <c r="Y264" s="38" t="str">
        <f t="shared" si="41"/>
        <v/>
      </c>
      <c r="Z264" s="38" t="str">
        <f t="shared" si="42"/>
        <v/>
      </c>
      <c r="AA264" s="38" t="str">
        <f t="shared" si="43"/>
        <v/>
      </c>
      <c r="AB264" s="38" t="str">
        <f t="shared" si="44"/>
        <v/>
      </c>
      <c r="AC264" s="38">
        <f>IF(VLOOKUP(A264,'3rdPhaseChipSeal'!A:L,12,FALSE)="","",VLOOKUP(A264,'3rdPhaseChipSeal'!A:L,12,FALSE))</f>
        <v>2025</v>
      </c>
      <c r="AD264" s="38" t="str">
        <f>IFERROR(IF(VLOOKUP(A264,RpmContracts!A:C,3,FALSE)="","",VLOOKUP(A264,RpmContracts!A:C,3,FALSE)),"")</f>
        <v/>
      </c>
      <c r="AE264" s="7" t="str">
        <f>IF(VLOOKUP(A264,'20yPlan'!A:B,2,FALSE)="","",VLOOKUP(A264,'20yPlan'!A:B,2,FALSE))</f>
        <v/>
      </c>
      <c r="AF264" s="7" t="str">
        <f>IF(VLOOKUP(A264,'20yPlan'!A:C,3,FALSE)="","",VLOOKUP(A264,'20yPlan'!A:C,3,FALSE))</f>
        <v/>
      </c>
      <c r="AG264" s="7" t="str">
        <f>IF(VLOOKUP(A264,'20yPlan'!A:D,4,FALSE)="","",VLOOKUP(A264,'20yPlan'!A:D,4,FALSE))</f>
        <v/>
      </c>
      <c r="AH264" s="7" t="str">
        <f>IF(VLOOKUP(A264,'20yPlan'!A:E,5,FALSE)="","",VLOOKUP(A264,'20yPlan'!A:E,5,FALSE))</f>
        <v/>
      </c>
      <c r="AI264" s="7" t="str">
        <f>IF(VLOOKUP(A264,'20yPlan'!A:F,6,FALSE)="","",VLOOKUP(A264,'20yPlan'!A:F,6,FALSE))</f>
        <v/>
      </c>
      <c r="AJ264" s="7" t="str">
        <f t="shared" si="45"/>
        <v>2025 Chip Seal</v>
      </c>
      <c r="AK264" s="7" t="str">
        <f t="shared" si="46"/>
        <v/>
      </c>
      <c r="AL264" s="39">
        <f t="shared" ca="1" si="47"/>
        <v>2029</v>
      </c>
      <c r="AM264" s="7" t="str">
        <f t="shared" si="48"/>
        <v/>
      </c>
      <c r="AN264" s="7" t="str">
        <f t="shared" si="49"/>
        <v/>
      </c>
    </row>
    <row r="265" spans="1:40">
      <c r="A265" s="6">
        <v>60279</v>
      </c>
      <c r="B265" s="6" t="s">
        <v>582</v>
      </c>
      <c r="C265" s="6" t="s">
        <v>871</v>
      </c>
      <c r="D265" s="6">
        <v>10.79987</v>
      </c>
      <c r="E265" s="6">
        <v>11.845912999999999</v>
      </c>
      <c r="F265" s="6" t="s">
        <v>586</v>
      </c>
      <c r="G265" s="6" t="s">
        <v>872</v>
      </c>
      <c r="H265" s="35">
        <v>19339</v>
      </c>
      <c r="I265" s="6" t="s">
        <v>44</v>
      </c>
      <c r="J265" s="6">
        <v>4</v>
      </c>
      <c r="K265" s="6"/>
      <c r="L265" s="6">
        <v>2</v>
      </c>
      <c r="M265" s="6" t="s">
        <v>45</v>
      </c>
      <c r="N265" s="6" t="s">
        <v>250</v>
      </c>
      <c r="O265" s="6" t="s">
        <v>165</v>
      </c>
      <c r="P265" s="6" t="s">
        <v>165</v>
      </c>
      <c r="Q265" s="6" t="s">
        <v>240</v>
      </c>
      <c r="R265" s="35">
        <v>3702</v>
      </c>
      <c r="S265" s="6">
        <v>444</v>
      </c>
      <c r="T265" s="36" t="s">
        <v>50</v>
      </c>
      <c r="U265" s="46">
        <f>IF($L265&lt;=2,
IF($R265&lt;=RpmDesignStandard!$C$2,RpmDesignStandard!$D$2,
IF(AND($R265&gt;RpmDesignStandard!$B$3,$R265&lt;=RpmDesignStandard!$C$3),RpmDesignStandard!$D$3,RpmDesignStandard!$D$4)),
IF($R265&lt;=RpmDesignStandard!$C$5, RpmDesignStandard!$D$5,
IF(AND($R265&gt;RpmDesignStandard!$B$6,$R265&lt;=RpmDesignStandard!$C$6),RpmDesignStandard!$D$6,
IF(AND($R265&gt;RpmDesignStandard!$B$7,$R265&lt;=RpmDesignStandard!$C$7),RpmDesignStandard!$D$7,RpmDesignStandard!$D$8))))</f>
        <v>4</v>
      </c>
      <c r="V265" s="47">
        <f>U265*RpmDesignStandard!$H$1</f>
        <v>8</v>
      </c>
      <c r="W265" s="37" t="str">
        <f>VLOOKUP(A265,RPM_ProjectRecord!A:AB,8,FALSE)</f>
        <v/>
      </c>
      <c r="X265" s="38" t="str">
        <f t="shared" si="40"/>
        <v/>
      </c>
      <c r="Y265" s="38" t="str">
        <f t="shared" si="41"/>
        <v/>
      </c>
      <c r="Z265" s="38" t="str">
        <f t="shared" si="42"/>
        <v/>
      </c>
      <c r="AA265" s="38" t="str">
        <f t="shared" si="43"/>
        <v/>
      </c>
      <c r="AB265" s="38" t="str">
        <f t="shared" si="44"/>
        <v/>
      </c>
      <c r="AC265" s="38" t="str">
        <f>IF(VLOOKUP(A265,'3rdPhaseChipSeal'!A:L,12,FALSE)="","",VLOOKUP(A265,'3rdPhaseChipSeal'!A:L,12,FALSE))</f>
        <v/>
      </c>
      <c r="AD265" s="38" t="str">
        <f>IFERROR(IF(VLOOKUP(A265,RpmContracts!A:C,3,FALSE)="","",VLOOKUP(A265,RpmContracts!A:C,3,FALSE)),"")</f>
        <v/>
      </c>
      <c r="AE265" s="7" t="str">
        <f>IF(VLOOKUP(A265,'20yPlan'!A:B,2,FALSE)="","",VLOOKUP(A265,'20yPlan'!A:B,2,FALSE))</f>
        <v/>
      </c>
      <c r="AF265" s="7" t="str">
        <f>IF(VLOOKUP(A265,'20yPlan'!A:C,3,FALSE)="","",VLOOKUP(A265,'20yPlan'!A:C,3,FALSE))</f>
        <v/>
      </c>
      <c r="AG265" s="7" t="str">
        <f>IF(VLOOKUP(A265,'20yPlan'!A:D,4,FALSE)="","",VLOOKUP(A265,'20yPlan'!A:D,4,FALSE))</f>
        <v/>
      </c>
      <c r="AH265" s="7" t="str">
        <f>IF(VLOOKUP(A265,'20yPlan'!A:E,5,FALSE)="","",VLOOKUP(A265,'20yPlan'!A:E,5,FALSE))</f>
        <v/>
      </c>
      <c r="AI265" s="7" t="str">
        <f>IF(VLOOKUP(A265,'20yPlan'!A:F,6,FALSE)="","",VLOOKUP(A265,'20yPlan'!A:F,6,FALSE))</f>
        <v/>
      </c>
      <c r="AJ265" s="7" t="str">
        <f t="shared" si="45"/>
        <v/>
      </c>
      <c r="AK265" s="7" t="str">
        <f t="shared" si="46"/>
        <v/>
      </c>
      <c r="AL265" s="39">
        <f t="shared" ca="1" si="47"/>
        <v>2025</v>
      </c>
      <c r="AM265" s="7" t="str">
        <f t="shared" si="48"/>
        <v/>
      </c>
      <c r="AN265" s="7" t="str">
        <f t="shared" si="49"/>
        <v/>
      </c>
    </row>
    <row r="266" spans="1:40">
      <c r="A266" s="6">
        <v>60280</v>
      </c>
      <c r="B266" s="6" t="s">
        <v>378</v>
      </c>
      <c r="C266" s="6" t="s">
        <v>873</v>
      </c>
      <c r="D266" s="6">
        <v>2.9840100000000001</v>
      </c>
      <c r="E266" s="6">
        <v>7.7537940000000001</v>
      </c>
      <c r="F266" s="6" t="s">
        <v>380</v>
      </c>
      <c r="G266" s="6" t="s">
        <v>874</v>
      </c>
      <c r="H266" s="35">
        <v>93562</v>
      </c>
      <c r="I266" s="6" t="s">
        <v>195</v>
      </c>
      <c r="J266" s="6">
        <v>4</v>
      </c>
      <c r="K266" s="6">
        <v>2028</v>
      </c>
      <c r="L266" s="6">
        <v>2</v>
      </c>
      <c r="M266" s="6" t="s">
        <v>45</v>
      </c>
      <c r="N266" s="6" t="s">
        <v>250</v>
      </c>
      <c r="O266" s="6" t="s">
        <v>61</v>
      </c>
      <c r="P266" s="6" t="s">
        <v>70</v>
      </c>
      <c r="Q266" s="6" t="s">
        <v>382</v>
      </c>
      <c r="R266" s="35">
        <v>3861</v>
      </c>
      <c r="S266" s="6">
        <v>230</v>
      </c>
      <c r="T266" s="36" t="s">
        <v>50</v>
      </c>
      <c r="U266" s="46">
        <f>IF($L266&lt;=2,
IF($R266&lt;=RpmDesignStandard!$C$2,RpmDesignStandard!$D$2,
IF(AND($R266&gt;RpmDesignStandard!$B$3,$R266&lt;=RpmDesignStandard!$C$3),RpmDesignStandard!$D$3,RpmDesignStandard!$D$4)),
IF($R266&lt;=RpmDesignStandard!$C$5, RpmDesignStandard!$D$5,
IF(AND($R266&gt;RpmDesignStandard!$B$6,$R266&lt;=RpmDesignStandard!$C$6),RpmDesignStandard!$D$6,
IF(AND($R266&gt;RpmDesignStandard!$B$7,$R266&lt;=RpmDesignStandard!$C$7),RpmDesignStandard!$D$7,RpmDesignStandard!$D$8))))</f>
        <v>4</v>
      </c>
      <c r="V266" s="47">
        <f>U266*RpmDesignStandard!$H$1</f>
        <v>8</v>
      </c>
      <c r="W266" s="37" t="str">
        <f>VLOOKUP(A266,RPM_ProjectRecord!A:AB,8,FALSE)</f>
        <v/>
      </c>
      <c r="X266" s="38" t="str">
        <f t="shared" si="40"/>
        <v/>
      </c>
      <c r="Y266" s="38" t="str">
        <f t="shared" si="41"/>
        <v/>
      </c>
      <c r="Z266" s="38" t="str">
        <f t="shared" si="42"/>
        <v/>
      </c>
      <c r="AA266" s="38" t="str">
        <f t="shared" si="43"/>
        <v/>
      </c>
      <c r="AB266" s="38" t="str">
        <f t="shared" si="44"/>
        <v/>
      </c>
      <c r="AC266" s="38">
        <f>IF(VLOOKUP(A266,'3rdPhaseChipSeal'!A:L,12,FALSE)="","",VLOOKUP(A266,'3rdPhaseChipSeal'!A:L,12,FALSE))</f>
        <v>2042</v>
      </c>
      <c r="AD266" s="38" t="str">
        <f>IFERROR(IF(VLOOKUP(A266,RpmContracts!A:C,3,FALSE)="","",VLOOKUP(A266,RpmContracts!A:C,3,FALSE)),"")</f>
        <v/>
      </c>
      <c r="AE266" s="7" t="str">
        <f>IF(VLOOKUP(A266,'20yPlan'!A:B,2,FALSE)="","",VLOOKUP(A266,'20yPlan'!A:B,2,FALSE))</f>
        <v/>
      </c>
      <c r="AF266" s="7" t="str">
        <f>IF(VLOOKUP(A266,'20yPlan'!A:C,3,FALSE)="","",VLOOKUP(A266,'20yPlan'!A:C,3,FALSE))</f>
        <v/>
      </c>
      <c r="AG266" s="7" t="str">
        <f>IF(VLOOKUP(A266,'20yPlan'!A:D,4,FALSE)="","",VLOOKUP(A266,'20yPlan'!A:D,4,FALSE))</f>
        <v/>
      </c>
      <c r="AH266" s="7" t="str">
        <f>IF(VLOOKUP(A266,'20yPlan'!A:E,5,FALSE)="","",VLOOKUP(A266,'20yPlan'!A:E,5,FALSE))</f>
        <v/>
      </c>
      <c r="AI266" s="7" t="str">
        <f>IF(VLOOKUP(A266,'20yPlan'!A:F,6,FALSE)="","",VLOOKUP(A266,'20yPlan'!A:F,6,FALSE))</f>
        <v/>
      </c>
      <c r="AJ266" s="7" t="str">
        <f t="shared" si="45"/>
        <v>2042 Chip Seal</v>
      </c>
      <c r="AK266" s="7" t="str">
        <f t="shared" si="46"/>
        <v/>
      </c>
      <c r="AL266" s="39">
        <f t="shared" ca="1" si="47"/>
        <v>2025</v>
      </c>
      <c r="AM266" s="7" t="str">
        <f t="shared" si="48"/>
        <v/>
      </c>
      <c r="AN266" s="7" t="str">
        <f t="shared" si="49"/>
        <v/>
      </c>
    </row>
    <row r="267" spans="1:40">
      <c r="A267" s="6">
        <v>60281</v>
      </c>
      <c r="B267" s="6" t="s">
        <v>40</v>
      </c>
      <c r="C267" s="6" t="s">
        <v>875</v>
      </c>
      <c r="D267" s="6">
        <v>1.863243</v>
      </c>
      <c r="E267" s="6">
        <v>6.6100159999999999</v>
      </c>
      <c r="F267" s="6" t="s">
        <v>876</v>
      </c>
      <c r="G267" s="6" t="s">
        <v>182</v>
      </c>
      <c r="H267" s="35">
        <v>217251</v>
      </c>
      <c r="I267" s="6" t="s">
        <v>154</v>
      </c>
      <c r="J267" s="6">
        <v>16</v>
      </c>
      <c r="K267" s="6">
        <v>2025</v>
      </c>
      <c r="L267" s="6">
        <v>4</v>
      </c>
      <c r="M267" s="6" t="s">
        <v>45</v>
      </c>
      <c r="N267" s="6" t="s">
        <v>46</v>
      </c>
      <c r="O267" s="6" t="s">
        <v>121</v>
      </c>
      <c r="P267" s="6" t="s">
        <v>180</v>
      </c>
      <c r="Q267" s="6" t="s">
        <v>162</v>
      </c>
      <c r="R267" s="35">
        <v>7582</v>
      </c>
      <c r="S267" s="6">
        <v>713</v>
      </c>
      <c r="T267" s="36" t="s">
        <v>50</v>
      </c>
      <c r="U267" s="46">
        <f>IF($L267&lt;=2,
IF($R267&lt;=RpmDesignStandard!$C$2,RpmDesignStandard!$D$2,
IF(AND($R267&gt;RpmDesignStandard!$B$3,$R267&lt;=RpmDesignStandard!$C$3),RpmDesignStandard!$D$3,RpmDesignStandard!$D$4)),
IF($R267&lt;=RpmDesignStandard!$C$5, RpmDesignStandard!$D$5,
IF(AND($R267&gt;RpmDesignStandard!$B$6,$R267&lt;=RpmDesignStandard!$C$6),RpmDesignStandard!$D$6,
IF(AND($R267&gt;RpmDesignStandard!$B$7,$R267&lt;=RpmDesignStandard!$C$7),RpmDesignStandard!$D$7,RpmDesignStandard!$D$8))))</f>
        <v>4</v>
      </c>
      <c r="V267" s="47">
        <f>U267*RpmDesignStandard!$H$1</f>
        <v>8</v>
      </c>
      <c r="W267" s="37" t="str">
        <f>VLOOKUP(A267,RPM_ProjectRecord!A:AB,8,FALSE)</f>
        <v/>
      </c>
      <c r="X267" s="38" t="str">
        <f t="shared" si="40"/>
        <v/>
      </c>
      <c r="Y267" s="38" t="str">
        <f t="shared" si="41"/>
        <v/>
      </c>
      <c r="Z267" s="38" t="str">
        <f t="shared" si="42"/>
        <v/>
      </c>
      <c r="AA267" s="38" t="str">
        <f t="shared" si="43"/>
        <v/>
      </c>
      <c r="AB267" s="38" t="str">
        <f t="shared" si="44"/>
        <v/>
      </c>
      <c r="AC267" s="38" t="str">
        <f>IF(VLOOKUP(A267,'3rdPhaseChipSeal'!A:L,12,FALSE)="","",VLOOKUP(A267,'3rdPhaseChipSeal'!A:L,12,FALSE))</f>
        <v/>
      </c>
      <c r="AD267" s="38">
        <f>IFERROR(IF(VLOOKUP(A267,RpmContracts!A:C,3,FALSE)="","",VLOOKUP(A267,RpmContracts!A:C,3,FALSE)),"")</f>
        <v>2027</v>
      </c>
      <c r="AE267" s="7" t="str">
        <f>IF(VLOOKUP(A267,'20yPlan'!A:B,2,FALSE)="","",VLOOKUP(A267,'20yPlan'!A:B,2,FALSE))</f>
        <v/>
      </c>
      <c r="AF267" s="7" t="str">
        <f>IF(VLOOKUP(A267,'20yPlan'!A:C,3,FALSE)="","",VLOOKUP(A267,'20yPlan'!A:C,3,FALSE))</f>
        <v/>
      </c>
      <c r="AG267" s="7" t="str">
        <f>IF(VLOOKUP(A267,'20yPlan'!A:D,4,FALSE)="","",VLOOKUP(A267,'20yPlan'!A:D,4,FALSE))</f>
        <v/>
      </c>
      <c r="AH267" s="7" t="str">
        <f>IF(VLOOKUP(A267,'20yPlan'!A:E,5,FALSE)="","",VLOOKUP(A267,'20yPlan'!A:E,5,FALSE))</f>
        <v/>
      </c>
      <c r="AI267" s="7" t="str">
        <f>IF(VLOOKUP(A267,'20yPlan'!A:F,6,FALSE)="","",VLOOKUP(A267,'20yPlan'!A:F,6,FALSE))</f>
        <v/>
      </c>
      <c r="AJ267" s="7" t="str">
        <f t="shared" si="45"/>
        <v/>
      </c>
      <c r="AK267" s="7" t="str">
        <f t="shared" si="46"/>
        <v>2027 RPM Replacement</v>
      </c>
      <c r="AL267" s="39">
        <f t="shared" ca="1" si="47"/>
        <v>2025</v>
      </c>
      <c r="AM267" s="7">
        <f t="shared" si="48"/>
        <v>2027</v>
      </c>
      <c r="AN267" s="7" t="str">
        <f t="shared" si="49"/>
        <v>2027 RPM Replacement</v>
      </c>
    </row>
    <row r="268" spans="1:40">
      <c r="A268" s="6">
        <v>60282</v>
      </c>
      <c r="B268" s="6" t="s">
        <v>877</v>
      </c>
      <c r="C268" s="6" t="s">
        <v>878</v>
      </c>
      <c r="D268" s="6">
        <v>0</v>
      </c>
      <c r="E268" s="6">
        <v>0.22817100000000001</v>
      </c>
      <c r="F268" s="6" t="s">
        <v>879</v>
      </c>
      <c r="G268" s="6" t="s">
        <v>880</v>
      </c>
      <c r="H268" s="35">
        <v>31546</v>
      </c>
      <c r="I268" s="6" t="s">
        <v>154</v>
      </c>
      <c r="J268" s="6">
        <v>13</v>
      </c>
      <c r="K268" s="6">
        <v>2028</v>
      </c>
      <c r="L268" s="6">
        <v>4</v>
      </c>
      <c r="M268" s="6" t="s">
        <v>45</v>
      </c>
      <c r="N268" s="6" t="s">
        <v>250</v>
      </c>
      <c r="O268" s="6" t="s">
        <v>121</v>
      </c>
      <c r="P268" s="6" t="s">
        <v>180</v>
      </c>
      <c r="Q268" s="6" t="s">
        <v>162</v>
      </c>
      <c r="R268" s="35">
        <v>6221</v>
      </c>
      <c r="S268" s="6">
        <v>509</v>
      </c>
      <c r="T268" s="36" t="s">
        <v>50</v>
      </c>
      <c r="U268" s="46">
        <f>IF($L268&lt;=2,
IF($R268&lt;=RpmDesignStandard!$C$2,RpmDesignStandard!$D$2,
IF(AND($R268&gt;RpmDesignStandard!$B$3,$R268&lt;=RpmDesignStandard!$C$3),RpmDesignStandard!$D$3,RpmDesignStandard!$D$4)),
IF($R268&lt;=RpmDesignStandard!$C$5, RpmDesignStandard!$D$5,
IF(AND($R268&gt;RpmDesignStandard!$B$6,$R268&lt;=RpmDesignStandard!$C$6),RpmDesignStandard!$D$6,
IF(AND($R268&gt;RpmDesignStandard!$B$7,$R268&lt;=RpmDesignStandard!$C$7),RpmDesignStandard!$D$7,RpmDesignStandard!$D$8))))</f>
        <v>4</v>
      </c>
      <c r="V268" s="47">
        <f>U268*RpmDesignStandard!$H$1</f>
        <v>8</v>
      </c>
      <c r="W268" s="37" t="str">
        <f>VLOOKUP(A268,RPM_ProjectRecord!A:AB,8,FALSE)</f>
        <v/>
      </c>
      <c r="X268" s="38" t="str">
        <f t="shared" si="40"/>
        <v/>
      </c>
      <c r="Y268" s="38" t="str">
        <f t="shared" si="41"/>
        <v/>
      </c>
      <c r="Z268" s="38" t="str">
        <f t="shared" si="42"/>
        <v/>
      </c>
      <c r="AA268" s="38" t="str">
        <f t="shared" si="43"/>
        <v/>
      </c>
      <c r="AB268" s="38" t="str">
        <f t="shared" si="44"/>
        <v/>
      </c>
      <c r="AC268" s="38" t="str">
        <f>IF(VLOOKUP(A268,'3rdPhaseChipSeal'!A:L,12,FALSE)="","",VLOOKUP(A268,'3rdPhaseChipSeal'!A:L,12,FALSE))</f>
        <v/>
      </c>
      <c r="AD268" s="38" t="str">
        <f>IFERROR(IF(VLOOKUP(A268,RpmContracts!A:C,3,FALSE)="","",VLOOKUP(A268,RpmContracts!A:C,3,FALSE)),"")</f>
        <v/>
      </c>
      <c r="AE268" s="7" t="str">
        <f>IF(VLOOKUP(A268,'20yPlan'!A:B,2,FALSE)="","",VLOOKUP(A268,'20yPlan'!A:B,2,FALSE))</f>
        <v/>
      </c>
      <c r="AF268" s="7" t="str">
        <f>IF(VLOOKUP(A268,'20yPlan'!A:C,3,FALSE)="","",VLOOKUP(A268,'20yPlan'!A:C,3,FALSE))</f>
        <v/>
      </c>
      <c r="AG268" s="7" t="str">
        <f>IF(VLOOKUP(A268,'20yPlan'!A:D,4,FALSE)="","",VLOOKUP(A268,'20yPlan'!A:D,4,FALSE))</f>
        <v/>
      </c>
      <c r="AH268" s="7" t="str">
        <f>IF(VLOOKUP(A268,'20yPlan'!A:E,5,FALSE)="","",VLOOKUP(A268,'20yPlan'!A:E,5,FALSE))</f>
        <v/>
      </c>
      <c r="AI268" s="7" t="str">
        <f>IF(VLOOKUP(A268,'20yPlan'!A:F,6,FALSE)="","",VLOOKUP(A268,'20yPlan'!A:F,6,FALSE))</f>
        <v/>
      </c>
      <c r="AJ268" s="7" t="str">
        <f t="shared" si="45"/>
        <v/>
      </c>
      <c r="AK268" s="7" t="str">
        <f t="shared" si="46"/>
        <v/>
      </c>
      <c r="AL268" s="39">
        <f t="shared" ca="1" si="47"/>
        <v>2025</v>
      </c>
      <c r="AM268" s="7" t="str">
        <f t="shared" si="48"/>
        <v/>
      </c>
      <c r="AN268" s="7" t="str">
        <f t="shared" si="49"/>
        <v/>
      </c>
    </row>
    <row r="269" spans="1:40">
      <c r="A269" s="6">
        <v>60283</v>
      </c>
      <c r="B269" s="6" t="s">
        <v>555</v>
      </c>
      <c r="C269" s="6" t="s">
        <v>881</v>
      </c>
      <c r="D269" s="6">
        <v>42.937251000000003</v>
      </c>
      <c r="E269" s="6">
        <v>44.451386999999997</v>
      </c>
      <c r="F269" s="6" t="s">
        <v>870</v>
      </c>
      <c r="G269" s="6" t="s">
        <v>882</v>
      </c>
      <c r="H269" s="35">
        <v>28246</v>
      </c>
      <c r="I269" s="6" t="s">
        <v>44</v>
      </c>
      <c r="J269" s="6">
        <v>10</v>
      </c>
      <c r="K269" s="6"/>
      <c r="L269" s="6">
        <v>2</v>
      </c>
      <c r="M269" s="6" t="s">
        <v>45</v>
      </c>
      <c r="N269" s="6" t="s">
        <v>250</v>
      </c>
      <c r="O269" s="6" t="s">
        <v>165</v>
      </c>
      <c r="P269" s="6" t="s">
        <v>236</v>
      </c>
      <c r="Q269" s="6" t="s">
        <v>136</v>
      </c>
      <c r="R269" s="35">
        <v>4679</v>
      </c>
      <c r="S269" s="6">
        <v>560</v>
      </c>
      <c r="T269" s="36" t="s">
        <v>50</v>
      </c>
      <c r="U269" s="46">
        <f>IF($L269&lt;=2,
IF($R269&lt;=RpmDesignStandard!$C$2,RpmDesignStandard!$D$2,
IF(AND($R269&gt;RpmDesignStandard!$B$3,$R269&lt;=RpmDesignStandard!$C$3),RpmDesignStandard!$D$3,RpmDesignStandard!$D$4)),
IF($R269&lt;=RpmDesignStandard!$C$5, RpmDesignStandard!$D$5,
IF(AND($R269&gt;RpmDesignStandard!$B$6,$R269&lt;=RpmDesignStandard!$C$6),RpmDesignStandard!$D$6,
IF(AND($R269&gt;RpmDesignStandard!$B$7,$R269&lt;=RpmDesignStandard!$C$7),RpmDesignStandard!$D$7,RpmDesignStandard!$D$8))))</f>
        <v>4</v>
      </c>
      <c r="V269" s="47">
        <f>U269*RpmDesignStandard!$H$1</f>
        <v>8</v>
      </c>
      <c r="W269" s="37" t="str">
        <f>VLOOKUP(A269,RPM_ProjectRecord!A:AB,8,FALSE)</f>
        <v/>
      </c>
      <c r="X269" s="38" t="str">
        <f t="shared" si="40"/>
        <v/>
      </c>
      <c r="Y269" s="38" t="str">
        <f t="shared" si="41"/>
        <v/>
      </c>
      <c r="Z269" s="38" t="str">
        <f t="shared" si="42"/>
        <v/>
      </c>
      <c r="AA269" s="38" t="str">
        <f t="shared" si="43"/>
        <v/>
      </c>
      <c r="AB269" s="38" t="str">
        <f t="shared" si="44"/>
        <v/>
      </c>
      <c r="AC269" s="38" t="str">
        <f>IF(VLOOKUP(A269,'3rdPhaseChipSeal'!A:L,12,FALSE)="","",VLOOKUP(A269,'3rdPhaseChipSeal'!A:L,12,FALSE))</f>
        <v/>
      </c>
      <c r="AD269" s="38" t="str">
        <f>IFERROR(IF(VLOOKUP(A269,RpmContracts!A:C,3,FALSE)="","",VLOOKUP(A269,RpmContracts!A:C,3,FALSE)),"")</f>
        <v/>
      </c>
      <c r="AE269" s="7" t="str">
        <f>IF(VLOOKUP(A269,'20yPlan'!A:B,2,FALSE)="","",VLOOKUP(A269,'20yPlan'!A:B,2,FALSE))</f>
        <v/>
      </c>
      <c r="AF269" s="7" t="str">
        <f>IF(VLOOKUP(A269,'20yPlan'!A:C,3,FALSE)="","",VLOOKUP(A269,'20yPlan'!A:C,3,FALSE))</f>
        <v/>
      </c>
      <c r="AG269" s="7" t="str">
        <f>IF(VLOOKUP(A269,'20yPlan'!A:D,4,FALSE)="","",VLOOKUP(A269,'20yPlan'!A:D,4,FALSE))</f>
        <v/>
      </c>
      <c r="AH269" s="7" t="str">
        <f>IF(VLOOKUP(A269,'20yPlan'!A:E,5,FALSE)="","",VLOOKUP(A269,'20yPlan'!A:E,5,FALSE))</f>
        <v/>
      </c>
      <c r="AI269" s="7" t="str">
        <f>IF(VLOOKUP(A269,'20yPlan'!A:F,6,FALSE)="","",VLOOKUP(A269,'20yPlan'!A:F,6,FALSE))</f>
        <v/>
      </c>
      <c r="AJ269" s="7" t="str">
        <f t="shared" si="45"/>
        <v/>
      </c>
      <c r="AK269" s="7" t="str">
        <f t="shared" si="46"/>
        <v/>
      </c>
      <c r="AL269" s="39">
        <f t="shared" ca="1" si="47"/>
        <v>2025</v>
      </c>
      <c r="AM269" s="7" t="str">
        <f t="shared" si="48"/>
        <v/>
      </c>
      <c r="AN269" s="7" t="str">
        <f t="shared" si="49"/>
        <v/>
      </c>
    </row>
    <row r="270" spans="1:40">
      <c r="A270" s="6">
        <v>60284</v>
      </c>
      <c r="B270" s="6" t="s">
        <v>883</v>
      </c>
      <c r="C270" s="6" t="s">
        <v>884</v>
      </c>
      <c r="D270" s="6">
        <v>0</v>
      </c>
      <c r="E270" s="6">
        <v>0.71976700000000005</v>
      </c>
      <c r="F270" s="6" t="s">
        <v>885</v>
      </c>
      <c r="G270" s="6" t="s">
        <v>886</v>
      </c>
      <c r="H270" s="35">
        <v>4673</v>
      </c>
      <c r="I270" s="6" t="s">
        <v>195</v>
      </c>
      <c r="J270" s="6">
        <v>2</v>
      </c>
      <c r="K270" s="6"/>
      <c r="L270" s="6">
        <v>2</v>
      </c>
      <c r="M270" s="6" t="s">
        <v>45</v>
      </c>
      <c r="N270" s="6" t="s">
        <v>250</v>
      </c>
      <c r="O270" s="6" t="s">
        <v>79</v>
      </c>
      <c r="P270" s="6" t="s">
        <v>210</v>
      </c>
      <c r="Q270" s="6" t="s">
        <v>81</v>
      </c>
      <c r="R270" s="35">
        <v>1027</v>
      </c>
      <c r="S270" s="6">
        <v>139</v>
      </c>
      <c r="T270" s="36" t="s">
        <v>50</v>
      </c>
      <c r="U270" s="46">
        <f>IF($L270&lt;=2,
IF($R270&lt;=RpmDesignStandard!$C$2,RpmDesignStandard!$D$2,
IF(AND($R270&gt;RpmDesignStandard!$B$3,$R270&lt;=RpmDesignStandard!$C$3),RpmDesignStandard!$D$3,RpmDesignStandard!$D$4)),
IF($R270&lt;=RpmDesignStandard!$C$5, RpmDesignStandard!$D$5,
IF(AND($R270&gt;RpmDesignStandard!$B$6,$R270&lt;=RpmDesignStandard!$C$6),RpmDesignStandard!$D$6,
IF(AND($R270&gt;RpmDesignStandard!$B$7,$R270&lt;=RpmDesignStandard!$C$7),RpmDesignStandard!$D$7,RpmDesignStandard!$D$8))))</f>
        <v>4</v>
      </c>
      <c r="V270" s="47">
        <f>U270*RpmDesignStandard!$H$1</f>
        <v>8</v>
      </c>
      <c r="W270" s="37">
        <f>VLOOKUP(A270,RPM_ProjectRecord!A:AB,8,FALSE)</f>
        <v>2021</v>
      </c>
      <c r="X270" s="38" t="str">
        <f t="shared" si="40"/>
        <v/>
      </c>
      <c r="Y270" s="38" t="str">
        <f t="shared" si="41"/>
        <v/>
      </c>
      <c r="Z270" s="38" t="str">
        <f t="shared" si="42"/>
        <v/>
      </c>
      <c r="AA270" s="38" t="str">
        <f t="shared" si="43"/>
        <v/>
      </c>
      <c r="AB270" s="38" t="str">
        <f t="shared" si="44"/>
        <v/>
      </c>
      <c r="AC270" s="38" t="str">
        <f>IF(VLOOKUP(A270,'3rdPhaseChipSeal'!A:L,12,FALSE)="","",VLOOKUP(A270,'3rdPhaseChipSeal'!A:L,12,FALSE))</f>
        <v/>
      </c>
      <c r="AD270" s="38" t="str">
        <f>IFERROR(IF(VLOOKUP(A270,RpmContracts!A:C,3,FALSE)="","",VLOOKUP(A270,RpmContracts!A:C,3,FALSE)),"")</f>
        <v/>
      </c>
      <c r="AE270" s="7" t="str">
        <f>IF(VLOOKUP(A270,'20yPlan'!A:B,2,FALSE)="","",VLOOKUP(A270,'20yPlan'!A:B,2,FALSE))</f>
        <v/>
      </c>
      <c r="AF270" s="7" t="str">
        <f>IF(VLOOKUP(A270,'20yPlan'!A:C,3,FALSE)="","",VLOOKUP(A270,'20yPlan'!A:C,3,FALSE))</f>
        <v/>
      </c>
      <c r="AG270" s="7" t="str">
        <f>IF(VLOOKUP(A270,'20yPlan'!A:D,4,FALSE)="","",VLOOKUP(A270,'20yPlan'!A:D,4,FALSE))</f>
        <v/>
      </c>
      <c r="AH270" s="7" t="str">
        <f>IF(VLOOKUP(A270,'20yPlan'!A:E,5,FALSE)="","",VLOOKUP(A270,'20yPlan'!A:E,5,FALSE))</f>
        <v/>
      </c>
      <c r="AI270" s="7" t="str">
        <f>IF(VLOOKUP(A270,'20yPlan'!A:F,6,FALSE)="","",VLOOKUP(A270,'20yPlan'!A:F,6,FALSE))</f>
        <v/>
      </c>
      <c r="AJ270" s="7" t="str">
        <f t="shared" si="45"/>
        <v/>
      </c>
      <c r="AK270" s="7" t="str">
        <f t="shared" si="46"/>
        <v/>
      </c>
      <c r="AL270" s="39">
        <f t="shared" ca="1" si="47"/>
        <v>2025</v>
      </c>
      <c r="AM270" s="7" t="str">
        <f t="shared" si="48"/>
        <v/>
      </c>
      <c r="AN270" s="7" t="str">
        <f t="shared" si="49"/>
        <v/>
      </c>
    </row>
    <row r="271" spans="1:40">
      <c r="A271" s="6">
        <v>60285</v>
      </c>
      <c r="B271" s="6" t="s">
        <v>663</v>
      </c>
      <c r="C271" s="6" t="s">
        <v>887</v>
      </c>
      <c r="D271" s="6">
        <v>18.338881000000001</v>
      </c>
      <c r="E271" s="6">
        <v>18.970732999999999</v>
      </c>
      <c r="F271" s="6" t="s">
        <v>674</v>
      </c>
      <c r="G271" s="6" t="s">
        <v>888</v>
      </c>
      <c r="H271" s="35">
        <v>13742</v>
      </c>
      <c r="I271" s="6" t="s">
        <v>44</v>
      </c>
      <c r="J271" s="6">
        <v>2</v>
      </c>
      <c r="K271" s="6"/>
      <c r="L271" s="6">
        <v>2</v>
      </c>
      <c r="M271" s="6" t="s">
        <v>45</v>
      </c>
      <c r="N271" s="6" t="s">
        <v>250</v>
      </c>
      <c r="O271" s="6" t="s">
        <v>121</v>
      </c>
      <c r="P271" s="6" t="s">
        <v>668</v>
      </c>
      <c r="Q271" s="6" t="s">
        <v>116</v>
      </c>
      <c r="R271" s="35">
        <v>7106</v>
      </c>
      <c r="S271" s="6">
        <v>674</v>
      </c>
      <c r="T271" s="36" t="s">
        <v>50</v>
      </c>
      <c r="U271" s="46">
        <f>IF($L271&lt;=2,
IF($R271&lt;=RpmDesignStandard!$C$2,RpmDesignStandard!$D$2,
IF(AND($R271&gt;RpmDesignStandard!$B$3,$R271&lt;=RpmDesignStandard!$C$3),RpmDesignStandard!$D$3,RpmDesignStandard!$D$4)),
IF($R271&lt;=RpmDesignStandard!$C$5, RpmDesignStandard!$D$5,
IF(AND($R271&gt;RpmDesignStandard!$B$6,$R271&lt;=RpmDesignStandard!$C$6),RpmDesignStandard!$D$6,
IF(AND($R271&gt;RpmDesignStandard!$B$7,$R271&lt;=RpmDesignStandard!$C$7),RpmDesignStandard!$D$7,RpmDesignStandard!$D$8))))</f>
        <v>3</v>
      </c>
      <c r="V271" s="47">
        <f>U271*RpmDesignStandard!$H$1</f>
        <v>6</v>
      </c>
      <c r="W271" s="37">
        <f>VLOOKUP(A271,RPM_ProjectRecord!A:AB,8,FALSE)</f>
        <v>2021</v>
      </c>
      <c r="X271" s="38" t="str">
        <f t="shared" si="40"/>
        <v/>
      </c>
      <c r="Y271" s="38" t="str">
        <f t="shared" si="41"/>
        <v/>
      </c>
      <c r="Z271" s="38" t="str">
        <f t="shared" si="42"/>
        <v/>
      </c>
      <c r="AA271" s="38" t="str">
        <f t="shared" si="43"/>
        <v/>
      </c>
      <c r="AB271" s="38" t="str">
        <f t="shared" si="44"/>
        <v/>
      </c>
      <c r="AC271" s="38" t="str">
        <f>IF(VLOOKUP(A271,'3rdPhaseChipSeal'!A:L,12,FALSE)="","",VLOOKUP(A271,'3rdPhaseChipSeal'!A:L,12,FALSE))</f>
        <v/>
      </c>
      <c r="AD271" s="38">
        <f>IFERROR(IF(VLOOKUP(A271,RpmContracts!A:C,3,FALSE)="","",VLOOKUP(A271,RpmContracts!A:C,3,FALSE)),"")</f>
        <v>2026</v>
      </c>
      <c r="AE271" s="7" t="str">
        <f>IF(VLOOKUP(A271,'20yPlan'!A:B,2,FALSE)="","",VLOOKUP(A271,'20yPlan'!A:B,2,FALSE))</f>
        <v/>
      </c>
      <c r="AF271" s="7" t="str">
        <f>IF(VLOOKUP(A271,'20yPlan'!A:C,3,FALSE)="","",VLOOKUP(A271,'20yPlan'!A:C,3,FALSE))</f>
        <v/>
      </c>
      <c r="AG271" s="7" t="str">
        <f>IF(VLOOKUP(A271,'20yPlan'!A:D,4,FALSE)="","",VLOOKUP(A271,'20yPlan'!A:D,4,FALSE))</f>
        <v/>
      </c>
      <c r="AH271" s="7" t="str">
        <f>IF(VLOOKUP(A271,'20yPlan'!A:E,5,FALSE)="","",VLOOKUP(A271,'20yPlan'!A:E,5,FALSE))</f>
        <v/>
      </c>
      <c r="AI271" s="7" t="str">
        <f>IF(VLOOKUP(A271,'20yPlan'!A:F,6,FALSE)="","",VLOOKUP(A271,'20yPlan'!A:F,6,FALSE))</f>
        <v/>
      </c>
      <c r="AJ271" s="7" t="str">
        <f t="shared" si="45"/>
        <v/>
      </c>
      <c r="AK271" s="7" t="str">
        <f t="shared" si="46"/>
        <v>2026 RPM Replacement</v>
      </c>
      <c r="AL271" s="39">
        <f t="shared" ca="1" si="47"/>
        <v>2024</v>
      </c>
      <c r="AM271" s="7">
        <f t="shared" si="48"/>
        <v>2026</v>
      </c>
      <c r="AN271" s="7" t="str">
        <f t="shared" si="49"/>
        <v>2026 RPM Replacement</v>
      </c>
    </row>
    <row r="272" spans="1:40">
      <c r="A272" s="6">
        <v>60286</v>
      </c>
      <c r="B272" s="6" t="s">
        <v>663</v>
      </c>
      <c r="C272" s="6" t="s">
        <v>889</v>
      </c>
      <c r="D272" s="6">
        <v>18.970732999999999</v>
      </c>
      <c r="E272" s="6">
        <v>22.905919999999998</v>
      </c>
      <c r="F272" s="6" t="s">
        <v>888</v>
      </c>
      <c r="G272" s="6" t="s">
        <v>890</v>
      </c>
      <c r="H272" s="35">
        <v>88592</v>
      </c>
      <c r="I272" s="6" t="s">
        <v>44</v>
      </c>
      <c r="J272" s="6">
        <v>1</v>
      </c>
      <c r="K272" s="6"/>
      <c r="L272" s="6">
        <v>2</v>
      </c>
      <c r="M272" s="6" t="s">
        <v>45</v>
      </c>
      <c r="N272" s="6" t="s">
        <v>250</v>
      </c>
      <c r="O272" s="6" t="s">
        <v>121</v>
      </c>
      <c r="P272" s="6" t="s">
        <v>668</v>
      </c>
      <c r="Q272" s="6" t="s">
        <v>116</v>
      </c>
      <c r="R272" s="35">
        <v>6609</v>
      </c>
      <c r="S272" s="6">
        <v>538</v>
      </c>
      <c r="T272" s="36" t="s">
        <v>50</v>
      </c>
      <c r="U272" s="46">
        <f>IF($L272&lt;=2,
IF($R272&lt;=RpmDesignStandard!$C$2,RpmDesignStandard!$D$2,
IF(AND($R272&gt;RpmDesignStandard!$B$3,$R272&lt;=RpmDesignStandard!$C$3),RpmDesignStandard!$D$3,RpmDesignStandard!$D$4)),
IF($R272&lt;=RpmDesignStandard!$C$5, RpmDesignStandard!$D$5,
IF(AND($R272&gt;RpmDesignStandard!$B$6,$R272&lt;=RpmDesignStandard!$C$6),RpmDesignStandard!$D$6,
IF(AND($R272&gt;RpmDesignStandard!$B$7,$R272&lt;=RpmDesignStandard!$C$7),RpmDesignStandard!$D$7,RpmDesignStandard!$D$8))))</f>
        <v>3</v>
      </c>
      <c r="V272" s="47">
        <f>U272*RpmDesignStandard!$H$1</f>
        <v>6</v>
      </c>
      <c r="W272" s="37">
        <f>VLOOKUP(A272,RPM_ProjectRecord!A:AB,8,FALSE)</f>
        <v>2022</v>
      </c>
      <c r="X272" s="38" t="str">
        <f t="shared" si="40"/>
        <v/>
      </c>
      <c r="Y272" s="38" t="str">
        <f t="shared" si="41"/>
        <v/>
      </c>
      <c r="Z272" s="38" t="str">
        <f t="shared" si="42"/>
        <v/>
      </c>
      <c r="AA272" s="38" t="str">
        <f t="shared" si="43"/>
        <v/>
      </c>
      <c r="AB272" s="38" t="str">
        <f t="shared" si="44"/>
        <v/>
      </c>
      <c r="AC272" s="38" t="str">
        <f>IF(VLOOKUP(A272,'3rdPhaseChipSeal'!A:L,12,FALSE)="","",VLOOKUP(A272,'3rdPhaseChipSeal'!A:L,12,FALSE))</f>
        <v/>
      </c>
      <c r="AD272" s="38">
        <f>IFERROR(IF(VLOOKUP(A272,RpmContracts!A:C,3,FALSE)="","",VLOOKUP(A272,RpmContracts!A:C,3,FALSE)),"")</f>
        <v>2026</v>
      </c>
      <c r="AE272" s="7" t="str">
        <f>IF(VLOOKUP(A272,'20yPlan'!A:B,2,FALSE)="","",VLOOKUP(A272,'20yPlan'!A:B,2,FALSE))</f>
        <v/>
      </c>
      <c r="AF272" s="7" t="str">
        <f>IF(VLOOKUP(A272,'20yPlan'!A:C,3,FALSE)="","",VLOOKUP(A272,'20yPlan'!A:C,3,FALSE))</f>
        <v/>
      </c>
      <c r="AG272" s="7" t="str">
        <f>IF(VLOOKUP(A272,'20yPlan'!A:D,4,FALSE)="","",VLOOKUP(A272,'20yPlan'!A:D,4,FALSE))</f>
        <v/>
      </c>
      <c r="AH272" s="7" t="str">
        <f>IF(VLOOKUP(A272,'20yPlan'!A:E,5,FALSE)="","",VLOOKUP(A272,'20yPlan'!A:E,5,FALSE))</f>
        <v/>
      </c>
      <c r="AI272" s="7" t="str">
        <f>IF(VLOOKUP(A272,'20yPlan'!A:F,6,FALSE)="","",VLOOKUP(A272,'20yPlan'!A:F,6,FALSE))</f>
        <v/>
      </c>
      <c r="AJ272" s="7" t="str">
        <f t="shared" si="45"/>
        <v/>
      </c>
      <c r="AK272" s="7" t="str">
        <f t="shared" si="46"/>
        <v>2026 RPM Replacement</v>
      </c>
      <c r="AL272" s="39">
        <f t="shared" ca="1" si="47"/>
        <v>2025</v>
      </c>
      <c r="AM272" s="7">
        <f t="shared" si="48"/>
        <v>2026</v>
      </c>
      <c r="AN272" s="7" t="str">
        <f t="shared" si="49"/>
        <v>2026 RPM Replacement</v>
      </c>
    </row>
    <row r="273" spans="1:40">
      <c r="A273" s="6">
        <v>60287</v>
      </c>
      <c r="B273" s="6" t="s">
        <v>533</v>
      </c>
      <c r="C273" s="6" t="s">
        <v>891</v>
      </c>
      <c r="D273" s="6">
        <v>46.091197000000001</v>
      </c>
      <c r="E273" s="6">
        <v>47.313237999999998</v>
      </c>
      <c r="F273" s="6" t="s">
        <v>546</v>
      </c>
      <c r="G273" s="6" t="s">
        <v>549</v>
      </c>
      <c r="H273" s="35">
        <v>23130</v>
      </c>
      <c r="I273" s="6" t="s">
        <v>44</v>
      </c>
      <c r="J273" s="6">
        <v>13</v>
      </c>
      <c r="K273" s="6">
        <v>2029</v>
      </c>
      <c r="L273" s="6">
        <v>2</v>
      </c>
      <c r="M273" s="6" t="s">
        <v>45</v>
      </c>
      <c r="N273" s="6" t="s">
        <v>250</v>
      </c>
      <c r="O273" s="6" t="s">
        <v>121</v>
      </c>
      <c r="P273" s="6" t="s">
        <v>892</v>
      </c>
      <c r="Q273" s="6" t="s">
        <v>132</v>
      </c>
      <c r="R273" s="35">
        <v>5982</v>
      </c>
      <c r="S273" s="35">
        <v>1313</v>
      </c>
      <c r="T273" s="36" t="s">
        <v>50</v>
      </c>
      <c r="U273" s="46">
        <f>IF($L273&lt;=2,
IF($R273&lt;=RpmDesignStandard!$C$2,RpmDesignStandard!$D$2,
IF(AND($R273&gt;RpmDesignStandard!$B$3,$R273&lt;=RpmDesignStandard!$C$3),RpmDesignStandard!$D$3,RpmDesignStandard!$D$4)),
IF($R273&lt;=RpmDesignStandard!$C$5, RpmDesignStandard!$D$5,
IF(AND($R273&gt;RpmDesignStandard!$B$6,$R273&lt;=RpmDesignStandard!$C$6),RpmDesignStandard!$D$6,
IF(AND($R273&gt;RpmDesignStandard!$B$7,$R273&lt;=RpmDesignStandard!$C$7),RpmDesignStandard!$D$7,RpmDesignStandard!$D$8))))</f>
        <v>4</v>
      </c>
      <c r="V273" s="47">
        <f>U273*RpmDesignStandard!$H$1</f>
        <v>8</v>
      </c>
      <c r="W273" s="37">
        <f>VLOOKUP(A273,RPM_ProjectRecord!A:AB,8,FALSE)</f>
        <v>2021</v>
      </c>
      <c r="X273" s="38" t="str">
        <f t="shared" si="40"/>
        <v/>
      </c>
      <c r="Y273" s="38" t="str">
        <f t="shared" si="41"/>
        <v/>
      </c>
      <c r="Z273" s="38" t="str">
        <f t="shared" si="42"/>
        <v/>
      </c>
      <c r="AA273" s="38" t="str">
        <f t="shared" si="43"/>
        <v/>
      </c>
      <c r="AB273" s="38" t="str">
        <f t="shared" si="44"/>
        <v/>
      </c>
      <c r="AC273" s="38" t="str">
        <f>IF(VLOOKUP(A273,'3rdPhaseChipSeal'!A:L,12,FALSE)="","",VLOOKUP(A273,'3rdPhaseChipSeal'!A:L,12,FALSE))</f>
        <v/>
      </c>
      <c r="AD273" s="38" t="str">
        <f>IFERROR(IF(VLOOKUP(A273,RpmContracts!A:C,3,FALSE)="","",VLOOKUP(A273,RpmContracts!A:C,3,FALSE)),"")</f>
        <v/>
      </c>
      <c r="AE273" s="7" t="str">
        <f>IF(VLOOKUP(A273,'20yPlan'!A:B,2,FALSE)="","",VLOOKUP(A273,'20yPlan'!A:B,2,FALSE))</f>
        <v/>
      </c>
      <c r="AF273" s="7" t="str">
        <f>IF(VLOOKUP(A273,'20yPlan'!A:C,3,FALSE)="","",VLOOKUP(A273,'20yPlan'!A:C,3,FALSE))</f>
        <v/>
      </c>
      <c r="AG273" s="7" t="str">
        <f>IF(VLOOKUP(A273,'20yPlan'!A:D,4,FALSE)="","",VLOOKUP(A273,'20yPlan'!A:D,4,FALSE))</f>
        <v/>
      </c>
      <c r="AH273" s="7" t="str">
        <f>IF(VLOOKUP(A273,'20yPlan'!A:E,5,FALSE)="","",VLOOKUP(A273,'20yPlan'!A:E,5,FALSE))</f>
        <v/>
      </c>
      <c r="AI273" s="7" t="str">
        <f>IF(VLOOKUP(A273,'20yPlan'!A:F,6,FALSE)="","",VLOOKUP(A273,'20yPlan'!A:F,6,FALSE))</f>
        <v/>
      </c>
      <c r="AJ273" s="7" t="str">
        <f t="shared" si="45"/>
        <v/>
      </c>
      <c r="AK273" s="7" t="str">
        <f t="shared" si="46"/>
        <v/>
      </c>
      <c r="AL273" s="39">
        <f t="shared" ca="1" si="47"/>
        <v>2025</v>
      </c>
      <c r="AM273" s="7" t="str">
        <f t="shared" si="48"/>
        <v/>
      </c>
      <c r="AN273" s="7" t="str">
        <f t="shared" si="49"/>
        <v/>
      </c>
    </row>
    <row r="274" spans="1:40">
      <c r="A274" s="6">
        <v>60288</v>
      </c>
      <c r="B274" s="6" t="s">
        <v>663</v>
      </c>
      <c r="C274" s="6" t="s">
        <v>893</v>
      </c>
      <c r="D274" s="6">
        <v>44.840114999999997</v>
      </c>
      <c r="E274" s="6">
        <v>47.374960999999999</v>
      </c>
      <c r="F274" s="6" t="s">
        <v>683</v>
      </c>
      <c r="G274" s="6" t="s">
        <v>685</v>
      </c>
      <c r="H274" s="35">
        <v>51716</v>
      </c>
      <c r="I274" s="6" t="s">
        <v>44</v>
      </c>
      <c r="J274" s="6">
        <v>18</v>
      </c>
      <c r="K274" s="6">
        <v>2026</v>
      </c>
      <c r="L274" s="6">
        <v>2</v>
      </c>
      <c r="M274" s="6" t="s">
        <v>45</v>
      </c>
      <c r="N274" s="6" t="s">
        <v>250</v>
      </c>
      <c r="O274" s="6" t="s">
        <v>215</v>
      </c>
      <c r="P274" s="6" t="s">
        <v>216</v>
      </c>
      <c r="Q274" s="6" t="s">
        <v>217</v>
      </c>
      <c r="R274" s="35">
        <v>4655</v>
      </c>
      <c r="S274" s="6">
        <v>454</v>
      </c>
      <c r="T274" s="36" t="s">
        <v>50</v>
      </c>
      <c r="U274" s="46">
        <f>IF($L274&lt;=2,
IF($R274&lt;=RpmDesignStandard!$C$2,RpmDesignStandard!$D$2,
IF(AND($R274&gt;RpmDesignStandard!$B$3,$R274&lt;=RpmDesignStandard!$C$3),RpmDesignStandard!$D$3,RpmDesignStandard!$D$4)),
IF($R274&lt;=RpmDesignStandard!$C$5, RpmDesignStandard!$D$5,
IF(AND($R274&gt;RpmDesignStandard!$B$6,$R274&lt;=RpmDesignStandard!$C$6),RpmDesignStandard!$D$6,
IF(AND($R274&gt;RpmDesignStandard!$B$7,$R274&lt;=RpmDesignStandard!$C$7),RpmDesignStandard!$D$7,RpmDesignStandard!$D$8))))</f>
        <v>4</v>
      </c>
      <c r="V274" s="47">
        <f>U274*RpmDesignStandard!$H$1</f>
        <v>8</v>
      </c>
      <c r="W274" s="37" t="str">
        <f>VLOOKUP(A274,RPM_ProjectRecord!A:AB,8,FALSE)</f>
        <v/>
      </c>
      <c r="X274" s="38" t="str">
        <f t="shared" si="40"/>
        <v/>
      </c>
      <c r="Y274" s="38" t="str">
        <f t="shared" si="41"/>
        <v/>
      </c>
      <c r="Z274" s="38" t="str">
        <f t="shared" si="42"/>
        <v/>
      </c>
      <c r="AA274" s="38" t="str">
        <f t="shared" si="43"/>
        <v/>
      </c>
      <c r="AB274" s="38" t="str">
        <f t="shared" si="44"/>
        <v/>
      </c>
      <c r="AC274" s="38" t="str">
        <f>IF(VLOOKUP(A274,'3rdPhaseChipSeal'!A:L,12,FALSE)="","",VLOOKUP(A274,'3rdPhaseChipSeal'!A:L,12,FALSE))</f>
        <v/>
      </c>
      <c r="AD274" s="38" t="str">
        <f>IFERROR(IF(VLOOKUP(A274,RpmContracts!A:C,3,FALSE)="","",VLOOKUP(A274,RpmContracts!A:C,3,FALSE)),"")</f>
        <v/>
      </c>
      <c r="AE274" s="7" t="str">
        <f>IF(VLOOKUP(A274,'20yPlan'!A:B,2,FALSE)="","",VLOOKUP(A274,'20yPlan'!A:B,2,FALSE))</f>
        <v/>
      </c>
      <c r="AF274" s="7" t="str">
        <f>IF(VLOOKUP(A274,'20yPlan'!A:C,3,FALSE)="","",VLOOKUP(A274,'20yPlan'!A:C,3,FALSE))</f>
        <v/>
      </c>
      <c r="AG274" s="7" t="str">
        <f>IF(VLOOKUP(A274,'20yPlan'!A:D,4,FALSE)="","",VLOOKUP(A274,'20yPlan'!A:D,4,FALSE))</f>
        <v/>
      </c>
      <c r="AH274" s="7" t="str">
        <f>IF(VLOOKUP(A274,'20yPlan'!A:E,5,FALSE)="","",VLOOKUP(A274,'20yPlan'!A:E,5,FALSE))</f>
        <v/>
      </c>
      <c r="AI274" s="7" t="str">
        <f>IF(VLOOKUP(A274,'20yPlan'!A:F,6,FALSE)="","",VLOOKUP(A274,'20yPlan'!A:F,6,FALSE))</f>
        <v/>
      </c>
      <c r="AJ274" s="7" t="str">
        <f t="shared" si="45"/>
        <v/>
      </c>
      <c r="AK274" s="7" t="str">
        <f t="shared" si="46"/>
        <v/>
      </c>
      <c r="AL274" s="39">
        <f t="shared" ca="1" si="47"/>
        <v>2025</v>
      </c>
      <c r="AM274" s="7" t="str">
        <f t="shared" si="48"/>
        <v/>
      </c>
      <c r="AN274" s="7" t="str">
        <f t="shared" si="49"/>
        <v/>
      </c>
    </row>
    <row r="275" spans="1:40">
      <c r="A275" s="6">
        <v>60289</v>
      </c>
      <c r="B275" s="6" t="s">
        <v>772</v>
      </c>
      <c r="C275" s="6" t="s">
        <v>894</v>
      </c>
      <c r="D275" s="6">
        <v>10.512181</v>
      </c>
      <c r="E275" s="6">
        <v>11.711701</v>
      </c>
      <c r="F275" s="6" t="s">
        <v>776</v>
      </c>
      <c r="G275" s="6" t="s">
        <v>778</v>
      </c>
      <c r="H275" s="35">
        <v>25307</v>
      </c>
      <c r="I275" s="6" t="s">
        <v>44</v>
      </c>
      <c r="J275" s="6">
        <v>16</v>
      </c>
      <c r="K275" s="6"/>
      <c r="L275" s="6">
        <v>2</v>
      </c>
      <c r="M275" s="6" t="s">
        <v>45</v>
      </c>
      <c r="N275" s="6" t="s">
        <v>250</v>
      </c>
      <c r="O275" s="6" t="s">
        <v>130</v>
      </c>
      <c r="P275" s="6" t="s">
        <v>161</v>
      </c>
      <c r="Q275" s="6" t="s">
        <v>162</v>
      </c>
      <c r="R275" s="35">
        <v>6393</v>
      </c>
      <c r="S275" s="6">
        <v>932</v>
      </c>
      <c r="T275" s="36" t="s">
        <v>50</v>
      </c>
      <c r="U275" s="46">
        <f>IF($L275&lt;=2,
IF($R275&lt;=RpmDesignStandard!$C$2,RpmDesignStandard!$D$2,
IF(AND($R275&gt;RpmDesignStandard!$B$3,$R275&lt;=RpmDesignStandard!$C$3),RpmDesignStandard!$D$3,RpmDesignStandard!$D$4)),
IF($R275&lt;=RpmDesignStandard!$C$5, RpmDesignStandard!$D$5,
IF(AND($R275&gt;RpmDesignStandard!$B$6,$R275&lt;=RpmDesignStandard!$C$6),RpmDesignStandard!$D$6,
IF(AND($R275&gt;RpmDesignStandard!$B$7,$R275&lt;=RpmDesignStandard!$C$7),RpmDesignStandard!$D$7,RpmDesignStandard!$D$8))))</f>
        <v>3</v>
      </c>
      <c r="V275" s="47">
        <f>U275*RpmDesignStandard!$H$1</f>
        <v>6</v>
      </c>
      <c r="W275" s="37" t="str">
        <f>VLOOKUP(A275,RPM_ProjectRecord!A:AB,8,FALSE)</f>
        <v/>
      </c>
      <c r="X275" s="38" t="str">
        <f t="shared" si="40"/>
        <v/>
      </c>
      <c r="Y275" s="38" t="str">
        <f t="shared" si="41"/>
        <v/>
      </c>
      <c r="Z275" s="38" t="str">
        <f t="shared" si="42"/>
        <v/>
      </c>
      <c r="AA275" s="38" t="str">
        <f t="shared" si="43"/>
        <v/>
      </c>
      <c r="AB275" s="38" t="str">
        <f t="shared" si="44"/>
        <v/>
      </c>
      <c r="AC275" s="38" t="str">
        <f>IF(VLOOKUP(A275,'3rdPhaseChipSeal'!A:L,12,FALSE)="","",VLOOKUP(A275,'3rdPhaseChipSeal'!A:L,12,FALSE))</f>
        <v/>
      </c>
      <c r="AD275" s="38" t="str">
        <f>IFERROR(IF(VLOOKUP(A275,RpmContracts!A:C,3,FALSE)="","",VLOOKUP(A275,RpmContracts!A:C,3,FALSE)),"")</f>
        <v/>
      </c>
      <c r="AE275" s="7" t="str">
        <f>IF(VLOOKUP(A275,'20yPlan'!A:B,2,FALSE)="","",VLOOKUP(A275,'20yPlan'!A:B,2,FALSE))</f>
        <v/>
      </c>
      <c r="AF275" s="7" t="str">
        <f>IF(VLOOKUP(A275,'20yPlan'!A:C,3,FALSE)="","",VLOOKUP(A275,'20yPlan'!A:C,3,FALSE))</f>
        <v/>
      </c>
      <c r="AG275" s="7" t="str">
        <f>IF(VLOOKUP(A275,'20yPlan'!A:D,4,FALSE)="","",VLOOKUP(A275,'20yPlan'!A:D,4,FALSE))</f>
        <v/>
      </c>
      <c r="AH275" s="7" t="str">
        <f>IF(VLOOKUP(A275,'20yPlan'!A:E,5,FALSE)="","",VLOOKUP(A275,'20yPlan'!A:E,5,FALSE))</f>
        <v/>
      </c>
      <c r="AI275" s="7" t="str">
        <f>IF(VLOOKUP(A275,'20yPlan'!A:F,6,FALSE)="","",VLOOKUP(A275,'20yPlan'!A:F,6,FALSE))</f>
        <v/>
      </c>
      <c r="AJ275" s="7" t="str">
        <f t="shared" si="45"/>
        <v/>
      </c>
      <c r="AK275" s="7" t="str">
        <f t="shared" si="46"/>
        <v/>
      </c>
      <c r="AL275" s="39">
        <f t="shared" ca="1" si="47"/>
        <v>2025</v>
      </c>
      <c r="AM275" s="7" t="str">
        <f t="shared" si="48"/>
        <v/>
      </c>
      <c r="AN275" s="7" t="str">
        <f t="shared" si="49"/>
        <v/>
      </c>
    </row>
    <row r="276" spans="1:40">
      <c r="A276" s="6">
        <v>60290</v>
      </c>
      <c r="B276" s="6" t="s">
        <v>40</v>
      </c>
      <c r="C276" s="6" t="s">
        <v>895</v>
      </c>
      <c r="D276" s="6">
        <v>34.053117</v>
      </c>
      <c r="E276" s="6">
        <v>36.131990000000002</v>
      </c>
      <c r="F276" s="6" t="s">
        <v>186</v>
      </c>
      <c r="G276" s="6" t="s">
        <v>189</v>
      </c>
      <c r="H276" s="35">
        <v>47202</v>
      </c>
      <c r="I276" s="6" t="s">
        <v>44</v>
      </c>
      <c r="J276" s="6">
        <v>15</v>
      </c>
      <c r="K276" s="6"/>
      <c r="L276" s="6">
        <v>2</v>
      </c>
      <c r="M276" s="6" t="s">
        <v>45</v>
      </c>
      <c r="N276" s="6" t="s">
        <v>46</v>
      </c>
      <c r="O276" s="6" t="s">
        <v>130</v>
      </c>
      <c r="P276" s="6" t="s">
        <v>131</v>
      </c>
      <c r="Q276" s="6" t="s">
        <v>505</v>
      </c>
      <c r="R276" s="35">
        <v>7789</v>
      </c>
      <c r="S276" s="35">
        <v>1320</v>
      </c>
      <c r="T276" s="36" t="s">
        <v>50</v>
      </c>
      <c r="U276" s="46">
        <f>IF($L276&lt;=2,
IF($R276&lt;=RpmDesignStandard!$C$2,RpmDesignStandard!$D$2,
IF(AND($R276&gt;RpmDesignStandard!$B$3,$R276&lt;=RpmDesignStandard!$C$3),RpmDesignStandard!$D$3,RpmDesignStandard!$D$4)),
IF($R276&lt;=RpmDesignStandard!$C$5, RpmDesignStandard!$D$5,
IF(AND($R276&gt;RpmDesignStandard!$B$6,$R276&lt;=RpmDesignStandard!$C$6),RpmDesignStandard!$D$6,
IF(AND($R276&gt;RpmDesignStandard!$B$7,$R276&lt;=RpmDesignStandard!$C$7),RpmDesignStandard!$D$7,RpmDesignStandard!$D$8))))</f>
        <v>3</v>
      </c>
      <c r="V276" s="47">
        <f>U276*RpmDesignStandard!$H$1</f>
        <v>6</v>
      </c>
      <c r="W276" s="37">
        <f>VLOOKUP(A276,RPM_ProjectRecord!A:AB,8,FALSE)</f>
        <v>2024</v>
      </c>
      <c r="X276" s="38" t="str">
        <f t="shared" si="40"/>
        <v/>
      </c>
      <c r="Y276" s="38" t="str">
        <f t="shared" si="41"/>
        <v/>
      </c>
      <c r="Z276" s="38" t="str">
        <f t="shared" si="42"/>
        <v/>
      </c>
      <c r="AA276" s="38" t="str">
        <f t="shared" si="43"/>
        <v/>
      </c>
      <c r="AB276" s="38" t="str">
        <f t="shared" si="44"/>
        <v/>
      </c>
      <c r="AC276" s="38" t="str">
        <f>IF(VLOOKUP(A276,'3rdPhaseChipSeal'!A:L,12,FALSE)="","",VLOOKUP(A276,'3rdPhaseChipSeal'!A:L,12,FALSE))</f>
        <v/>
      </c>
      <c r="AD276" s="38" t="str">
        <f>IFERROR(IF(VLOOKUP(A276,RpmContracts!A:C,3,FALSE)="","",VLOOKUP(A276,RpmContracts!A:C,3,FALSE)),"")</f>
        <v/>
      </c>
      <c r="AE276" s="7" t="str">
        <f>IF(VLOOKUP(A276,'20yPlan'!A:B,2,FALSE)="","",VLOOKUP(A276,'20yPlan'!A:B,2,FALSE))</f>
        <v/>
      </c>
      <c r="AF276" s="7" t="str">
        <f>IF(VLOOKUP(A276,'20yPlan'!A:C,3,FALSE)="","",VLOOKUP(A276,'20yPlan'!A:C,3,FALSE))</f>
        <v/>
      </c>
      <c r="AG276" s="7" t="str">
        <f>IF(VLOOKUP(A276,'20yPlan'!A:D,4,FALSE)="","",VLOOKUP(A276,'20yPlan'!A:D,4,FALSE))</f>
        <v/>
      </c>
      <c r="AH276" s="7" t="str">
        <f>IF(VLOOKUP(A276,'20yPlan'!A:E,5,FALSE)="","",VLOOKUP(A276,'20yPlan'!A:E,5,FALSE))</f>
        <v/>
      </c>
      <c r="AI276" s="7" t="str">
        <f>IF(VLOOKUP(A276,'20yPlan'!A:F,6,FALSE)="","",VLOOKUP(A276,'20yPlan'!A:F,6,FALSE))</f>
        <v/>
      </c>
      <c r="AJ276" s="7" t="str">
        <f t="shared" si="45"/>
        <v/>
      </c>
      <c r="AK276" s="7" t="str">
        <f t="shared" si="46"/>
        <v/>
      </c>
      <c r="AL276" s="39">
        <f t="shared" ca="1" si="47"/>
        <v>2027</v>
      </c>
      <c r="AM276" s="7" t="str">
        <f t="shared" si="48"/>
        <v/>
      </c>
      <c r="AN276" s="7" t="str">
        <f t="shared" si="49"/>
        <v/>
      </c>
    </row>
    <row r="277" spans="1:40">
      <c r="A277" s="6">
        <v>60291</v>
      </c>
      <c r="B277" s="6" t="s">
        <v>348</v>
      </c>
      <c r="C277" s="6" t="s">
        <v>896</v>
      </c>
      <c r="D277" s="6">
        <v>0</v>
      </c>
      <c r="E277" s="6">
        <v>0.73386099999999999</v>
      </c>
      <c r="F277" s="6" t="s">
        <v>53</v>
      </c>
      <c r="G277" s="6" t="s">
        <v>350</v>
      </c>
      <c r="H277" s="35">
        <v>13738</v>
      </c>
      <c r="I277" s="6" t="s">
        <v>44</v>
      </c>
      <c r="J277" s="6">
        <v>20</v>
      </c>
      <c r="K277" s="6">
        <v>2025</v>
      </c>
      <c r="L277" s="6">
        <v>2</v>
      </c>
      <c r="M277" s="6" t="s">
        <v>45</v>
      </c>
      <c r="N277" s="6" t="s">
        <v>250</v>
      </c>
      <c r="O277" s="6" t="s">
        <v>56</v>
      </c>
      <c r="P277" s="6" t="s">
        <v>897</v>
      </c>
      <c r="Q277" s="6" t="s">
        <v>151</v>
      </c>
      <c r="R277" s="35">
        <v>2834</v>
      </c>
      <c r="S277" s="6">
        <v>337</v>
      </c>
      <c r="T277" s="36" t="s">
        <v>50</v>
      </c>
      <c r="U277" s="46">
        <f>IF($L277&lt;=2,
IF($R277&lt;=RpmDesignStandard!$C$2,RpmDesignStandard!$D$2,
IF(AND($R277&gt;RpmDesignStandard!$B$3,$R277&lt;=RpmDesignStandard!$C$3),RpmDesignStandard!$D$3,RpmDesignStandard!$D$4)),
IF($R277&lt;=RpmDesignStandard!$C$5, RpmDesignStandard!$D$5,
IF(AND($R277&gt;RpmDesignStandard!$B$6,$R277&lt;=RpmDesignStandard!$C$6),RpmDesignStandard!$D$6,
IF(AND($R277&gt;RpmDesignStandard!$B$7,$R277&lt;=RpmDesignStandard!$C$7),RpmDesignStandard!$D$7,RpmDesignStandard!$D$8))))</f>
        <v>4</v>
      </c>
      <c r="V277" s="47">
        <f>U277*RpmDesignStandard!$H$1</f>
        <v>8</v>
      </c>
      <c r="W277" s="37" t="str">
        <f>VLOOKUP(A277,RPM_ProjectRecord!A:AB,8,FALSE)</f>
        <v/>
      </c>
      <c r="X277" s="38" t="str">
        <f t="shared" si="40"/>
        <v/>
      </c>
      <c r="Y277" s="38" t="str">
        <f t="shared" si="41"/>
        <v/>
      </c>
      <c r="Z277" s="38" t="str">
        <f t="shared" si="42"/>
        <v/>
      </c>
      <c r="AA277" s="38" t="str">
        <f t="shared" si="43"/>
        <v/>
      </c>
      <c r="AB277" s="38" t="str">
        <f t="shared" si="44"/>
        <v/>
      </c>
      <c r="AC277" s="38" t="str">
        <f>IF(VLOOKUP(A277,'3rdPhaseChipSeal'!A:L,12,FALSE)="","",VLOOKUP(A277,'3rdPhaseChipSeal'!A:L,12,FALSE))</f>
        <v/>
      </c>
      <c r="AD277" s="38" t="str">
        <f>IFERROR(IF(VLOOKUP(A277,RpmContracts!A:C,3,FALSE)="","",VLOOKUP(A277,RpmContracts!A:C,3,FALSE)),"")</f>
        <v/>
      </c>
      <c r="AE277" s="7" t="str">
        <f>IF(VLOOKUP(A277,'20yPlan'!A:B,2,FALSE)="","",VLOOKUP(A277,'20yPlan'!A:B,2,FALSE))</f>
        <v/>
      </c>
      <c r="AF277" s="7" t="str">
        <f>IF(VLOOKUP(A277,'20yPlan'!A:C,3,FALSE)="","",VLOOKUP(A277,'20yPlan'!A:C,3,FALSE))</f>
        <v/>
      </c>
      <c r="AG277" s="7" t="str">
        <f>IF(VLOOKUP(A277,'20yPlan'!A:D,4,FALSE)="","",VLOOKUP(A277,'20yPlan'!A:D,4,FALSE))</f>
        <v/>
      </c>
      <c r="AH277" s="7" t="str">
        <f>IF(VLOOKUP(A277,'20yPlan'!A:E,5,FALSE)="","",VLOOKUP(A277,'20yPlan'!A:E,5,FALSE))</f>
        <v/>
      </c>
      <c r="AI277" s="7" t="str">
        <f>IF(VLOOKUP(A277,'20yPlan'!A:F,6,FALSE)="","",VLOOKUP(A277,'20yPlan'!A:F,6,FALSE))</f>
        <v/>
      </c>
      <c r="AJ277" s="7" t="str">
        <f t="shared" si="45"/>
        <v/>
      </c>
      <c r="AK277" s="7" t="str">
        <f t="shared" si="46"/>
        <v/>
      </c>
      <c r="AL277" s="39">
        <f t="shared" ca="1" si="47"/>
        <v>2025</v>
      </c>
      <c r="AM277" s="7" t="str">
        <f t="shared" si="48"/>
        <v/>
      </c>
      <c r="AN277" s="7" t="str">
        <f t="shared" si="49"/>
        <v/>
      </c>
    </row>
    <row r="278" spans="1:40">
      <c r="A278" s="6">
        <v>60292</v>
      </c>
      <c r="B278" s="6" t="s">
        <v>335</v>
      </c>
      <c r="C278" s="6" t="s">
        <v>898</v>
      </c>
      <c r="D278" s="6">
        <v>15.731255000000001</v>
      </c>
      <c r="E278" s="6">
        <v>16.198295000000002</v>
      </c>
      <c r="F278" s="6" t="s">
        <v>342</v>
      </c>
      <c r="G278" s="6" t="s">
        <v>899</v>
      </c>
      <c r="H278" s="35">
        <v>8320</v>
      </c>
      <c r="I278" s="6" t="s">
        <v>44</v>
      </c>
      <c r="J278" s="6">
        <v>28</v>
      </c>
      <c r="K278" s="6">
        <v>2025</v>
      </c>
      <c r="L278" s="6">
        <v>2</v>
      </c>
      <c r="M278" s="6" t="s">
        <v>45</v>
      </c>
      <c r="N278" s="6" t="s">
        <v>250</v>
      </c>
      <c r="O278" s="6" t="s">
        <v>56</v>
      </c>
      <c r="P278" s="6" t="s">
        <v>897</v>
      </c>
      <c r="Q278" s="6" t="s">
        <v>151</v>
      </c>
      <c r="R278" s="35">
        <v>2785</v>
      </c>
      <c r="S278" s="6">
        <v>327</v>
      </c>
      <c r="T278" s="36" t="s">
        <v>50</v>
      </c>
      <c r="U278" s="46">
        <f>IF($L278&lt;=2,
IF($R278&lt;=RpmDesignStandard!$C$2,RpmDesignStandard!$D$2,
IF(AND($R278&gt;RpmDesignStandard!$B$3,$R278&lt;=RpmDesignStandard!$C$3),RpmDesignStandard!$D$3,RpmDesignStandard!$D$4)),
IF($R278&lt;=RpmDesignStandard!$C$5, RpmDesignStandard!$D$5,
IF(AND($R278&gt;RpmDesignStandard!$B$6,$R278&lt;=RpmDesignStandard!$C$6),RpmDesignStandard!$D$6,
IF(AND($R278&gt;RpmDesignStandard!$B$7,$R278&lt;=RpmDesignStandard!$C$7),RpmDesignStandard!$D$7,RpmDesignStandard!$D$8))))</f>
        <v>4</v>
      </c>
      <c r="V278" s="47">
        <f>U278*RpmDesignStandard!$H$1</f>
        <v>8</v>
      </c>
      <c r="W278" s="37" t="str">
        <f>VLOOKUP(A278,RPM_ProjectRecord!A:AB,8,FALSE)</f>
        <v/>
      </c>
      <c r="X278" s="38" t="str">
        <f t="shared" si="40"/>
        <v/>
      </c>
      <c r="Y278" s="38" t="str">
        <f t="shared" si="41"/>
        <v/>
      </c>
      <c r="Z278" s="38" t="str">
        <f t="shared" si="42"/>
        <v/>
      </c>
      <c r="AA278" s="38" t="str">
        <f t="shared" si="43"/>
        <v/>
      </c>
      <c r="AB278" s="38" t="str">
        <f t="shared" si="44"/>
        <v/>
      </c>
      <c r="AC278" s="38" t="str">
        <f>IF(VLOOKUP(A278,'3rdPhaseChipSeal'!A:L,12,FALSE)="","",VLOOKUP(A278,'3rdPhaseChipSeal'!A:L,12,FALSE))</f>
        <v/>
      </c>
      <c r="AD278" s="38" t="str">
        <f>IFERROR(IF(VLOOKUP(A278,RpmContracts!A:C,3,FALSE)="","",VLOOKUP(A278,RpmContracts!A:C,3,FALSE)),"")</f>
        <v/>
      </c>
      <c r="AE278" s="7" t="str">
        <f>IF(VLOOKUP(A278,'20yPlan'!A:B,2,FALSE)="","",VLOOKUP(A278,'20yPlan'!A:B,2,FALSE))</f>
        <v/>
      </c>
      <c r="AF278" s="7" t="str">
        <f>IF(VLOOKUP(A278,'20yPlan'!A:C,3,FALSE)="","",VLOOKUP(A278,'20yPlan'!A:C,3,FALSE))</f>
        <v/>
      </c>
      <c r="AG278" s="7" t="str">
        <f>IF(VLOOKUP(A278,'20yPlan'!A:D,4,FALSE)="","",VLOOKUP(A278,'20yPlan'!A:D,4,FALSE))</f>
        <v/>
      </c>
      <c r="AH278" s="7" t="str">
        <f>IF(VLOOKUP(A278,'20yPlan'!A:E,5,FALSE)="","",VLOOKUP(A278,'20yPlan'!A:E,5,FALSE))</f>
        <v/>
      </c>
      <c r="AI278" s="7" t="str">
        <f>IF(VLOOKUP(A278,'20yPlan'!A:F,6,FALSE)="","",VLOOKUP(A278,'20yPlan'!A:F,6,FALSE))</f>
        <v/>
      </c>
      <c r="AJ278" s="7" t="str">
        <f t="shared" si="45"/>
        <v/>
      </c>
      <c r="AK278" s="7" t="str">
        <f t="shared" si="46"/>
        <v/>
      </c>
      <c r="AL278" s="39">
        <f t="shared" ca="1" si="47"/>
        <v>2025</v>
      </c>
      <c r="AM278" s="7" t="str">
        <f t="shared" si="48"/>
        <v/>
      </c>
      <c r="AN278" s="7" t="str">
        <f t="shared" si="49"/>
        <v/>
      </c>
    </row>
    <row r="279" spans="1:40">
      <c r="A279" s="6">
        <v>60293</v>
      </c>
      <c r="B279" s="6" t="s">
        <v>599</v>
      </c>
      <c r="C279" s="6" t="s">
        <v>900</v>
      </c>
      <c r="D279" s="6">
        <v>20.696159000000002</v>
      </c>
      <c r="E279" s="6">
        <v>21.987145000000002</v>
      </c>
      <c r="F279" s="6" t="s">
        <v>606</v>
      </c>
      <c r="G279" s="6" t="s">
        <v>609</v>
      </c>
      <c r="H279" s="35">
        <v>24383</v>
      </c>
      <c r="I279" s="6" t="s">
        <v>44</v>
      </c>
      <c r="J279" s="6">
        <v>19</v>
      </c>
      <c r="K279" s="6">
        <v>2024</v>
      </c>
      <c r="L279" s="6">
        <v>2</v>
      </c>
      <c r="M279" s="6" t="s">
        <v>45</v>
      </c>
      <c r="N279" s="6" t="s">
        <v>250</v>
      </c>
      <c r="O279" s="6" t="s">
        <v>74</v>
      </c>
      <c r="P279" s="6" t="s">
        <v>75</v>
      </c>
      <c r="Q279" s="6" t="s">
        <v>382</v>
      </c>
      <c r="R279" s="35">
        <v>2501</v>
      </c>
      <c r="S279" s="6">
        <v>184</v>
      </c>
      <c r="T279" s="36" t="s">
        <v>50</v>
      </c>
      <c r="U279" s="46">
        <f>IF($L279&lt;=2,
IF($R279&lt;=RpmDesignStandard!$C$2,RpmDesignStandard!$D$2,
IF(AND($R279&gt;RpmDesignStandard!$B$3,$R279&lt;=RpmDesignStandard!$C$3),RpmDesignStandard!$D$3,RpmDesignStandard!$D$4)),
IF($R279&lt;=RpmDesignStandard!$C$5, RpmDesignStandard!$D$5,
IF(AND($R279&gt;RpmDesignStandard!$B$6,$R279&lt;=RpmDesignStandard!$C$6),RpmDesignStandard!$D$6,
IF(AND($R279&gt;RpmDesignStandard!$B$7,$R279&lt;=RpmDesignStandard!$C$7),RpmDesignStandard!$D$7,RpmDesignStandard!$D$8))))</f>
        <v>4</v>
      </c>
      <c r="V279" s="47">
        <f>U279*RpmDesignStandard!$H$1</f>
        <v>8</v>
      </c>
      <c r="W279" s="37" t="str">
        <f>VLOOKUP(A279,RPM_ProjectRecord!A:AB,8,FALSE)</f>
        <v/>
      </c>
      <c r="X279" s="38" t="str">
        <f t="shared" si="40"/>
        <v/>
      </c>
      <c r="Y279" s="38" t="str">
        <f t="shared" si="41"/>
        <v/>
      </c>
      <c r="Z279" s="38" t="str">
        <f t="shared" si="42"/>
        <v/>
      </c>
      <c r="AA279" s="38" t="str">
        <f t="shared" si="43"/>
        <v/>
      </c>
      <c r="AB279" s="38" t="str">
        <f t="shared" si="44"/>
        <v/>
      </c>
      <c r="AC279" s="38" t="str">
        <f>IF(VLOOKUP(A279,'3rdPhaseChipSeal'!A:L,12,FALSE)="","",VLOOKUP(A279,'3rdPhaseChipSeal'!A:L,12,FALSE))</f>
        <v/>
      </c>
      <c r="AD279" s="38" t="str">
        <f>IFERROR(IF(VLOOKUP(A279,RpmContracts!A:C,3,FALSE)="","",VLOOKUP(A279,RpmContracts!A:C,3,FALSE)),"")</f>
        <v/>
      </c>
      <c r="AE279" s="7" t="str">
        <f>IF(VLOOKUP(A279,'20yPlan'!A:B,2,FALSE)="","",VLOOKUP(A279,'20yPlan'!A:B,2,FALSE))</f>
        <v/>
      </c>
      <c r="AF279" s="7" t="str">
        <f>IF(VLOOKUP(A279,'20yPlan'!A:C,3,FALSE)="","",VLOOKUP(A279,'20yPlan'!A:C,3,FALSE))</f>
        <v/>
      </c>
      <c r="AG279" s="7" t="str">
        <f>IF(VLOOKUP(A279,'20yPlan'!A:D,4,FALSE)="","",VLOOKUP(A279,'20yPlan'!A:D,4,FALSE))</f>
        <v/>
      </c>
      <c r="AH279" s="7" t="str">
        <f>IF(VLOOKUP(A279,'20yPlan'!A:E,5,FALSE)="","",VLOOKUP(A279,'20yPlan'!A:E,5,FALSE))</f>
        <v/>
      </c>
      <c r="AI279" s="7" t="str">
        <f>IF(VLOOKUP(A279,'20yPlan'!A:F,6,FALSE)="","",VLOOKUP(A279,'20yPlan'!A:F,6,FALSE))</f>
        <v/>
      </c>
      <c r="AJ279" s="7" t="str">
        <f t="shared" si="45"/>
        <v/>
      </c>
      <c r="AK279" s="7" t="str">
        <f t="shared" si="46"/>
        <v/>
      </c>
      <c r="AL279" s="39">
        <f t="shared" ca="1" si="47"/>
        <v>2025</v>
      </c>
      <c r="AM279" s="7" t="str">
        <f t="shared" si="48"/>
        <v/>
      </c>
      <c r="AN279" s="7" t="str">
        <f t="shared" si="49"/>
        <v/>
      </c>
    </row>
    <row r="280" spans="1:40">
      <c r="A280" s="6">
        <v>60294</v>
      </c>
      <c r="B280" s="6" t="s">
        <v>485</v>
      </c>
      <c r="C280" s="6" t="s">
        <v>901</v>
      </c>
      <c r="D280" s="6">
        <v>0</v>
      </c>
      <c r="E280" s="6">
        <v>0.30128300000000002</v>
      </c>
      <c r="F280" s="6" t="s">
        <v>53</v>
      </c>
      <c r="G280" s="6" t="s">
        <v>487</v>
      </c>
      <c r="H280" s="35">
        <v>6406</v>
      </c>
      <c r="I280" s="6" t="s">
        <v>44</v>
      </c>
      <c r="J280" s="6">
        <v>24</v>
      </c>
      <c r="K280" s="6">
        <v>2024</v>
      </c>
      <c r="L280" s="6">
        <v>2</v>
      </c>
      <c r="M280" s="6" t="s">
        <v>45</v>
      </c>
      <c r="N280" s="6" t="s">
        <v>250</v>
      </c>
      <c r="O280" s="6" t="s">
        <v>79</v>
      </c>
      <c r="P280" s="6" t="s">
        <v>346</v>
      </c>
      <c r="Q280" s="6" t="s">
        <v>489</v>
      </c>
      <c r="R280" s="35">
        <v>3255</v>
      </c>
      <c r="S280" s="6">
        <v>507</v>
      </c>
      <c r="T280" s="36" t="s">
        <v>50</v>
      </c>
      <c r="U280" s="46">
        <f>IF($L280&lt;=2,
IF($R280&lt;=RpmDesignStandard!$C$2,RpmDesignStandard!$D$2,
IF(AND($R280&gt;RpmDesignStandard!$B$3,$R280&lt;=RpmDesignStandard!$C$3),RpmDesignStandard!$D$3,RpmDesignStandard!$D$4)),
IF($R280&lt;=RpmDesignStandard!$C$5, RpmDesignStandard!$D$5,
IF(AND($R280&gt;RpmDesignStandard!$B$6,$R280&lt;=RpmDesignStandard!$C$6),RpmDesignStandard!$D$6,
IF(AND($R280&gt;RpmDesignStandard!$B$7,$R280&lt;=RpmDesignStandard!$C$7),RpmDesignStandard!$D$7,RpmDesignStandard!$D$8))))</f>
        <v>4</v>
      </c>
      <c r="V280" s="47">
        <f>U280*RpmDesignStandard!$H$1</f>
        <v>8</v>
      </c>
      <c r="W280" s="37" t="str">
        <f>VLOOKUP(A280,RPM_ProjectRecord!A:AB,8,FALSE)</f>
        <v/>
      </c>
      <c r="X280" s="38" t="str">
        <f t="shared" si="40"/>
        <v/>
      </c>
      <c r="Y280" s="38" t="str">
        <f t="shared" si="41"/>
        <v/>
      </c>
      <c r="Z280" s="38" t="str">
        <f t="shared" si="42"/>
        <v/>
      </c>
      <c r="AA280" s="38" t="str">
        <f t="shared" si="43"/>
        <v/>
      </c>
      <c r="AB280" s="38" t="str">
        <f t="shared" si="44"/>
        <v/>
      </c>
      <c r="AC280" s="38" t="str">
        <f>IF(VLOOKUP(A280,'3rdPhaseChipSeal'!A:L,12,FALSE)="","",VLOOKUP(A280,'3rdPhaseChipSeal'!A:L,12,FALSE))</f>
        <v/>
      </c>
      <c r="AD280" s="38" t="str">
        <f>IFERROR(IF(VLOOKUP(A280,RpmContracts!A:C,3,FALSE)="","",VLOOKUP(A280,RpmContracts!A:C,3,FALSE)),"")</f>
        <v/>
      </c>
      <c r="AE280" s="7" t="str">
        <f>IF(VLOOKUP(A280,'20yPlan'!A:B,2,FALSE)="","",VLOOKUP(A280,'20yPlan'!A:B,2,FALSE))</f>
        <v/>
      </c>
      <c r="AF280" s="7" t="str">
        <f>IF(VLOOKUP(A280,'20yPlan'!A:C,3,FALSE)="","",VLOOKUP(A280,'20yPlan'!A:C,3,FALSE))</f>
        <v/>
      </c>
      <c r="AG280" s="7" t="str">
        <f>IF(VLOOKUP(A280,'20yPlan'!A:D,4,FALSE)="","",VLOOKUP(A280,'20yPlan'!A:D,4,FALSE))</f>
        <v/>
      </c>
      <c r="AH280" s="7" t="str">
        <f>IF(VLOOKUP(A280,'20yPlan'!A:E,5,FALSE)="","",VLOOKUP(A280,'20yPlan'!A:E,5,FALSE))</f>
        <v/>
      </c>
      <c r="AI280" s="7" t="str">
        <f>IF(VLOOKUP(A280,'20yPlan'!A:F,6,FALSE)="","",VLOOKUP(A280,'20yPlan'!A:F,6,FALSE))</f>
        <v/>
      </c>
      <c r="AJ280" s="7" t="str">
        <f t="shared" si="45"/>
        <v/>
      </c>
      <c r="AK280" s="7" t="str">
        <f t="shared" si="46"/>
        <v/>
      </c>
      <c r="AL280" s="39">
        <f t="shared" ca="1" si="47"/>
        <v>2025</v>
      </c>
      <c r="AM280" s="7" t="str">
        <f t="shared" si="48"/>
        <v/>
      </c>
      <c r="AN280" s="7" t="str">
        <f t="shared" si="49"/>
        <v/>
      </c>
    </row>
    <row r="281" spans="1:40">
      <c r="A281" s="6">
        <v>60295</v>
      </c>
      <c r="B281" s="6" t="s">
        <v>719</v>
      </c>
      <c r="C281" s="6" t="s">
        <v>902</v>
      </c>
      <c r="D281" s="6">
        <v>70.640635000000003</v>
      </c>
      <c r="E281" s="6">
        <v>70.919792000000001</v>
      </c>
      <c r="F281" s="6" t="s">
        <v>745</v>
      </c>
      <c r="G281" s="6" t="s">
        <v>903</v>
      </c>
      <c r="H281" s="35">
        <v>6761</v>
      </c>
      <c r="I281" s="6" t="s">
        <v>44</v>
      </c>
      <c r="J281" s="6">
        <v>15</v>
      </c>
      <c r="K281" s="6">
        <v>2024</v>
      </c>
      <c r="L281" s="6">
        <v>2</v>
      </c>
      <c r="M281" s="6" t="s">
        <v>45</v>
      </c>
      <c r="N281" s="6" t="s">
        <v>250</v>
      </c>
      <c r="O281" s="6" t="s">
        <v>79</v>
      </c>
      <c r="P281" s="6" t="s">
        <v>346</v>
      </c>
      <c r="Q281" s="6" t="s">
        <v>489</v>
      </c>
      <c r="R281" s="35">
        <v>6447</v>
      </c>
      <c r="S281" s="6">
        <v>799</v>
      </c>
      <c r="T281" s="36" t="s">
        <v>50</v>
      </c>
      <c r="U281" s="46">
        <f>IF($L281&lt;=2,
IF($R281&lt;=RpmDesignStandard!$C$2,RpmDesignStandard!$D$2,
IF(AND($R281&gt;RpmDesignStandard!$B$3,$R281&lt;=RpmDesignStandard!$C$3),RpmDesignStandard!$D$3,RpmDesignStandard!$D$4)),
IF($R281&lt;=RpmDesignStandard!$C$5, RpmDesignStandard!$D$5,
IF(AND($R281&gt;RpmDesignStandard!$B$6,$R281&lt;=RpmDesignStandard!$C$6),RpmDesignStandard!$D$6,
IF(AND($R281&gt;RpmDesignStandard!$B$7,$R281&lt;=RpmDesignStandard!$C$7),RpmDesignStandard!$D$7,RpmDesignStandard!$D$8))))</f>
        <v>3</v>
      </c>
      <c r="V281" s="47">
        <f>U281*RpmDesignStandard!$H$1</f>
        <v>6</v>
      </c>
      <c r="W281" s="37" t="str">
        <f>VLOOKUP(A281,RPM_ProjectRecord!A:AB,8,FALSE)</f>
        <v/>
      </c>
      <c r="X281" s="38" t="str">
        <f t="shared" si="40"/>
        <v/>
      </c>
      <c r="Y281" s="38" t="str">
        <f t="shared" si="41"/>
        <v/>
      </c>
      <c r="Z281" s="38" t="str">
        <f t="shared" si="42"/>
        <v/>
      </c>
      <c r="AA281" s="38" t="str">
        <f t="shared" si="43"/>
        <v/>
      </c>
      <c r="AB281" s="38" t="str">
        <f t="shared" si="44"/>
        <v/>
      </c>
      <c r="AC281" s="38" t="str">
        <f>IF(VLOOKUP(A281,'3rdPhaseChipSeal'!A:L,12,FALSE)="","",VLOOKUP(A281,'3rdPhaseChipSeal'!A:L,12,FALSE))</f>
        <v/>
      </c>
      <c r="AD281" s="38" t="str">
        <f>IFERROR(IF(VLOOKUP(A281,RpmContracts!A:C,3,FALSE)="","",VLOOKUP(A281,RpmContracts!A:C,3,FALSE)),"")</f>
        <v/>
      </c>
      <c r="AE281" s="7" t="str">
        <f>IF(VLOOKUP(A281,'20yPlan'!A:B,2,FALSE)="","",VLOOKUP(A281,'20yPlan'!A:B,2,FALSE))</f>
        <v/>
      </c>
      <c r="AF281" s="7" t="str">
        <f>IF(VLOOKUP(A281,'20yPlan'!A:C,3,FALSE)="","",VLOOKUP(A281,'20yPlan'!A:C,3,FALSE))</f>
        <v/>
      </c>
      <c r="AG281" s="7" t="str">
        <f>IF(VLOOKUP(A281,'20yPlan'!A:D,4,FALSE)="","",VLOOKUP(A281,'20yPlan'!A:D,4,FALSE))</f>
        <v/>
      </c>
      <c r="AH281" s="7" t="str">
        <f>IF(VLOOKUP(A281,'20yPlan'!A:E,5,FALSE)="","",VLOOKUP(A281,'20yPlan'!A:E,5,FALSE))</f>
        <v/>
      </c>
      <c r="AI281" s="7" t="str">
        <f>IF(VLOOKUP(A281,'20yPlan'!A:F,6,FALSE)="","",VLOOKUP(A281,'20yPlan'!A:F,6,FALSE))</f>
        <v/>
      </c>
      <c r="AJ281" s="7" t="str">
        <f t="shared" si="45"/>
        <v/>
      </c>
      <c r="AK281" s="7" t="str">
        <f t="shared" si="46"/>
        <v/>
      </c>
      <c r="AL281" s="39">
        <f t="shared" ca="1" si="47"/>
        <v>2025</v>
      </c>
      <c r="AM281" s="7" t="str">
        <f t="shared" si="48"/>
        <v/>
      </c>
      <c r="AN281" s="7" t="str">
        <f t="shared" si="49"/>
        <v/>
      </c>
    </row>
    <row r="282" spans="1:40">
      <c r="A282" s="6">
        <v>60296</v>
      </c>
      <c r="B282" s="6" t="s">
        <v>719</v>
      </c>
      <c r="C282" s="6" t="s">
        <v>904</v>
      </c>
      <c r="D282" s="6">
        <v>70.919792000000001</v>
      </c>
      <c r="E282" s="6">
        <v>73.912319999999994</v>
      </c>
      <c r="F282" s="6" t="s">
        <v>903</v>
      </c>
      <c r="G282" s="6" t="s">
        <v>905</v>
      </c>
      <c r="H282" s="35">
        <v>62191</v>
      </c>
      <c r="I282" s="6" t="s">
        <v>44</v>
      </c>
      <c r="J282" s="6">
        <v>15</v>
      </c>
      <c r="K282" s="6">
        <v>2028</v>
      </c>
      <c r="L282" s="6">
        <v>2</v>
      </c>
      <c r="M282" s="6" t="s">
        <v>45</v>
      </c>
      <c r="N282" s="6" t="s">
        <v>250</v>
      </c>
      <c r="O282" s="6" t="s">
        <v>79</v>
      </c>
      <c r="P282" s="6" t="s">
        <v>346</v>
      </c>
      <c r="Q282" s="6" t="s">
        <v>489</v>
      </c>
      <c r="R282" s="35">
        <v>8303</v>
      </c>
      <c r="S282" s="6">
        <v>859</v>
      </c>
      <c r="T282" s="36" t="s">
        <v>50</v>
      </c>
      <c r="U282" s="46">
        <f>IF($L282&lt;=2,
IF($R282&lt;=RpmDesignStandard!$C$2,RpmDesignStandard!$D$2,
IF(AND($R282&gt;RpmDesignStandard!$B$3,$R282&lt;=RpmDesignStandard!$C$3),RpmDesignStandard!$D$3,RpmDesignStandard!$D$4)),
IF($R282&lt;=RpmDesignStandard!$C$5, RpmDesignStandard!$D$5,
IF(AND($R282&gt;RpmDesignStandard!$B$6,$R282&lt;=RpmDesignStandard!$C$6),RpmDesignStandard!$D$6,
IF(AND($R282&gt;RpmDesignStandard!$B$7,$R282&lt;=RpmDesignStandard!$C$7),RpmDesignStandard!$D$7,RpmDesignStandard!$D$8))))</f>
        <v>3</v>
      </c>
      <c r="V282" s="47">
        <f>U282*RpmDesignStandard!$H$1</f>
        <v>6</v>
      </c>
      <c r="W282" s="37" t="str">
        <f>VLOOKUP(A282,RPM_ProjectRecord!A:AB,8,FALSE)</f>
        <v/>
      </c>
      <c r="X282" s="38" t="str">
        <f t="shared" si="40"/>
        <v/>
      </c>
      <c r="Y282" s="38" t="str">
        <f t="shared" si="41"/>
        <v/>
      </c>
      <c r="Z282" s="38" t="str">
        <f t="shared" si="42"/>
        <v/>
      </c>
      <c r="AA282" s="38" t="str">
        <f t="shared" si="43"/>
        <v/>
      </c>
      <c r="AB282" s="38" t="str">
        <f t="shared" si="44"/>
        <v/>
      </c>
      <c r="AC282" s="38" t="str">
        <f>IF(VLOOKUP(A282,'3rdPhaseChipSeal'!A:L,12,FALSE)="","",VLOOKUP(A282,'3rdPhaseChipSeal'!A:L,12,FALSE))</f>
        <v/>
      </c>
      <c r="AD282" s="38" t="str">
        <f>IFERROR(IF(VLOOKUP(A282,RpmContracts!A:C,3,FALSE)="","",VLOOKUP(A282,RpmContracts!A:C,3,FALSE)),"")</f>
        <v/>
      </c>
      <c r="AE282" s="7" t="str">
        <f>IF(VLOOKUP(A282,'20yPlan'!A:B,2,FALSE)="","",VLOOKUP(A282,'20yPlan'!A:B,2,FALSE))</f>
        <v/>
      </c>
      <c r="AF282" s="7" t="str">
        <f>IF(VLOOKUP(A282,'20yPlan'!A:C,3,FALSE)="","",VLOOKUP(A282,'20yPlan'!A:C,3,FALSE))</f>
        <v/>
      </c>
      <c r="AG282" s="7" t="str">
        <f>IF(VLOOKUP(A282,'20yPlan'!A:D,4,FALSE)="","",VLOOKUP(A282,'20yPlan'!A:D,4,FALSE))</f>
        <v/>
      </c>
      <c r="AH282" s="7" t="str">
        <f>IF(VLOOKUP(A282,'20yPlan'!A:E,5,FALSE)="","",VLOOKUP(A282,'20yPlan'!A:E,5,FALSE))</f>
        <v/>
      </c>
      <c r="AI282" s="7" t="str">
        <f>IF(VLOOKUP(A282,'20yPlan'!A:F,6,FALSE)="","",VLOOKUP(A282,'20yPlan'!A:F,6,FALSE))</f>
        <v/>
      </c>
      <c r="AJ282" s="7" t="str">
        <f t="shared" si="45"/>
        <v/>
      </c>
      <c r="AK282" s="7" t="str">
        <f t="shared" si="46"/>
        <v/>
      </c>
      <c r="AL282" s="39">
        <f t="shared" ca="1" si="47"/>
        <v>2025</v>
      </c>
      <c r="AM282" s="7" t="str">
        <f t="shared" si="48"/>
        <v/>
      </c>
      <c r="AN282" s="7" t="str">
        <f t="shared" si="49"/>
        <v/>
      </c>
    </row>
    <row r="283" spans="1:40">
      <c r="A283" s="6">
        <v>60297</v>
      </c>
      <c r="B283" s="6" t="s">
        <v>454</v>
      </c>
      <c r="C283" s="6" t="s">
        <v>906</v>
      </c>
      <c r="D283" s="6">
        <v>18.025012</v>
      </c>
      <c r="E283" s="6">
        <v>19.579007000000001</v>
      </c>
      <c r="F283" s="6" t="s">
        <v>907</v>
      </c>
      <c r="G283" s="6" t="s">
        <v>461</v>
      </c>
      <c r="H283" s="35">
        <v>36340</v>
      </c>
      <c r="I283" s="6" t="s">
        <v>44</v>
      </c>
      <c r="J283" s="6">
        <v>6</v>
      </c>
      <c r="K283" s="6"/>
      <c r="L283" s="6">
        <v>2</v>
      </c>
      <c r="M283" s="6" t="s">
        <v>45</v>
      </c>
      <c r="N283" s="6" t="s">
        <v>250</v>
      </c>
      <c r="O283" s="6" t="s">
        <v>165</v>
      </c>
      <c r="P283" s="6" t="s">
        <v>165</v>
      </c>
      <c r="Q283" s="6" t="s">
        <v>240</v>
      </c>
      <c r="R283" s="35">
        <v>5227</v>
      </c>
      <c r="S283" s="6">
        <v>620</v>
      </c>
      <c r="T283" s="36" t="s">
        <v>50</v>
      </c>
      <c r="U283" s="46">
        <f>IF($L283&lt;=2,
IF($R283&lt;=RpmDesignStandard!$C$2,RpmDesignStandard!$D$2,
IF(AND($R283&gt;RpmDesignStandard!$B$3,$R283&lt;=RpmDesignStandard!$C$3),RpmDesignStandard!$D$3,RpmDesignStandard!$D$4)),
IF($R283&lt;=RpmDesignStandard!$C$5, RpmDesignStandard!$D$5,
IF(AND($R283&gt;RpmDesignStandard!$B$6,$R283&lt;=RpmDesignStandard!$C$6),RpmDesignStandard!$D$6,
IF(AND($R283&gt;RpmDesignStandard!$B$7,$R283&lt;=RpmDesignStandard!$C$7),RpmDesignStandard!$D$7,RpmDesignStandard!$D$8))))</f>
        <v>4</v>
      </c>
      <c r="V283" s="47">
        <f>U283*RpmDesignStandard!$H$1</f>
        <v>8</v>
      </c>
      <c r="W283" s="37" t="str">
        <f>VLOOKUP(A283,RPM_ProjectRecord!A:AB,8,FALSE)</f>
        <v/>
      </c>
      <c r="X283" s="38" t="str">
        <f t="shared" si="40"/>
        <v/>
      </c>
      <c r="Y283" s="38" t="str">
        <f t="shared" si="41"/>
        <v/>
      </c>
      <c r="Z283" s="38" t="str">
        <f t="shared" si="42"/>
        <v/>
      </c>
      <c r="AA283" s="38" t="str">
        <f t="shared" si="43"/>
        <v/>
      </c>
      <c r="AB283" s="38" t="str">
        <f t="shared" si="44"/>
        <v/>
      </c>
      <c r="AC283" s="38" t="str">
        <f>IF(VLOOKUP(A283,'3rdPhaseChipSeal'!A:L,12,FALSE)="","",VLOOKUP(A283,'3rdPhaseChipSeal'!A:L,12,FALSE))</f>
        <v/>
      </c>
      <c r="AD283" s="38" t="str">
        <f>IFERROR(IF(VLOOKUP(A283,RpmContracts!A:C,3,FALSE)="","",VLOOKUP(A283,RpmContracts!A:C,3,FALSE)),"")</f>
        <v/>
      </c>
      <c r="AE283" s="7" t="str">
        <f>IF(VLOOKUP(A283,'20yPlan'!A:B,2,FALSE)="","",VLOOKUP(A283,'20yPlan'!A:B,2,FALSE))</f>
        <v/>
      </c>
      <c r="AF283" s="7" t="str">
        <f>IF(VLOOKUP(A283,'20yPlan'!A:C,3,FALSE)="","",VLOOKUP(A283,'20yPlan'!A:C,3,FALSE))</f>
        <v/>
      </c>
      <c r="AG283" s="7" t="str">
        <f>IF(VLOOKUP(A283,'20yPlan'!A:D,4,FALSE)="","",VLOOKUP(A283,'20yPlan'!A:D,4,FALSE))</f>
        <v/>
      </c>
      <c r="AH283" s="7" t="str">
        <f>IF(VLOOKUP(A283,'20yPlan'!A:E,5,FALSE)="","",VLOOKUP(A283,'20yPlan'!A:E,5,FALSE))</f>
        <v/>
      </c>
      <c r="AI283" s="7" t="str">
        <f>IF(VLOOKUP(A283,'20yPlan'!A:F,6,FALSE)="","",VLOOKUP(A283,'20yPlan'!A:F,6,FALSE))</f>
        <v/>
      </c>
      <c r="AJ283" s="7" t="str">
        <f t="shared" si="45"/>
        <v/>
      </c>
      <c r="AK283" s="7" t="str">
        <f t="shared" si="46"/>
        <v/>
      </c>
      <c r="AL283" s="39">
        <f t="shared" ca="1" si="47"/>
        <v>2025</v>
      </c>
      <c r="AM283" s="7" t="str">
        <f t="shared" si="48"/>
        <v/>
      </c>
      <c r="AN283" s="7" t="str">
        <f t="shared" si="49"/>
        <v/>
      </c>
    </row>
    <row r="284" spans="1:40">
      <c r="A284" s="6">
        <v>60298</v>
      </c>
      <c r="B284" s="6" t="s">
        <v>463</v>
      </c>
      <c r="C284" s="6" t="s">
        <v>908</v>
      </c>
      <c r="D284" s="6">
        <v>23.879114999999999</v>
      </c>
      <c r="E284" s="6">
        <v>24.40033</v>
      </c>
      <c r="F284" s="6" t="s">
        <v>909</v>
      </c>
      <c r="G284" s="6" t="s">
        <v>477</v>
      </c>
      <c r="H284" s="35">
        <v>12979</v>
      </c>
      <c r="I284" s="6" t="s">
        <v>44</v>
      </c>
      <c r="J284" s="6">
        <v>3</v>
      </c>
      <c r="K284" s="6"/>
      <c r="L284" s="6">
        <v>2</v>
      </c>
      <c r="M284" s="6" t="s">
        <v>45</v>
      </c>
      <c r="N284" s="6" t="s">
        <v>250</v>
      </c>
      <c r="O284" s="6" t="s">
        <v>165</v>
      </c>
      <c r="P284" s="6" t="s">
        <v>236</v>
      </c>
      <c r="Q284" s="6" t="s">
        <v>240</v>
      </c>
      <c r="R284" s="35">
        <v>5093</v>
      </c>
      <c r="S284" s="6">
        <v>742</v>
      </c>
      <c r="T284" s="36" t="s">
        <v>50</v>
      </c>
      <c r="U284" s="46">
        <f>IF($L284&lt;=2,
IF($R284&lt;=RpmDesignStandard!$C$2,RpmDesignStandard!$D$2,
IF(AND($R284&gt;RpmDesignStandard!$B$3,$R284&lt;=RpmDesignStandard!$C$3),RpmDesignStandard!$D$3,RpmDesignStandard!$D$4)),
IF($R284&lt;=RpmDesignStandard!$C$5, RpmDesignStandard!$D$5,
IF(AND($R284&gt;RpmDesignStandard!$B$6,$R284&lt;=RpmDesignStandard!$C$6),RpmDesignStandard!$D$6,
IF(AND($R284&gt;RpmDesignStandard!$B$7,$R284&lt;=RpmDesignStandard!$C$7),RpmDesignStandard!$D$7,RpmDesignStandard!$D$8))))</f>
        <v>4</v>
      </c>
      <c r="V284" s="47">
        <f>U284*RpmDesignStandard!$H$1</f>
        <v>8</v>
      </c>
      <c r="W284" s="37" t="str">
        <f>VLOOKUP(A284,RPM_ProjectRecord!A:AB,8,FALSE)</f>
        <v/>
      </c>
      <c r="X284" s="38" t="str">
        <f t="shared" si="40"/>
        <v/>
      </c>
      <c r="Y284" s="38" t="str">
        <f t="shared" si="41"/>
        <v/>
      </c>
      <c r="Z284" s="38" t="str">
        <f t="shared" si="42"/>
        <v/>
      </c>
      <c r="AA284" s="38" t="str">
        <f t="shared" si="43"/>
        <v/>
      </c>
      <c r="AB284" s="38" t="str">
        <f t="shared" si="44"/>
        <v/>
      </c>
      <c r="AC284" s="38" t="str">
        <f>IF(VLOOKUP(A284,'3rdPhaseChipSeal'!A:L,12,FALSE)="","",VLOOKUP(A284,'3rdPhaseChipSeal'!A:L,12,FALSE))</f>
        <v/>
      </c>
      <c r="AD284" s="38" t="str">
        <f>IFERROR(IF(VLOOKUP(A284,RpmContracts!A:C,3,FALSE)="","",VLOOKUP(A284,RpmContracts!A:C,3,FALSE)),"")</f>
        <v/>
      </c>
      <c r="AE284" s="7" t="str">
        <f>IF(VLOOKUP(A284,'20yPlan'!A:B,2,FALSE)="","",VLOOKUP(A284,'20yPlan'!A:B,2,FALSE))</f>
        <v/>
      </c>
      <c r="AF284" s="7" t="str">
        <f>IF(VLOOKUP(A284,'20yPlan'!A:C,3,FALSE)="","",VLOOKUP(A284,'20yPlan'!A:C,3,FALSE))</f>
        <v/>
      </c>
      <c r="AG284" s="7" t="str">
        <f>IF(VLOOKUP(A284,'20yPlan'!A:D,4,FALSE)="","",VLOOKUP(A284,'20yPlan'!A:D,4,FALSE))</f>
        <v/>
      </c>
      <c r="AH284" s="7" t="str">
        <f>IF(VLOOKUP(A284,'20yPlan'!A:E,5,FALSE)="","",VLOOKUP(A284,'20yPlan'!A:E,5,FALSE))</f>
        <v/>
      </c>
      <c r="AI284" s="7" t="str">
        <f>IF(VLOOKUP(A284,'20yPlan'!A:F,6,FALSE)="","",VLOOKUP(A284,'20yPlan'!A:F,6,FALSE))</f>
        <v/>
      </c>
      <c r="AJ284" s="7" t="str">
        <f t="shared" si="45"/>
        <v/>
      </c>
      <c r="AK284" s="7" t="str">
        <f t="shared" si="46"/>
        <v/>
      </c>
      <c r="AL284" s="39">
        <f t="shared" ca="1" si="47"/>
        <v>2025</v>
      </c>
      <c r="AM284" s="7" t="str">
        <f t="shared" si="48"/>
        <v/>
      </c>
      <c r="AN284" s="7" t="str">
        <f t="shared" si="49"/>
        <v/>
      </c>
    </row>
    <row r="285" spans="1:40">
      <c r="A285" s="6">
        <v>60299</v>
      </c>
      <c r="B285" s="6" t="s">
        <v>279</v>
      </c>
      <c r="C285" s="6" t="s">
        <v>910</v>
      </c>
      <c r="D285" s="6">
        <v>8.296144</v>
      </c>
      <c r="E285" s="6">
        <v>9.3670010000000001</v>
      </c>
      <c r="F285" s="6" t="s">
        <v>859</v>
      </c>
      <c r="G285" s="6" t="s">
        <v>911</v>
      </c>
      <c r="H285" s="35">
        <v>21003</v>
      </c>
      <c r="I285" s="6" t="s">
        <v>44</v>
      </c>
      <c r="J285" s="6">
        <v>19</v>
      </c>
      <c r="K285" s="6">
        <v>2026</v>
      </c>
      <c r="L285" s="6">
        <v>2</v>
      </c>
      <c r="M285" s="6" t="s">
        <v>45</v>
      </c>
      <c r="N285" s="6" t="s">
        <v>250</v>
      </c>
      <c r="O285" s="6" t="s">
        <v>165</v>
      </c>
      <c r="P285" s="6" t="s">
        <v>236</v>
      </c>
      <c r="Q285" s="6" t="s">
        <v>240</v>
      </c>
      <c r="R285" s="35">
        <v>1115</v>
      </c>
      <c r="S285" s="6">
        <v>134</v>
      </c>
      <c r="T285" s="36" t="s">
        <v>50</v>
      </c>
      <c r="U285" s="46">
        <f>IF($L285&lt;=2,
IF($R285&lt;=RpmDesignStandard!$C$2,RpmDesignStandard!$D$2,
IF(AND($R285&gt;RpmDesignStandard!$B$3,$R285&lt;=RpmDesignStandard!$C$3),RpmDesignStandard!$D$3,RpmDesignStandard!$D$4)),
IF($R285&lt;=RpmDesignStandard!$C$5, RpmDesignStandard!$D$5,
IF(AND($R285&gt;RpmDesignStandard!$B$6,$R285&lt;=RpmDesignStandard!$C$6),RpmDesignStandard!$D$6,
IF(AND($R285&gt;RpmDesignStandard!$B$7,$R285&lt;=RpmDesignStandard!$C$7),RpmDesignStandard!$D$7,RpmDesignStandard!$D$8))))</f>
        <v>4</v>
      </c>
      <c r="V285" s="47">
        <f>U285*RpmDesignStandard!$H$1</f>
        <v>8</v>
      </c>
      <c r="W285" s="37" t="str">
        <f>VLOOKUP(A285,RPM_ProjectRecord!A:AB,8,FALSE)</f>
        <v/>
      </c>
      <c r="X285" s="38" t="str">
        <f t="shared" si="40"/>
        <v/>
      </c>
      <c r="Y285" s="38" t="str">
        <f t="shared" si="41"/>
        <v/>
      </c>
      <c r="Z285" s="38" t="str">
        <f t="shared" si="42"/>
        <v/>
      </c>
      <c r="AA285" s="38" t="str">
        <f t="shared" si="43"/>
        <v/>
      </c>
      <c r="AB285" s="38" t="str">
        <f t="shared" si="44"/>
        <v/>
      </c>
      <c r="AC285" s="38" t="str">
        <f>IF(VLOOKUP(A285,'3rdPhaseChipSeal'!A:L,12,FALSE)="","",VLOOKUP(A285,'3rdPhaseChipSeal'!A:L,12,FALSE))</f>
        <v/>
      </c>
      <c r="AD285" s="38" t="str">
        <f>IFERROR(IF(VLOOKUP(A285,RpmContracts!A:C,3,FALSE)="","",VLOOKUP(A285,RpmContracts!A:C,3,FALSE)),"")</f>
        <v/>
      </c>
      <c r="AE285" s="7" t="str">
        <f>IF(VLOOKUP(A285,'20yPlan'!A:B,2,FALSE)="","",VLOOKUP(A285,'20yPlan'!A:B,2,FALSE))</f>
        <v/>
      </c>
      <c r="AF285" s="7" t="str">
        <f>IF(VLOOKUP(A285,'20yPlan'!A:C,3,FALSE)="","",VLOOKUP(A285,'20yPlan'!A:C,3,FALSE))</f>
        <v/>
      </c>
      <c r="AG285" s="7" t="str">
        <f>IF(VLOOKUP(A285,'20yPlan'!A:D,4,FALSE)="","",VLOOKUP(A285,'20yPlan'!A:D,4,FALSE))</f>
        <v/>
      </c>
      <c r="AH285" s="7" t="str">
        <f>IF(VLOOKUP(A285,'20yPlan'!A:E,5,FALSE)="","",VLOOKUP(A285,'20yPlan'!A:E,5,FALSE))</f>
        <v/>
      </c>
      <c r="AI285" s="7" t="str">
        <f>IF(VLOOKUP(A285,'20yPlan'!A:F,6,FALSE)="","",VLOOKUP(A285,'20yPlan'!A:F,6,FALSE))</f>
        <v/>
      </c>
      <c r="AJ285" s="7" t="str">
        <f t="shared" si="45"/>
        <v/>
      </c>
      <c r="AK285" s="7" t="str">
        <f t="shared" si="46"/>
        <v/>
      </c>
      <c r="AL285" s="39">
        <f t="shared" ca="1" si="47"/>
        <v>2025</v>
      </c>
      <c r="AM285" s="7" t="str">
        <f t="shared" si="48"/>
        <v/>
      </c>
      <c r="AN285" s="7" t="str">
        <f t="shared" si="49"/>
        <v/>
      </c>
    </row>
    <row r="286" spans="1:40">
      <c r="A286" s="6">
        <v>60300</v>
      </c>
      <c r="B286" s="6" t="s">
        <v>206</v>
      </c>
      <c r="C286" s="6" t="s">
        <v>912</v>
      </c>
      <c r="D286" s="6">
        <v>0</v>
      </c>
      <c r="E286" s="6">
        <v>1.116763</v>
      </c>
      <c r="F286" s="6" t="s">
        <v>913</v>
      </c>
      <c r="G286" s="6" t="s">
        <v>914</v>
      </c>
      <c r="H286" s="35">
        <v>53383</v>
      </c>
      <c r="I286" s="6" t="s">
        <v>154</v>
      </c>
      <c r="J286" s="6">
        <v>1</v>
      </c>
      <c r="K286" s="6"/>
      <c r="L286" s="6">
        <v>4</v>
      </c>
      <c r="M286" s="6" t="s">
        <v>111</v>
      </c>
      <c r="N286" s="6" t="s">
        <v>46</v>
      </c>
      <c r="O286" s="6" t="s">
        <v>79</v>
      </c>
      <c r="P286" s="6" t="s">
        <v>210</v>
      </c>
      <c r="Q286" s="6" t="s">
        <v>81</v>
      </c>
      <c r="R286" s="35">
        <v>6542</v>
      </c>
      <c r="S286" s="35">
        <v>2126</v>
      </c>
      <c r="T286" s="36" t="s">
        <v>50</v>
      </c>
      <c r="U286" s="46">
        <f>IF($L286&lt;=2,
IF($R286&lt;=RpmDesignStandard!$C$2,RpmDesignStandard!$D$2,
IF(AND($R286&gt;RpmDesignStandard!$B$3,$R286&lt;=RpmDesignStandard!$C$3),RpmDesignStandard!$D$3,RpmDesignStandard!$D$4)),
IF($R286&lt;=RpmDesignStandard!$C$5, RpmDesignStandard!$D$5,
IF(AND($R286&gt;RpmDesignStandard!$B$6,$R286&lt;=RpmDesignStandard!$C$6),RpmDesignStandard!$D$6,
IF(AND($R286&gt;RpmDesignStandard!$B$7,$R286&lt;=RpmDesignStandard!$C$7),RpmDesignStandard!$D$7,RpmDesignStandard!$D$8))))</f>
        <v>4</v>
      </c>
      <c r="V286" s="47">
        <f>U286*RpmDesignStandard!$H$1</f>
        <v>8</v>
      </c>
      <c r="W286" s="37" t="str">
        <f>VLOOKUP(A286,RPM_ProjectRecord!A:AB,8,FALSE)</f>
        <v/>
      </c>
      <c r="X286" s="38" t="str">
        <f t="shared" si="40"/>
        <v/>
      </c>
      <c r="Y286" s="38" t="str">
        <f t="shared" si="41"/>
        <v/>
      </c>
      <c r="Z286" s="38" t="str">
        <f t="shared" si="42"/>
        <v/>
      </c>
      <c r="AA286" s="38" t="str">
        <f t="shared" si="43"/>
        <v/>
      </c>
      <c r="AB286" s="38" t="str">
        <f t="shared" si="44"/>
        <v/>
      </c>
      <c r="AC286" s="38" t="str">
        <f>IF(VLOOKUP(A286,'3rdPhaseChipSeal'!A:L,12,FALSE)="","",VLOOKUP(A286,'3rdPhaseChipSeal'!A:L,12,FALSE))</f>
        <v/>
      </c>
      <c r="AD286" s="38">
        <f>IFERROR(IF(VLOOKUP(A286,RpmContracts!A:C,3,FALSE)="","",VLOOKUP(A286,RpmContracts!A:C,3,FALSE)),"")</f>
        <v>2027</v>
      </c>
      <c r="AE286" s="7" t="str">
        <f>IF(VLOOKUP(A286,'20yPlan'!A:B,2,FALSE)="","",VLOOKUP(A286,'20yPlan'!A:B,2,FALSE))</f>
        <v/>
      </c>
      <c r="AF286" s="7" t="str">
        <f>IF(VLOOKUP(A286,'20yPlan'!A:C,3,FALSE)="","",VLOOKUP(A286,'20yPlan'!A:C,3,FALSE))</f>
        <v/>
      </c>
      <c r="AG286" s="7" t="str">
        <f>IF(VLOOKUP(A286,'20yPlan'!A:D,4,FALSE)="","",VLOOKUP(A286,'20yPlan'!A:D,4,FALSE))</f>
        <v/>
      </c>
      <c r="AH286" s="7" t="str">
        <f>IF(VLOOKUP(A286,'20yPlan'!A:E,5,FALSE)="","",VLOOKUP(A286,'20yPlan'!A:E,5,FALSE))</f>
        <v/>
      </c>
      <c r="AI286" s="7" t="str">
        <f>IF(VLOOKUP(A286,'20yPlan'!A:F,6,FALSE)="","",VLOOKUP(A286,'20yPlan'!A:F,6,FALSE))</f>
        <v/>
      </c>
      <c r="AJ286" s="7" t="str">
        <f t="shared" si="45"/>
        <v/>
      </c>
      <c r="AK286" s="7" t="str">
        <f t="shared" si="46"/>
        <v>2027 RPM Replacement</v>
      </c>
      <c r="AL286" s="39">
        <f t="shared" ca="1" si="47"/>
        <v>2025</v>
      </c>
      <c r="AM286" s="7">
        <f t="shared" si="48"/>
        <v>2027</v>
      </c>
      <c r="AN286" s="7" t="str">
        <f t="shared" si="49"/>
        <v>2027 RPM Replacement</v>
      </c>
    </row>
    <row r="287" spans="1:40">
      <c r="A287" s="6">
        <v>60301</v>
      </c>
      <c r="B287" s="6" t="s">
        <v>206</v>
      </c>
      <c r="C287" s="6" t="s">
        <v>915</v>
      </c>
      <c r="D287" s="6">
        <v>1.116763</v>
      </c>
      <c r="E287" s="6">
        <v>7.1220220000000003</v>
      </c>
      <c r="F287" s="6" t="s">
        <v>914</v>
      </c>
      <c r="G287" s="6" t="s">
        <v>208</v>
      </c>
      <c r="H287" s="35">
        <v>159327</v>
      </c>
      <c r="I287" s="6" t="s">
        <v>154</v>
      </c>
      <c r="J287" s="6">
        <v>15</v>
      </c>
      <c r="K287" s="6"/>
      <c r="L287" s="6">
        <v>4</v>
      </c>
      <c r="M287" s="6" t="s">
        <v>45</v>
      </c>
      <c r="N287" s="6" t="s">
        <v>46</v>
      </c>
      <c r="O287" s="6" t="s">
        <v>79</v>
      </c>
      <c r="P287" s="6" t="s">
        <v>210</v>
      </c>
      <c r="Q287" s="6" t="s">
        <v>81</v>
      </c>
      <c r="R287" s="35">
        <v>5904</v>
      </c>
      <c r="S287" s="35">
        <v>2112</v>
      </c>
      <c r="T287" s="36" t="s">
        <v>50</v>
      </c>
      <c r="U287" s="46">
        <f>IF($L287&lt;=2,
IF($R287&lt;=RpmDesignStandard!$C$2,RpmDesignStandard!$D$2,
IF(AND($R287&gt;RpmDesignStandard!$B$3,$R287&lt;=RpmDesignStandard!$C$3),RpmDesignStandard!$D$3,RpmDesignStandard!$D$4)),
IF($R287&lt;=RpmDesignStandard!$C$5, RpmDesignStandard!$D$5,
IF(AND($R287&gt;RpmDesignStandard!$B$6,$R287&lt;=RpmDesignStandard!$C$6),RpmDesignStandard!$D$6,
IF(AND($R287&gt;RpmDesignStandard!$B$7,$R287&lt;=RpmDesignStandard!$C$7),RpmDesignStandard!$D$7,RpmDesignStandard!$D$8))))</f>
        <v>4</v>
      </c>
      <c r="V287" s="47">
        <f>U287*RpmDesignStandard!$H$1</f>
        <v>8</v>
      </c>
      <c r="W287" s="37" t="str">
        <f>VLOOKUP(A287,RPM_ProjectRecord!A:AB,8,FALSE)</f>
        <v/>
      </c>
      <c r="X287" s="38">
        <f t="shared" si="40"/>
        <v>2033</v>
      </c>
      <c r="Y287" s="38" t="str">
        <f t="shared" si="41"/>
        <v/>
      </c>
      <c r="Z287" s="38" t="str">
        <f t="shared" si="42"/>
        <v/>
      </c>
      <c r="AA287" s="38" t="str">
        <f t="shared" si="43"/>
        <v/>
      </c>
      <c r="AB287" s="38" t="str">
        <f t="shared" si="44"/>
        <v/>
      </c>
      <c r="AC287" s="38" t="str">
        <f>IF(VLOOKUP(A287,'3rdPhaseChipSeal'!A:L,12,FALSE)="","",VLOOKUP(A287,'3rdPhaseChipSeal'!A:L,12,FALSE))</f>
        <v/>
      </c>
      <c r="AD287" s="38">
        <f>IFERROR(IF(VLOOKUP(A287,RpmContracts!A:C,3,FALSE)="","",VLOOKUP(A287,RpmContracts!A:C,3,FALSE)),"")</f>
        <v>2027</v>
      </c>
      <c r="AE287" s="7" t="str">
        <f>IF(VLOOKUP(A287,'20yPlan'!A:B,2,FALSE)="","",VLOOKUP(A287,'20yPlan'!A:B,2,FALSE))</f>
        <v>2033 Preventive Maintenance</v>
      </c>
      <c r="AF287" s="7" t="str">
        <f>IF(VLOOKUP(A287,'20yPlan'!A:C,3,FALSE)="","",VLOOKUP(A287,'20yPlan'!A:C,3,FALSE))</f>
        <v/>
      </c>
      <c r="AG287" s="7" t="str">
        <f>IF(VLOOKUP(A287,'20yPlan'!A:D,4,FALSE)="","",VLOOKUP(A287,'20yPlan'!A:D,4,FALSE))</f>
        <v/>
      </c>
      <c r="AH287" s="7" t="str">
        <f>IF(VLOOKUP(A287,'20yPlan'!A:E,5,FALSE)="","",VLOOKUP(A287,'20yPlan'!A:E,5,FALSE))</f>
        <v/>
      </c>
      <c r="AI287" s="7" t="str">
        <f>IF(VLOOKUP(A287,'20yPlan'!A:F,6,FALSE)="","",VLOOKUP(A287,'20yPlan'!A:F,6,FALSE))</f>
        <v/>
      </c>
      <c r="AJ287" s="7" t="str">
        <f t="shared" si="45"/>
        <v/>
      </c>
      <c r="AK287" s="7" t="str">
        <f t="shared" si="46"/>
        <v>2027 RPM Replacement</v>
      </c>
      <c r="AL287" s="39">
        <f t="shared" ca="1" si="47"/>
        <v>2025</v>
      </c>
      <c r="AM287" s="7">
        <f t="shared" si="48"/>
        <v>2027</v>
      </c>
      <c r="AN287" s="7" t="str">
        <f t="shared" si="49"/>
        <v>2027 RPM Replacement</v>
      </c>
    </row>
    <row r="288" spans="1:40">
      <c r="A288" s="6">
        <v>60302</v>
      </c>
      <c r="B288" s="6" t="s">
        <v>328</v>
      </c>
      <c r="C288" s="6" t="s">
        <v>916</v>
      </c>
      <c r="D288" s="6">
        <v>0</v>
      </c>
      <c r="E288" s="6">
        <v>0.51148199999999999</v>
      </c>
      <c r="F288" s="6" t="s">
        <v>53</v>
      </c>
      <c r="G288" s="6" t="s">
        <v>330</v>
      </c>
      <c r="H288" s="35">
        <v>12680</v>
      </c>
      <c r="I288" s="6" t="s">
        <v>141</v>
      </c>
      <c r="J288" s="6">
        <v>0</v>
      </c>
      <c r="K288" s="6"/>
      <c r="L288" s="6">
        <v>2</v>
      </c>
      <c r="M288" s="6" t="s">
        <v>45</v>
      </c>
      <c r="N288" s="6" t="s">
        <v>250</v>
      </c>
      <c r="O288" s="6" t="s">
        <v>47</v>
      </c>
      <c r="P288" s="6" t="s">
        <v>224</v>
      </c>
      <c r="Q288" s="6" t="s">
        <v>217</v>
      </c>
      <c r="R288" s="35">
        <v>11947</v>
      </c>
      <c r="S288" s="6">
        <v>671</v>
      </c>
      <c r="T288" s="36" t="s">
        <v>50</v>
      </c>
      <c r="U288" s="46">
        <f>IF($L288&lt;=2,
IF($R288&lt;=RpmDesignStandard!$C$2,RpmDesignStandard!$D$2,
IF(AND($R288&gt;RpmDesignStandard!$B$3,$R288&lt;=RpmDesignStandard!$C$3),RpmDesignStandard!$D$3,RpmDesignStandard!$D$4)),
IF($R288&lt;=RpmDesignStandard!$C$5, RpmDesignStandard!$D$5,
IF(AND($R288&gt;RpmDesignStandard!$B$6,$R288&lt;=RpmDesignStandard!$C$6),RpmDesignStandard!$D$6,
IF(AND($R288&gt;RpmDesignStandard!$B$7,$R288&lt;=RpmDesignStandard!$C$7),RpmDesignStandard!$D$7,RpmDesignStandard!$D$8))))</f>
        <v>3</v>
      </c>
      <c r="V288" s="47">
        <f>U288*RpmDesignStandard!$H$1</f>
        <v>6</v>
      </c>
      <c r="W288" s="37">
        <f>VLOOKUP(A288,RPM_ProjectRecord!A:AB,8,FALSE)</f>
        <v>2023</v>
      </c>
      <c r="X288" s="38">
        <f t="shared" si="40"/>
        <v>2036</v>
      </c>
      <c r="Y288" s="38" t="str">
        <f t="shared" si="41"/>
        <v/>
      </c>
      <c r="Z288" s="38" t="str">
        <f t="shared" si="42"/>
        <v/>
      </c>
      <c r="AA288" s="38" t="str">
        <f t="shared" si="43"/>
        <v/>
      </c>
      <c r="AB288" s="38" t="str">
        <f t="shared" si="44"/>
        <v/>
      </c>
      <c r="AC288" s="38" t="str">
        <f>IF(VLOOKUP(A288,'3rdPhaseChipSeal'!A:L,12,FALSE)="","",VLOOKUP(A288,'3rdPhaseChipSeal'!A:L,12,FALSE))</f>
        <v/>
      </c>
      <c r="AD288" s="38" t="str">
        <f>IFERROR(IF(VLOOKUP(A288,RpmContracts!A:C,3,FALSE)="","",VLOOKUP(A288,RpmContracts!A:C,3,FALSE)),"")</f>
        <v/>
      </c>
      <c r="AE288" s="7" t="str">
        <f>IF(VLOOKUP(A288,'20yPlan'!A:B,2,FALSE)="","",VLOOKUP(A288,'20yPlan'!A:B,2,FALSE))</f>
        <v>2036 Preventive Maintenance</v>
      </c>
      <c r="AF288" s="7" t="str">
        <f>IF(VLOOKUP(A288,'20yPlan'!A:C,3,FALSE)="","",VLOOKUP(A288,'20yPlan'!A:C,3,FALSE))</f>
        <v/>
      </c>
      <c r="AG288" s="7" t="str">
        <f>IF(VLOOKUP(A288,'20yPlan'!A:D,4,FALSE)="","",VLOOKUP(A288,'20yPlan'!A:D,4,FALSE))</f>
        <v/>
      </c>
      <c r="AH288" s="7" t="str">
        <f>IF(VLOOKUP(A288,'20yPlan'!A:E,5,FALSE)="","",VLOOKUP(A288,'20yPlan'!A:E,5,FALSE))</f>
        <v/>
      </c>
      <c r="AI288" s="7" t="str">
        <f>IF(VLOOKUP(A288,'20yPlan'!A:F,6,FALSE)="","",VLOOKUP(A288,'20yPlan'!A:F,6,FALSE))</f>
        <v/>
      </c>
      <c r="AJ288" s="7" t="str">
        <f t="shared" si="45"/>
        <v/>
      </c>
      <c r="AK288" s="7" t="str">
        <f t="shared" si="46"/>
        <v/>
      </c>
      <c r="AL288" s="39">
        <f t="shared" ca="1" si="47"/>
        <v>2026</v>
      </c>
      <c r="AM288" s="7" t="str">
        <f t="shared" si="48"/>
        <v/>
      </c>
      <c r="AN288" s="7" t="str">
        <f t="shared" si="49"/>
        <v/>
      </c>
    </row>
    <row r="289" spans="1:40">
      <c r="A289" s="6">
        <v>60303</v>
      </c>
      <c r="B289" s="6" t="s">
        <v>454</v>
      </c>
      <c r="C289" s="6" t="s">
        <v>917</v>
      </c>
      <c r="D289" s="6">
        <v>11.800844</v>
      </c>
      <c r="E289" s="6">
        <v>12.824674</v>
      </c>
      <c r="F289" s="6" t="s">
        <v>459</v>
      </c>
      <c r="G289" s="6" t="s">
        <v>918</v>
      </c>
      <c r="H289" s="35">
        <v>20573</v>
      </c>
      <c r="I289" s="6" t="s">
        <v>44</v>
      </c>
      <c r="J289" s="6">
        <v>20</v>
      </c>
      <c r="K289" s="6">
        <v>2027</v>
      </c>
      <c r="L289" s="6">
        <v>2</v>
      </c>
      <c r="M289" s="6" t="s">
        <v>45</v>
      </c>
      <c r="N289" s="6" t="s">
        <v>250</v>
      </c>
      <c r="O289" s="6" t="s">
        <v>165</v>
      </c>
      <c r="P289" s="6" t="s">
        <v>291</v>
      </c>
      <c r="Q289" s="6" t="s">
        <v>172</v>
      </c>
      <c r="R289" s="35">
        <v>3185</v>
      </c>
      <c r="S289" s="6">
        <v>377</v>
      </c>
      <c r="T289" s="36" t="s">
        <v>50</v>
      </c>
      <c r="U289" s="46">
        <f>IF($L289&lt;=2,
IF($R289&lt;=RpmDesignStandard!$C$2,RpmDesignStandard!$D$2,
IF(AND($R289&gt;RpmDesignStandard!$B$3,$R289&lt;=RpmDesignStandard!$C$3),RpmDesignStandard!$D$3,RpmDesignStandard!$D$4)),
IF($R289&lt;=RpmDesignStandard!$C$5, RpmDesignStandard!$D$5,
IF(AND($R289&gt;RpmDesignStandard!$B$6,$R289&lt;=RpmDesignStandard!$C$6),RpmDesignStandard!$D$6,
IF(AND($R289&gt;RpmDesignStandard!$B$7,$R289&lt;=RpmDesignStandard!$C$7),RpmDesignStandard!$D$7,RpmDesignStandard!$D$8))))</f>
        <v>4</v>
      </c>
      <c r="V289" s="47">
        <f>U289*RpmDesignStandard!$H$1</f>
        <v>8</v>
      </c>
      <c r="W289" s="37" t="str">
        <f>VLOOKUP(A289,RPM_ProjectRecord!A:AB,8,FALSE)</f>
        <v/>
      </c>
      <c r="X289" s="38" t="str">
        <f t="shared" si="40"/>
        <v/>
      </c>
      <c r="Y289" s="38" t="str">
        <f t="shared" si="41"/>
        <v/>
      </c>
      <c r="Z289" s="38" t="str">
        <f t="shared" si="42"/>
        <v/>
      </c>
      <c r="AA289" s="38" t="str">
        <f t="shared" si="43"/>
        <v/>
      </c>
      <c r="AB289" s="38" t="str">
        <f t="shared" si="44"/>
        <v/>
      </c>
      <c r="AC289" s="38" t="str">
        <f>IF(VLOOKUP(A289,'3rdPhaseChipSeal'!A:L,12,FALSE)="","",VLOOKUP(A289,'3rdPhaseChipSeal'!A:L,12,FALSE))</f>
        <v/>
      </c>
      <c r="AD289" s="38" t="str">
        <f>IFERROR(IF(VLOOKUP(A289,RpmContracts!A:C,3,FALSE)="","",VLOOKUP(A289,RpmContracts!A:C,3,FALSE)),"")</f>
        <v/>
      </c>
      <c r="AE289" s="7" t="str">
        <f>IF(VLOOKUP(A289,'20yPlan'!A:B,2,FALSE)="","",VLOOKUP(A289,'20yPlan'!A:B,2,FALSE))</f>
        <v/>
      </c>
      <c r="AF289" s="7" t="str">
        <f>IF(VLOOKUP(A289,'20yPlan'!A:C,3,FALSE)="","",VLOOKUP(A289,'20yPlan'!A:C,3,FALSE))</f>
        <v/>
      </c>
      <c r="AG289" s="7" t="str">
        <f>IF(VLOOKUP(A289,'20yPlan'!A:D,4,FALSE)="","",VLOOKUP(A289,'20yPlan'!A:D,4,FALSE))</f>
        <v/>
      </c>
      <c r="AH289" s="7" t="str">
        <f>IF(VLOOKUP(A289,'20yPlan'!A:E,5,FALSE)="","",VLOOKUP(A289,'20yPlan'!A:E,5,FALSE))</f>
        <v/>
      </c>
      <c r="AI289" s="7" t="str">
        <f>IF(VLOOKUP(A289,'20yPlan'!A:F,6,FALSE)="","",VLOOKUP(A289,'20yPlan'!A:F,6,FALSE))</f>
        <v/>
      </c>
      <c r="AJ289" s="7" t="str">
        <f t="shared" si="45"/>
        <v/>
      </c>
      <c r="AK289" s="7" t="str">
        <f t="shared" si="46"/>
        <v/>
      </c>
      <c r="AL289" s="39">
        <f t="shared" ca="1" si="47"/>
        <v>2025</v>
      </c>
      <c r="AM289" s="7" t="str">
        <f t="shared" si="48"/>
        <v/>
      </c>
      <c r="AN289" s="7" t="str">
        <f t="shared" si="49"/>
        <v/>
      </c>
    </row>
    <row r="290" spans="1:40">
      <c r="A290" s="6">
        <v>60304</v>
      </c>
      <c r="B290" s="6" t="s">
        <v>454</v>
      </c>
      <c r="C290" s="6" t="s">
        <v>919</v>
      </c>
      <c r="D290" s="6">
        <v>12.824674</v>
      </c>
      <c r="E290" s="6">
        <v>18.025012</v>
      </c>
      <c r="F290" s="6" t="s">
        <v>918</v>
      </c>
      <c r="G290" s="6" t="s">
        <v>907</v>
      </c>
      <c r="H290" s="35">
        <v>95183</v>
      </c>
      <c r="I290" s="6" t="s">
        <v>195</v>
      </c>
      <c r="J290" s="6">
        <v>20</v>
      </c>
      <c r="K290" s="6">
        <v>2027</v>
      </c>
      <c r="L290" s="6">
        <v>2</v>
      </c>
      <c r="M290" s="6" t="s">
        <v>45</v>
      </c>
      <c r="N290" s="6" t="s">
        <v>250</v>
      </c>
      <c r="O290" s="6" t="s">
        <v>165</v>
      </c>
      <c r="P290" s="6" t="s">
        <v>291</v>
      </c>
      <c r="Q290" s="6" t="s">
        <v>920</v>
      </c>
      <c r="R290" s="35">
        <v>3292</v>
      </c>
      <c r="S290" s="6">
        <v>390</v>
      </c>
      <c r="T290" s="36" t="s">
        <v>253</v>
      </c>
      <c r="U290" s="46">
        <f>IF($L290&lt;=2,
IF($R290&lt;=RpmDesignStandard!$C$2,RpmDesignStandard!$D$2,
IF(AND($R290&gt;RpmDesignStandard!$B$3,$R290&lt;=RpmDesignStandard!$C$3),RpmDesignStandard!$D$3,RpmDesignStandard!$D$4)),
IF($R290&lt;=RpmDesignStandard!$C$5, RpmDesignStandard!$D$5,
IF(AND($R290&gt;RpmDesignStandard!$B$6,$R290&lt;=RpmDesignStandard!$C$6),RpmDesignStandard!$D$6,
IF(AND($R290&gt;RpmDesignStandard!$B$7,$R290&lt;=RpmDesignStandard!$C$7),RpmDesignStandard!$D$7,RpmDesignStandard!$D$8))))</f>
        <v>4</v>
      </c>
      <c r="V290" s="47">
        <f>U290*RpmDesignStandard!$H$1</f>
        <v>8</v>
      </c>
      <c r="W290" s="37">
        <f>VLOOKUP(A290,RPM_ProjectRecord!A:AB,8,FALSE)</f>
        <v>2024</v>
      </c>
      <c r="X290" s="38" t="str">
        <f t="shared" si="40"/>
        <v/>
      </c>
      <c r="Y290" s="38" t="str">
        <f t="shared" si="41"/>
        <v/>
      </c>
      <c r="Z290" s="38" t="str">
        <f t="shared" si="42"/>
        <v/>
      </c>
      <c r="AA290" s="38" t="str">
        <f t="shared" si="43"/>
        <v/>
      </c>
      <c r="AB290" s="38" t="str">
        <f t="shared" si="44"/>
        <v/>
      </c>
      <c r="AC290" s="38">
        <f>IF(VLOOKUP(A290,'3rdPhaseChipSeal'!A:L,12,FALSE)="","",VLOOKUP(A290,'3rdPhaseChipSeal'!A:L,12,FALSE))</f>
        <v>2027</v>
      </c>
      <c r="AD290" s="38" t="str">
        <f>IFERROR(IF(VLOOKUP(A290,RpmContracts!A:C,3,FALSE)="","",VLOOKUP(A290,RpmContracts!A:C,3,FALSE)),"")</f>
        <v/>
      </c>
      <c r="AE290" s="7" t="str">
        <f>IF(VLOOKUP(A290,'20yPlan'!A:B,2,FALSE)="","",VLOOKUP(A290,'20yPlan'!A:B,2,FALSE))</f>
        <v/>
      </c>
      <c r="AF290" s="7" t="str">
        <f>IF(VLOOKUP(A290,'20yPlan'!A:C,3,FALSE)="","",VLOOKUP(A290,'20yPlan'!A:C,3,FALSE))</f>
        <v/>
      </c>
      <c r="AG290" s="7" t="str">
        <f>IF(VLOOKUP(A290,'20yPlan'!A:D,4,FALSE)="","",VLOOKUP(A290,'20yPlan'!A:D,4,FALSE))</f>
        <v/>
      </c>
      <c r="AH290" s="7" t="str">
        <f>IF(VLOOKUP(A290,'20yPlan'!A:E,5,FALSE)="","",VLOOKUP(A290,'20yPlan'!A:E,5,FALSE))</f>
        <v/>
      </c>
      <c r="AI290" s="7" t="str">
        <f>IF(VLOOKUP(A290,'20yPlan'!A:F,6,FALSE)="","",VLOOKUP(A290,'20yPlan'!A:F,6,FALSE))</f>
        <v/>
      </c>
      <c r="AJ290" s="7" t="str">
        <f t="shared" si="45"/>
        <v>2027 Chip Seal</v>
      </c>
      <c r="AK290" s="7" t="str">
        <f t="shared" si="46"/>
        <v/>
      </c>
      <c r="AL290" s="39">
        <f t="shared" ca="1" si="47"/>
        <v>2028</v>
      </c>
      <c r="AM290" s="7">
        <f t="shared" si="48"/>
        <v>2027</v>
      </c>
      <c r="AN290" s="7" t="str">
        <f t="shared" si="49"/>
        <v>2027 Chip Seal</v>
      </c>
    </row>
    <row r="291" spans="1:40">
      <c r="A291" s="6">
        <v>60305</v>
      </c>
      <c r="B291" s="6" t="s">
        <v>701</v>
      </c>
      <c r="C291" s="6" t="s">
        <v>921</v>
      </c>
      <c r="D291" s="6">
        <v>19.778244000000001</v>
      </c>
      <c r="E291" s="6">
        <v>20.241126999999999</v>
      </c>
      <c r="F291" s="6" t="s">
        <v>710</v>
      </c>
      <c r="G291" s="6" t="s">
        <v>922</v>
      </c>
      <c r="H291" s="35">
        <v>8307</v>
      </c>
      <c r="I291" s="6" t="s">
        <v>44</v>
      </c>
      <c r="J291" s="6">
        <v>21</v>
      </c>
      <c r="K291" s="6">
        <v>2025</v>
      </c>
      <c r="L291" s="6">
        <v>2</v>
      </c>
      <c r="M291" s="6" t="s">
        <v>45</v>
      </c>
      <c r="N291" s="6" t="s">
        <v>250</v>
      </c>
      <c r="O291" s="6" t="s">
        <v>56</v>
      </c>
      <c r="P291" s="6" t="s">
        <v>897</v>
      </c>
      <c r="Q291" s="6" t="s">
        <v>151</v>
      </c>
      <c r="R291" s="35">
        <v>1915</v>
      </c>
      <c r="S291" s="6">
        <v>212</v>
      </c>
      <c r="T291" s="36" t="s">
        <v>50</v>
      </c>
      <c r="U291" s="46">
        <f>IF($L291&lt;=2,
IF($R291&lt;=RpmDesignStandard!$C$2,RpmDesignStandard!$D$2,
IF(AND($R291&gt;RpmDesignStandard!$B$3,$R291&lt;=RpmDesignStandard!$C$3),RpmDesignStandard!$D$3,RpmDesignStandard!$D$4)),
IF($R291&lt;=RpmDesignStandard!$C$5, RpmDesignStandard!$D$5,
IF(AND($R291&gt;RpmDesignStandard!$B$6,$R291&lt;=RpmDesignStandard!$C$6),RpmDesignStandard!$D$6,
IF(AND($R291&gt;RpmDesignStandard!$B$7,$R291&lt;=RpmDesignStandard!$C$7),RpmDesignStandard!$D$7,RpmDesignStandard!$D$8))))</f>
        <v>4</v>
      </c>
      <c r="V291" s="47">
        <f>U291*RpmDesignStandard!$H$1</f>
        <v>8</v>
      </c>
      <c r="W291" s="37" t="str">
        <f>VLOOKUP(A291,RPM_ProjectRecord!A:AB,8,FALSE)</f>
        <v/>
      </c>
      <c r="X291" s="38" t="str">
        <f t="shared" si="40"/>
        <v/>
      </c>
      <c r="Y291" s="38" t="str">
        <f t="shared" si="41"/>
        <v/>
      </c>
      <c r="Z291" s="38" t="str">
        <f t="shared" si="42"/>
        <v/>
      </c>
      <c r="AA291" s="38" t="str">
        <f t="shared" si="43"/>
        <v/>
      </c>
      <c r="AB291" s="38" t="str">
        <f t="shared" si="44"/>
        <v/>
      </c>
      <c r="AC291" s="38" t="str">
        <f>IF(VLOOKUP(A291,'3rdPhaseChipSeal'!A:L,12,FALSE)="","",VLOOKUP(A291,'3rdPhaseChipSeal'!A:L,12,FALSE))</f>
        <v/>
      </c>
      <c r="AD291" s="38" t="str">
        <f>IFERROR(IF(VLOOKUP(A291,RpmContracts!A:C,3,FALSE)="","",VLOOKUP(A291,RpmContracts!A:C,3,FALSE)),"")</f>
        <v/>
      </c>
      <c r="AE291" s="7" t="str">
        <f>IF(VLOOKUP(A291,'20yPlan'!A:B,2,FALSE)="","",VLOOKUP(A291,'20yPlan'!A:B,2,FALSE))</f>
        <v/>
      </c>
      <c r="AF291" s="7" t="str">
        <f>IF(VLOOKUP(A291,'20yPlan'!A:C,3,FALSE)="","",VLOOKUP(A291,'20yPlan'!A:C,3,FALSE))</f>
        <v/>
      </c>
      <c r="AG291" s="7" t="str">
        <f>IF(VLOOKUP(A291,'20yPlan'!A:D,4,FALSE)="","",VLOOKUP(A291,'20yPlan'!A:D,4,FALSE))</f>
        <v/>
      </c>
      <c r="AH291" s="7" t="str">
        <f>IF(VLOOKUP(A291,'20yPlan'!A:E,5,FALSE)="","",VLOOKUP(A291,'20yPlan'!A:E,5,FALSE))</f>
        <v/>
      </c>
      <c r="AI291" s="7" t="str">
        <f>IF(VLOOKUP(A291,'20yPlan'!A:F,6,FALSE)="","",VLOOKUP(A291,'20yPlan'!A:F,6,FALSE))</f>
        <v/>
      </c>
      <c r="AJ291" s="7" t="str">
        <f t="shared" si="45"/>
        <v/>
      </c>
      <c r="AK291" s="7" t="str">
        <f t="shared" si="46"/>
        <v/>
      </c>
      <c r="AL291" s="39">
        <f t="shared" ca="1" si="47"/>
        <v>2025</v>
      </c>
      <c r="AM291" s="7" t="str">
        <f t="shared" si="48"/>
        <v/>
      </c>
      <c r="AN291" s="7" t="str">
        <f t="shared" si="49"/>
        <v/>
      </c>
    </row>
    <row r="292" spans="1:40">
      <c r="A292" s="6">
        <v>60306</v>
      </c>
      <c r="B292" s="6" t="s">
        <v>599</v>
      </c>
      <c r="C292" s="6" t="s">
        <v>923</v>
      </c>
      <c r="D292" s="6">
        <v>51.015478999999999</v>
      </c>
      <c r="E292" s="6">
        <v>52.335059000000001</v>
      </c>
      <c r="F292" s="6" t="s">
        <v>617</v>
      </c>
      <c r="G292" s="6" t="s">
        <v>619</v>
      </c>
      <c r="H292" s="35">
        <v>23462</v>
      </c>
      <c r="I292" s="6" t="s">
        <v>44</v>
      </c>
      <c r="J292" s="6">
        <v>8</v>
      </c>
      <c r="K292" s="6"/>
      <c r="L292" s="6">
        <v>2</v>
      </c>
      <c r="M292" s="6" t="s">
        <v>45</v>
      </c>
      <c r="N292" s="6" t="s">
        <v>250</v>
      </c>
      <c r="O292" s="6" t="s">
        <v>121</v>
      </c>
      <c r="P292" s="6" t="s">
        <v>122</v>
      </c>
      <c r="Q292" s="6" t="s">
        <v>162</v>
      </c>
      <c r="R292" s="35">
        <v>2527</v>
      </c>
      <c r="S292" s="6">
        <v>334</v>
      </c>
      <c r="T292" s="36" t="s">
        <v>50</v>
      </c>
      <c r="U292" s="46">
        <f>IF($L292&lt;=2,
IF($R292&lt;=RpmDesignStandard!$C$2,RpmDesignStandard!$D$2,
IF(AND($R292&gt;RpmDesignStandard!$B$3,$R292&lt;=RpmDesignStandard!$C$3),RpmDesignStandard!$D$3,RpmDesignStandard!$D$4)),
IF($R292&lt;=RpmDesignStandard!$C$5, RpmDesignStandard!$D$5,
IF(AND($R292&gt;RpmDesignStandard!$B$6,$R292&lt;=RpmDesignStandard!$C$6),RpmDesignStandard!$D$6,
IF(AND($R292&gt;RpmDesignStandard!$B$7,$R292&lt;=RpmDesignStandard!$C$7),RpmDesignStandard!$D$7,RpmDesignStandard!$D$8))))</f>
        <v>4</v>
      </c>
      <c r="V292" s="47">
        <f>U292*RpmDesignStandard!$H$1</f>
        <v>8</v>
      </c>
      <c r="W292" s="37" t="str">
        <f>VLOOKUP(A292,RPM_ProjectRecord!A:AB,8,FALSE)</f>
        <v/>
      </c>
      <c r="X292" s="38" t="str">
        <f t="shared" si="40"/>
        <v/>
      </c>
      <c r="Y292" s="38" t="str">
        <f t="shared" si="41"/>
        <v/>
      </c>
      <c r="Z292" s="38" t="str">
        <f t="shared" si="42"/>
        <v/>
      </c>
      <c r="AA292" s="38" t="str">
        <f t="shared" si="43"/>
        <v/>
      </c>
      <c r="AB292" s="38" t="str">
        <f t="shared" si="44"/>
        <v/>
      </c>
      <c r="AC292" s="38" t="str">
        <f>IF(VLOOKUP(A292,'3rdPhaseChipSeal'!A:L,12,FALSE)="","",VLOOKUP(A292,'3rdPhaseChipSeal'!A:L,12,FALSE))</f>
        <v/>
      </c>
      <c r="AD292" s="38" t="str">
        <f>IFERROR(IF(VLOOKUP(A292,RpmContracts!A:C,3,FALSE)="","",VLOOKUP(A292,RpmContracts!A:C,3,FALSE)),"")</f>
        <v/>
      </c>
      <c r="AE292" s="7" t="str">
        <f>IF(VLOOKUP(A292,'20yPlan'!A:B,2,FALSE)="","",VLOOKUP(A292,'20yPlan'!A:B,2,FALSE))</f>
        <v/>
      </c>
      <c r="AF292" s="7" t="str">
        <f>IF(VLOOKUP(A292,'20yPlan'!A:C,3,FALSE)="","",VLOOKUP(A292,'20yPlan'!A:C,3,FALSE))</f>
        <v/>
      </c>
      <c r="AG292" s="7" t="str">
        <f>IF(VLOOKUP(A292,'20yPlan'!A:D,4,FALSE)="","",VLOOKUP(A292,'20yPlan'!A:D,4,FALSE))</f>
        <v/>
      </c>
      <c r="AH292" s="7" t="str">
        <f>IF(VLOOKUP(A292,'20yPlan'!A:E,5,FALSE)="","",VLOOKUP(A292,'20yPlan'!A:E,5,FALSE))</f>
        <v/>
      </c>
      <c r="AI292" s="7" t="str">
        <f>IF(VLOOKUP(A292,'20yPlan'!A:F,6,FALSE)="","",VLOOKUP(A292,'20yPlan'!A:F,6,FALSE))</f>
        <v/>
      </c>
      <c r="AJ292" s="7" t="str">
        <f t="shared" si="45"/>
        <v/>
      </c>
      <c r="AK292" s="7" t="str">
        <f t="shared" si="46"/>
        <v/>
      </c>
      <c r="AL292" s="39">
        <f t="shared" ca="1" si="47"/>
        <v>2025</v>
      </c>
      <c r="AM292" s="7" t="str">
        <f t="shared" si="48"/>
        <v/>
      </c>
      <c r="AN292" s="7" t="str">
        <f t="shared" si="49"/>
        <v/>
      </c>
    </row>
    <row r="293" spans="1:40">
      <c r="A293" s="6">
        <v>60307</v>
      </c>
      <c r="B293" s="6" t="s">
        <v>830</v>
      </c>
      <c r="C293" s="6" t="s">
        <v>924</v>
      </c>
      <c r="D293" s="6">
        <v>13.635641</v>
      </c>
      <c r="E293" s="6">
        <v>15.316148</v>
      </c>
      <c r="F293" s="6" t="s">
        <v>833</v>
      </c>
      <c r="G293" s="6" t="s">
        <v>925</v>
      </c>
      <c r="H293" s="35">
        <v>27464</v>
      </c>
      <c r="I293" s="6" t="s">
        <v>195</v>
      </c>
      <c r="J293" s="6">
        <v>18</v>
      </c>
      <c r="K293" s="6">
        <v>2025</v>
      </c>
      <c r="L293" s="6">
        <v>2</v>
      </c>
      <c r="M293" s="6" t="s">
        <v>45</v>
      </c>
      <c r="N293" s="6" t="s">
        <v>250</v>
      </c>
      <c r="O293" s="6" t="s">
        <v>215</v>
      </c>
      <c r="P293" s="6" t="s">
        <v>694</v>
      </c>
      <c r="Q293" s="6" t="s">
        <v>418</v>
      </c>
      <c r="R293" s="6">
        <v>978</v>
      </c>
      <c r="S293" s="6">
        <v>117</v>
      </c>
      <c r="T293" s="36" t="s">
        <v>50</v>
      </c>
      <c r="U293" s="46">
        <f>IF($L293&lt;=2,
IF($R293&lt;=RpmDesignStandard!$C$2,RpmDesignStandard!$D$2,
IF(AND($R293&gt;RpmDesignStandard!$B$3,$R293&lt;=RpmDesignStandard!$C$3),RpmDesignStandard!$D$3,RpmDesignStandard!$D$4)),
IF($R293&lt;=RpmDesignStandard!$C$5, RpmDesignStandard!$D$5,
IF(AND($R293&gt;RpmDesignStandard!$B$6,$R293&lt;=RpmDesignStandard!$C$6),RpmDesignStandard!$D$6,
IF(AND($R293&gt;RpmDesignStandard!$B$7,$R293&lt;=RpmDesignStandard!$C$7),RpmDesignStandard!$D$7,RpmDesignStandard!$D$8))))</f>
        <v>4</v>
      </c>
      <c r="V293" s="47">
        <f>U293*RpmDesignStandard!$H$1</f>
        <v>8</v>
      </c>
      <c r="W293" s="37" t="str">
        <f>VLOOKUP(A293,RPM_ProjectRecord!A:AB,8,FALSE)</f>
        <v/>
      </c>
      <c r="X293" s="38" t="str">
        <f t="shared" si="40"/>
        <v/>
      </c>
      <c r="Y293" s="38" t="str">
        <f t="shared" si="41"/>
        <v/>
      </c>
      <c r="Z293" s="38" t="str">
        <f t="shared" si="42"/>
        <v/>
      </c>
      <c r="AA293" s="38" t="str">
        <f t="shared" si="43"/>
        <v/>
      </c>
      <c r="AB293" s="38" t="str">
        <f t="shared" si="44"/>
        <v/>
      </c>
      <c r="AC293" s="38">
        <f>IF(VLOOKUP(A293,'3rdPhaseChipSeal'!A:L,12,FALSE)="","",VLOOKUP(A293,'3rdPhaseChipSeal'!A:L,12,FALSE))</f>
        <v>2039</v>
      </c>
      <c r="AD293" s="38" t="str">
        <f>IFERROR(IF(VLOOKUP(A293,RpmContracts!A:C,3,FALSE)="","",VLOOKUP(A293,RpmContracts!A:C,3,FALSE)),"")</f>
        <v/>
      </c>
      <c r="AE293" s="7" t="str">
        <f>IF(VLOOKUP(A293,'20yPlan'!A:B,2,FALSE)="","",VLOOKUP(A293,'20yPlan'!A:B,2,FALSE))</f>
        <v/>
      </c>
      <c r="AF293" s="7" t="str">
        <f>IF(VLOOKUP(A293,'20yPlan'!A:C,3,FALSE)="","",VLOOKUP(A293,'20yPlan'!A:C,3,FALSE))</f>
        <v/>
      </c>
      <c r="AG293" s="7" t="str">
        <f>IF(VLOOKUP(A293,'20yPlan'!A:D,4,FALSE)="","",VLOOKUP(A293,'20yPlan'!A:D,4,FALSE))</f>
        <v/>
      </c>
      <c r="AH293" s="7" t="str">
        <f>IF(VLOOKUP(A293,'20yPlan'!A:E,5,FALSE)="","",VLOOKUP(A293,'20yPlan'!A:E,5,FALSE))</f>
        <v/>
      </c>
      <c r="AI293" s="7" t="str">
        <f>IF(VLOOKUP(A293,'20yPlan'!A:F,6,FALSE)="","",VLOOKUP(A293,'20yPlan'!A:F,6,FALSE))</f>
        <v/>
      </c>
      <c r="AJ293" s="7" t="str">
        <f t="shared" si="45"/>
        <v>2039 Chip Seal</v>
      </c>
      <c r="AK293" s="7" t="str">
        <f t="shared" si="46"/>
        <v/>
      </c>
      <c r="AL293" s="39">
        <f t="shared" ca="1" si="47"/>
        <v>2025</v>
      </c>
      <c r="AM293" s="7" t="str">
        <f t="shared" si="48"/>
        <v/>
      </c>
      <c r="AN293" s="7" t="str">
        <f t="shared" si="49"/>
        <v/>
      </c>
    </row>
    <row r="294" spans="1:40">
      <c r="A294" s="6">
        <v>60308</v>
      </c>
      <c r="B294" s="6" t="s">
        <v>772</v>
      </c>
      <c r="C294" s="6" t="s">
        <v>926</v>
      </c>
      <c r="D294" s="6">
        <v>14.930120000000001</v>
      </c>
      <c r="E294" s="6">
        <v>15.530549000000001</v>
      </c>
      <c r="F294" s="6" t="s">
        <v>779</v>
      </c>
      <c r="G294" s="6" t="s">
        <v>782</v>
      </c>
      <c r="H294" s="35">
        <v>10477</v>
      </c>
      <c r="I294" s="6" t="s">
        <v>195</v>
      </c>
      <c r="J294" s="6">
        <v>16</v>
      </c>
      <c r="K294" s="6"/>
      <c r="L294" s="6">
        <v>2</v>
      </c>
      <c r="M294" s="6" t="s">
        <v>45</v>
      </c>
      <c r="N294" s="6" t="s">
        <v>250</v>
      </c>
      <c r="O294" s="6" t="s">
        <v>130</v>
      </c>
      <c r="P294" s="6" t="s">
        <v>927</v>
      </c>
      <c r="Q294" s="6" t="s">
        <v>132</v>
      </c>
      <c r="R294" s="35">
        <v>2885</v>
      </c>
      <c r="S294" s="6">
        <v>420</v>
      </c>
      <c r="T294" s="36" t="s">
        <v>50</v>
      </c>
      <c r="U294" s="46">
        <f>IF($L294&lt;=2,
IF($R294&lt;=RpmDesignStandard!$C$2,RpmDesignStandard!$D$2,
IF(AND($R294&gt;RpmDesignStandard!$B$3,$R294&lt;=RpmDesignStandard!$C$3),RpmDesignStandard!$D$3,RpmDesignStandard!$D$4)),
IF($R294&lt;=RpmDesignStandard!$C$5, RpmDesignStandard!$D$5,
IF(AND($R294&gt;RpmDesignStandard!$B$6,$R294&lt;=RpmDesignStandard!$C$6),RpmDesignStandard!$D$6,
IF(AND($R294&gt;RpmDesignStandard!$B$7,$R294&lt;=RpmDesignStandard!$C$7),RpmDesignStandard!$D$7,RpmDesignStandard!$D$8))))</f>
        <v>4</v>
      </c>
      <c r="V294" s="47">
        <f>U294*RpmDesignStandard!$H$1</f>
        <v>8</v>
      </c>
      <c r="W294" s="37" t="str">
        <f>VLOOKUP(A294,RPM_ProjectRecord!A:AB,8,FALSE)</f>
        <v/>
      </c>
      <c r="X294" s="38" t="str">
        <f t="shared" si="40"/>
        <v/>
      </c>
      <c r="Y294" s="38" t="str">
        <f t="shared" si="41"/>
        <v/>
      </c>
      <c r="Z294" s="38" t="str">
        <f t="shared" si="42"/>
        <v/>
      </c>
      <c r="AA294" s="38" t="str">
        <f t="shared" si="43"/>
        <v/>
      </c>
      <c r="AB294" s="38" t="str">
        <f t="shared" si="44"/>
        <v/>
      </c>
      <c r="AC294" s="38">
        <f>IF(VLOOKUP(A294,'3rdPhaseChipSeal'!A:L,12,FALSE)="","",VLOOKUP(A294,'3rdPhaseChipSeal'!A:L,12,FALSE))</f>
        <v>2030</v>
      </c>
      <c r="AD294" s="38" t="str">
        <f>IFERROR(IF(VLOOKUP(A294,RpmContracts!A:C,3,FALSE)="","",VLOOKUP(A294,RpmContracts!A:C,3,FALSE)),"")</f>
        <v/>
      </c>
      <c r="AE294" s="7" t="str">
        <f>IF(VLOOKUP(A294,'20yPlan'!A:B,2,FALSE)="","",VLOOKUP(A294,'20yPlan'!A:B,2,FALSE))</f>
        <v/>
      </c>
      <c r="AF294" s="7" t="str">
        <f>IF(VLOOKUP(A294,'20yPlan'!A:C,3,FALSE)="","",VLOOKUP(A294,'20yPlan'!A:C,3,FALSE))</f>
        <v/>
      </c>
      <c r="AG294" s="7" t="str">
        <f>IF(VLOOKUP(A294,'20yPlan'!A:D,4,FALSE)="","",VLOOKUP(A294,'20yPlan'!A:D,4,FALSE))</f>
        <v/>
      </c>
      <c r="AH294" s="7" t="str">
        <f>IF(VLOOKUP(A294,'20yPlan'!A:E,5,FALSE)="","",VLOOKUP(A294,'20yPlan'!A:E,5,FALSE))</f>
        <v/>
      </c>
      <c r="AI294" s="7" t="str">
        <f>IF(VLOOKUP(A294,'20yPlan'!A:F,6,FALSE)="","",VLOOKUP(A294,'20yPlan'!A:F,6,FALSE))</f>
        <v/>
      </c>
      <c r="AJ294" s="7" t="str">
        <f t="shared" si="45"/>
        <v>2030 Chip Seal</v>
      </c>
      <c r="AK294" s="7" t="str">
        <f t="shared" si="46"/>
        <v/>
      </c>
      <c r="AL294" s="39">
        <f t="shared" ca="1" si="47"/>
        <v>2025</v>
      </c>
      <c r="AM294" s="7" t="str">
        <f t="shared" si="48"/>
        <v/>
      </c>
      <c r="AN294" s="7" t="str">
        <f t="shared" si="49"/>
        <v/>
      </c>
    </row>
    <row r="295" spans="1:40">
      <c r="A295" s="6">
        <v>60309</v>
      </c>
      <c r="B295" s="6" t="s">
        <v>772</v>
      </c>
      <c r="C295" s="6" t="s">
        <v>928</v>
      </c>
      <c r="D295" s="6">
        <v>29.246044000000001</v>
      </c>
      <c r="E295" s="6">
        <v>30.244247999999999</v>
      </c>
      <c r="F295" s="6" t="s">
        <v>786</v>
      </c>
      <c r="G295" s="6" t="s">
        <v>788</v>
      </c>
      <c r="H295" s="35">
        <v>22764</v>
      </c>
      <c r="I295" s="6" t="s">
        <v>44</v>
      </c>
      <c r="J295" s="6">
        <v>14</v>
      </c>
      <c r="K295" s="6"/>
      <c r="L295" s="6">
        <v>2</v>
      </c>
      <c r="M295" s="6" t="s">
        <v>45</v>
      </c>
      <c r="N295" s="6" t="s">
        <v>250</v>
      </c>
      <c r="O295" s="6" t="s">
        <v>165</v>
      </c>
      <c r="P295" s="6" t="s">
        <v>236</v>
      </c>
      <c r="Q295" s="6" t="s">
        <v>240</v>
      </c>
      <c r="R295" s="35">
        <v>2049</v>
      </c>
      <c r="S295" s="6">
        <v>299</v>
      </c>
      <c r="T295" s="36" t="s">
        <v>50</v>
      </c>
      <c r="U295" s="46">
        <f>IF($L295&lt;=2,
IF($R295&lt;=RpmDesignStandard!$C$2,RpmDesignStandard!$D$2,
IF(AND($R295&gt;RpmDesignStandard!$B$3,$R295&lt;=RpmDesignStandard!$C$3),RpmDesignStandard!$D$3,RpmDesignStandard!$D$4)),
IF($R295&lt;=RpmDesignStandard!$C$5, RpmDesignStandard!$D$5,
IF(AND($R295&gt;RpmDesignStandard!$B$6,$R295&lt;=RpmDesignStandard!$C$6),RpmDesignStandard!$D$6,
IF(AND($R295&gt;RpmDesignStandard!$B$7,$R295&lt;=RpmDesignStandard!$C$7),RpmDesignStandard!$D$7,RpmDesignStandard!$D$8))))</f>
        <v>4</v>
      </c>
      <c r="V295" s="47">
        <f>U295*RpmDesignStandard!$H$1</f>
        <v>8</v>
      </c>
      <c r="W295" s="37" t="str">
        <f>VLOOKUP(A295,RPM_ProjectRecord!A:AB,8,FALSE)</f>
        <v/>
      </c>
      <c r="X295" s="38" t="str">
        <f t="shared" si="40"/>
        <v/>
      </c>
      <c r="Y295" s="38" t="str">
        <f t="shared" si="41"/>
        <v/>
      </c>
      <c r="Z295" s="38" t="str">
        <f t="shared" si="42"/>
        <v/>
      </c>
      <c r="AA295" s="38" t="str">
        <f t="shared" si="43"/>
        <v/>
      </c>
      <c r="AB295" s="38" t="str">
        <f t="shared" si="44"/>
        <v/>
      </c>
      <c r="AC295" s="38" t="str">
        <f>IF(VLOOKUP(A295,'3rdPhaseChipSeal'!A:L,12,FALSE)="","",VLOOKUP(A295,'3rdPhaseChipSeal'!A:L,12,FALSE))</f>
        <v/>
      </c>
      <c r="AD295" s="38">
        <f>IFERROR(IF(VLOOKUP(A295,RpmContracts!A:C,3,FALSE)="","",VLOOKUP(A295,RpmContracts!A:C,3,FALSE)),"")</f>
        <v>2026</v>
      </c>
      <c r="AE295" s="7" t="str">
        <f>IF(VLOOKUP(A295,'20yPlan'!A:B,2,FALSE)="","",VLOOKUP(A295,'20yPlan'!A:B,2,FALSE))</f>
        <v/>
      </c>
      <c r="AF295" s="7" t="str">
        <f>IF(VLOOKUP(A295,'20yPlan'!A:C,3,FALSE)="","",VLOOKUP(A295,'20yPlan'!A:C,3,FALSE))</f>
        <v/>
      </c>
      <c r="AG295" s="7" t="str">
        <f>IF(VLOOKUP(A295,'20yPlan'!A:D,4,FALSE)="","",VLOOKUP(A295,'20yPlan'!A:D,4,FALSE))</f>
        <v/>
      </c>
      <c r="AH295" s="7" t="str">
        <f>IF(VLOOKUP(A295,'20yPlan'!A:E,5,FALSE)="","",VLOOKUP(A295,'20yPlan'!A:E,5,FALSE))</f>
        <v/>
      </c>
      <c r="AI295" s="7" t="str">
        <f>IF(VLOOKUP(A295,'20yPlan'!A:F,6,FALSE)="","",VLOOKUP(A295,'20yPlan'!A:F,6,FALSE))</f>
        <v/>
      </c>
      <c r="AJ295" s="7" t="str">
        <f t="shared" si="45"/>
        <v/>
      </c>
      <c r="AK295" s="7" t="str">
        <f t="shared" si="46"/>
        <v>2026 RPM Replacement</v>
      </c>
      <c r="AL295" s="39">
        <f t="shared" ca="1" si="47"/>
        <v>2025</v>
      </c>
      <c r="AM295" s="7">
        <f t="shared" si="48"/>
        <v>2026</v>
      </c>
      <c r="AN295" s="7" t="str">
        <f t="shared" si="49"/>
        <v>2026 RPM Replacement</v>
      </c>
    </row>
    <row r="296" spans="1:40">
      <c r="A296" s="6">
        <v>60310</v>
      </c>
      <c r="B296" s="6" t="s">
        <v>137</v>
      </c>
      <c r="C296" s="6" t="s">
        <v>929</v>
      </c>
      <c r="D296" s="6">
        <v>1.057752</v>
      </c>
      <c r="E296" s="6">
        <v>3.762877</v>
      </c>
      <c r="F296" s="6" t="s">
        <v>140</v>
      </c>
      <c r="G296" s="6" t="s">
        <v>930</v>
      </c>
      <c r="H296" s="35">
        <v>124900</v>
      </c>
      <c r="I296" s="6" t="s">
        <v>141</v>
      </c>
      <c r="J296" s="6">
        <v>6</v>
      </c>
      <c r="K296" s="6"/>
      <c r="L296" s="6">
        <v>4</v>
      </c>
      <c r="M296" s="6" t="s">
        <v>45</v>
      </c>
      <c r="N296" s="6" t="s">
        <v>46</v>
      </c>
      <c r="O296" s="6" t="s">
        <v>61</v>
      </c>
      <c r="P296" s="6" t="s">
        <v>106</v>
      </c>
      <c r="Q296" s="6" t="s">
        <v>107</v>
      </c>
      <c r="R296" s="35">
        <v>31107</v>
      </c>
      <c r="S296" s="35">
        <v>3840</v>
      </c>
      <c r="T296" s="36" t="s">
        <v>50</v>
      </c>
      <c r="U296" s="46">
        <f>IF($L296&lt;=2,
IF($R296&lt;=RpmDesignStandard!$C$2,RpmDesignStandard!$D$2,
IF(AND($R296&gt;RpmDesignStandard!$B$3,$R296&lt;=RpmDesignStandard!$C$3),RpmDesignStandard!$D$3,RpmDesignStandard!$D$4)),
IF($R296&lt;=RpmDesignStandard!$C$5, RpmDesignStandard!$D$5,
IF(AND($R296&gt;RpmDesignStandard!$B$6,$R296&lt;=RpmDesignStandard!$C$6),RpmDesignStandard!$D$6,
IF(AND($R296&gt;RpmDesignStandard!$B$7,$R296&lt;=RpmDesignStandard!$C$7),RpmDesignStandard!$D$7,RpmDesignStandard!$D$8))))</f>
        <v>2</v>
      </c>
      <c r="V296" s="47">
        <f>U296*RpmDesignStandard!$H$1</f>
        <v>4</v>
      </c>
      <c r="W296" s="37" t="str">
        <f>VLOOKUP(A296,RPM_ProjectRecord!A:AB,8,FALSE)</f>
        <v/>
      </c>
      <c r="X296" s="38" t="str">
        <f t="shared" si="40"/>
        <v/>
      </c>
      <c r="Y296" s="38" t="str">
        <f t="shared" si="41"/>
        <v/>
      </c>
      <c r="Z296" s="38" t="str">
        <f t="shared" si="42"/>
        <v/>
      </c>
      <c r="AA296" s="38" t="str">
        <f t="shared" si="43"/>
        <v/>
      </c>
      <c r="AB296" s="38" t="str">
        <f t="shared" si="44"/>
        <v/>
      </c>
      <c r="AC296" s="38" t="str">
        <f>IF(VLOOKUP(A296,'3rdPhaseChipSeal'!A:L,12,FALSE)="","",VLOOKUP(A296,'3rdPhaseChipSeal'!A:L,12,FALSE))</f>
        <v/>
      </c>
      <c r="AD296" s="38" t="str">
        <f>IFERROR(IF(VLOOKUP(A296,RpmContracts!A:C,3,FALSE)="","",VLOOKUP(A296,RpmContracts!A:C,3,FALSE)),"")</f>
        <v/>
      </c>
      <c r="AE296" s="7" t="str">
        <f>IF(VLOOKUP(A296,'20yPlan'!A:B,2,FALSE)="","",VLOOKUP(A296,'20yPlan'!A:B,2,FALSE))</f>
        <v/>
      </c>
      <c r="AF296" s="7" t="str">
        <f>IF(VLOOKUP(A296,'20yPlan'!A:C,3,FALSE)="","",VLOOKUP(A296,'20yPlan'!A:C,3,FALSE))</f>
        <v/>
      </c>
      <c r="AG296" s="7" t="str">
        <f>IF(VLOOKUP(A296,'20yPlan'!A:D,4,FALSE)="","",VLOOKUP(A296,'20yPlan'!A:D,4,FALSE))</f>
        <v/>
      </c>
      <c r="AH296" s="7" t="str">
        <f>IF(VLOOKUP(A296,'20yPlan'!A:E,5,FALSE)="","",VLOOKUP(A296,'20yPlan'!A:E,5,FALSE))</f>
        <v/>
      </c>
      <c r="AI296" s="7" t="str">
        <f>IF(VLOOKUP(A296,'20yPlan'!A:F,6,FALSE)="","",VLOOKUP(A296,'20yPlan'!A:F,6,FALSE))</f>
        <v/>
      </c>
      <c r="AJ296" s="7" t="str">
        <f t="shared" si="45"/>
        <v/>
      </c>
      <c r="AK296" s="7" t="str">
        <f t="shared" si="46"/>
        <v/>
      </c>
      <c r="AL296" s="39">
        <f t="shared" ca="1" si="47"/>
        <v>2025</v>
      </c>
      <c r="AM296" s="7" t="str">
        <f t="shared" si="48"/>
        <v/>
      </c>
      <c r="AN296" s="7" t="str">
        <f t="shared" si="49"/>
        <v/>
      </c>
    </row>
    <row r="297" spans="1:40">
      <c r="A297" s="6">
        <v>60311</v>
      </c>
      <c r="B297" s="6" t="s">
        <v>137</v>
      </c>
      <c r="C297" s="6" t="s">
        <v>931</v>
      </c>
      <c r="D297" s="6">
        <v>3.762877</v>
      </c>
      <c r="E297" s="6">
        <v>6.0641590000000001</v>
      </c>
      <c r="F297" s="6" t="s">
        <v>930</v>
      </c>
      <c r="G297" s="6" t="s">
        <v>932</v>
      </c>
      <c r="H297" s="35">
        <v>123957</v>
      </c>
      <c r="I297" s="6" t="s">
        <v>141</v>
      </c>
      <c r="J297" s="6">
        <v>6</v>
      </c>
      <c r="K297" s="6">
        <v>2023</v>
      </c>
      <c r="L297" s="6">
        <v>6</v>
      </c>
      <c r="M297" s="6" t="s">
        <v>45</v>
      </c>
      <c r="N297" s="6" t="s">
        <v>46</v>
      </c>
      <c r="O297" s="6" t="s">
        <v>61</v>
      </c>
      <c r="P297" s="6" t="s">
        <v>106</v>
      </c>
      <c r="Q297" s="6" t="s">
        <v>107</v>
      </c>
      <c r="R297" s="35">
        <v>32484</v>
      </c>
      <c r="S297" s="35">
        <v>3879</v>
      </c>
      <c r="T297" s="36" t="s">
        <v>50</v>
      </c>
      <c r="U297" s="46">
        <f>IF($L297&lt;=2,
IF($R297&lt;=RpmDesignStandard!$C$2,RpmDesignStandard!$D$2,
IF(AND($R297&gt;RpmDesignStandard!$B$3,$R297&lt;=RpmDesignStandard!$C$3),RpmDesignStandard!$D$3,RpmDesignStandard!$D$4)),
IF($R297&lt;=RpmDesignStandard!$C$5, RpmDesignStandard!$D$5,
IF(AND($R297&gt;RpmDesignStandard!$B$6,$R297&lt;=RpmDesignStandard!$C$6),RpmDesignStandard!$D$6,
IF(AND($R297&gt;RpmDesignStandard!$B$7,$R297&lt;=RpmDesignStandard!$C$7),RpmDesignStandard!$D$7,RpmDesignStandard!$D$8))))</f>
        <v>2</v>
      </c>
      <c r="V297" s="47">
        <f>U297*RpmDesignStandard!$H$1</f>
        <v>4</v>
      </c>
      <c r="W297" s="37">
        <f>VLOOKUP(A297,RPM_ProjectRecord!A:AB,8,FALSE)</f>
        <v>2023</v>
      </c>
      <c r="X297" s="38" t="str">
        <f t="shared" si="40"/>
        <v/>
      </c>
      <c r="Y297" s="38" t="str">
        <f t="shared" si="41"/>
        <v/>
      </c>
      <c r="Z297" s="38" t="str">
        <f t="shared" si="42"/>
        <v/>
      </c>
      <c r="AA297" s="38" t="str">
        <f t="shared" si="43"/>
        <v/>
      </c>
      <c r="AB297" s="38" t="str">
        <f t="shared" si="44"/>
        <v/>
      </c>
      <c r="AC297" s="38" t="str">
        <f>IF(VLOOKUP(A297,'3rdPhaseChipSeal'!A:L,12,FALSE)="","",VLOOKUP(A297,'3rdPhaseChipSeal'!A:L,12,FALSE))</f>
        <v/>
      </c>
      <c r="AD297" s="38" t="str">
        <f>IFERROR(IF(VLOOKUP(A297,RpmContracts!A:C,3,FALSE)="","",VLOOKUP(A297,RpmContracts!A:C,3,FALSE)),"")</f>
        <v/>
      </c>
      <c r="AE297" s="7" t="str">
        <f>IF(VLOOKUP(A297,'20yPlan'!A:B,2,FALSE)="","",VLOOKUP(A297,'20yPlan'!A:B,2,FALSE))</f>
        <v/>
      </c>
      <c r="AF297" s="7" t="str">
        <f>IF(VLOOKUP(A297,'20yPlan'!A:C,3,FALSE)="","",VLOOKUP(A297,'20yPlan'!A:C,3,FALSE))</f>
        <v/>
      </c>
      <c r="AG297" s="7" t="str">
        <f>IF(VLOOKUP(A297,'20yPlan'!A:D,4,FALSE)="","",VLOOKUP(A297,'20yPlan'!A:D,4,FALSE))</f>
        <v/>
      </c>
      <c r="AH297" s="7" t="str">
        <f>IF(VLOOKUP(A297,'20yPlan'!A:E,5,FALSE)="","",VLOOKUP(A297,'20yPlan'!A:E,5,FALSE))</f>
        <v/>
      </c>
      <c r="AI297" s="7" t="str">
        <f>IF(VLOOKUP(A297,'20yPlan'!A:F,6,FALSE)="","",VLOOKUP(A297,'20yPlan'!A:F,6,FALSE))</f>
        <v/>
      </c>
      <c r="AJ297" s="7" t="str">
        <f t="shared" si="45"/>
        <v/>
      </c>
      <c r="AK297" s="7" t="str">
        <f t="shared" si="46"/>
        <v/>
      </c>
      <c r="AL297" s="39">
        <f t="shared" ca="1" si="47"/>
        <v>2025</v>
      </c>
      <c r="AM297" s="7" t="str">
        <f t="shared" si="48"/>
        <v/>
      </c>
      <c r="AN297" s="7" t="str">
        <f t="shared" si="49"/>
        <v/>
      </c>
    </row>
    <row r="298" spans="1:40">
      <c r="A298" s="6">
        <v>60312</v>
      </c>
      <c r="B298" s="6" t="s">
        <v>137</v>
      </c>
      <c r="C298" s="6" t="s">
        <v>933</v>
      </c>
      <c r="D298" s="6">
        <v>6.0641590000000001</v>
      </c>
      <c r="E298" s="6">
        <v>8.9040900000000001</v>
      </c>
      <c r="F298" s="6" t="s">
        <v>932</v>
      </c>
      <c r="G298" s="6" t="s">
        <v>143</v>
      </c>
      <c r="H298" s="35">
        <v>150120</v>
      </c>
      <c r="I298" s="6" t="s">
        <v>141</v>
      </c>
      <c r="J298" s="6">
        <v>6</v>
      </c>
      <c r="K298" s="6"/>
      <c r="L298" s="6">
        <v>4</v>
      </c>
      <c r="M298" s="6" t="s">
        <v>45</v>
      </c>
      <c r="N298" s="6" t="s">
        <v>46</v>
      </c>
      <c r="O298" s="6" t="s">
        <v>61</v>
      </c>
      <c r="P298" s="6" t="s">
        <v>705</v>
      </c>
      <c r="Q298" s="6" t="s">
        <v>107</v>
      </c>
      <c r="R298" s="35">
        <v>34475</v>
      </c>
      <c r="S298" s="35">
        <v>3945</v>
      </c>
      <c r="T298" s="36" t="s">
        <v>50</v>
      </c>
      <c r="U298" s="46">
        <f>IF($L298&lt;=2,
IF($R298&lt;=RpmDesignStandard!$C$2,RpmDesignStandard!$D$2,
IF(AND($R298&gt;RpmDesignStandard!$B$3,$R298&lt;=RpmDesignStandard!$C$3),RpmDesignStandard!$D$3,RpmDesignStandard!$D$4)),
IF($R298&lt;=RpmDesignStandard!$C$5, RpmDesignStandard!$D$5,
IF(AND($R298&gt;RpmDesignStandard!$B$6,$R298&lt;=RpmDesignStandard!$C$6),RpmDesignStandard!$D$6,
IF(AND($R298&gt;RpmDesignStandard!$B$7,$R298&lt;=RpmDesignStandard!$C$7),RpmDesignStandard!$D$7,RpmDesignStandard!$D$8))))</f>
        <v>2</v>
      </c>
      <c r="V298" s="47">
        <f>U298*RpmDesignStandard!$H$1</f>
        <v>4</v>
      </c>
      <c r="W298" s="37">
        <f>VLOOKUP(A298,RPM_ProjectRecord!A:AB,8,FALSE)</f>
        <v>2025</v>
      </c>
      <c r="X298" s="38" t="str">
        <f t="shared" si="40"/>
        <v/>
      </c>
      <c r="Y298" s="38" t="str">
        <f t="shared" si="41"/>
        <v/>
      </c>
      <c r="Z298" s="38" t="str">
        <f t="shared" si="42"/>
        <v/>
      </c>
      <c r="AA298" s="38" t="str">
        <f t="shared" si="43"/>
        <v/>
      </c>
      <c r="AB298" s="38" t="str">
        <f t="shared" si="44"/>
        <v/>
      </c>
      <c r="AC298" s="38" t="str">
        <f>IF(VLOOKUP(A298,'3rdPhaseChipSeal'!A:L,12,FALSE)="","",VLOOKUP(A298,'3rdPhaseChipSeal'!A:L,12,FALSE))</f>
        <v/>
      </c>
      <c r="AD298" s="38" t="str">
        <f>IFERROR(IF(VLOOKUP(A298,RpmContracts!A:C,3,FALSE)="","",VLOOKUP(A298,RpmContracts!A:C,3,FALSE)),"")</f>
        <v/>
      </c>
      <c r="AE298" s="7" t="str">
        <f>IF(VLOOKUP(A298,'20yPlan'!A:B,2,FALSE)="","",VLOOKUP(A298,'20yPlan'!A:B,2,FALSE))</f>
        <v/>
      </c>
      <c r="AF298" s="7" t="str">
        <f>IF(VLOOKUP(A298,'20yPlan'!A:C,3,FALSE)="","",VLOOKUP(A298,'20yPlan'!A:C,3,FALSE))</f>
        <v/>
      </c>
      <c r="AG298" s="7" t="str">
        <f>IF(VLOOKUP(A298,'20yPlan'!A:D,4,FALSE)="","",VLOOKUP(A298,'20yPlan'!A:D,4,FALSE))</f>
        <v/>
      </c>
      <c r="AH298" s="7" t="str">
        <f>IF(VLOOKUP(A298,'20yPlan'!A:E,5,FALSE)="","",VLOOKUP(A298,'20yPlan'!A:E,5,FALSE))</f>
        <v/>
      </c>
      <c r="AI298" s="7" t="str">
        <f>IF(VLOOKUP(A298,'20yPlan'!A:F,6,FALSE)="","",VLOOKUP(A298,'20yPlan'!A:F,6,FALSE))</f>
        <v/>
      </c>
      <c r="AJ298" s="7" t="str">
        <f t="shared" si="45"/>
        <v/>
      </c>
      <c r="AK298" s="7" t="str">
        <f t="shared" si="46"/>
        <v/>
      </c>
      <c r="AL298" s="39">
        <f t="shared" ca="1" si="47"/>
        <v>2027</v>
      </c>
      <c r="AM298" s="7" t="str">
        <f t="shared" si="48"/>
        <v/>
      </c>
      <c r="AN298" s="7" t="str">
        <f t="shared" si="49"/>
        <v/>
      </c>
    </row>
    <row r="299" spans="1:40">
      <c r="A299" s="6">
        <v>60313</v>
      </c>
      <c r="B299" s="6" t="s">
        <v>621</v>
      </c>
      <c r="C299" s="6" t="s">
        <v>934</v>
      </c>
      <c r="D299" s="6">
        <v>22.630545999999999</v>
      </c>
      <c r="E299" s="6">
        <v>25.508597000000002</v>
      </c>
      <c r="F299" s="6" t="s">
        <v>635</v>
      </c>
      <c r="G299" s="6" t="s">
        <v>862</v>
      </c>
      <c r="H299" s="35">
        <v>144643</v>
      </c>
      <c r="I299" s="6" t="s">
        <v>141</v>
      </c>
      <c r="J299" s="6">
        <v>4</v>
      </c>
      <c r="K299" s="6">
        <v>2024</v>
      </c>
      <c r="L299" s="6">
        <v>4</v>
      </c>
      <c r="M299" s="6" t="s">
        <v>45</v>
      </c>
      <c r="N299" s="6" t="s">
        <v>46</v>
      </c>
      <c r="O299" s="6" t="s">
        <v>61</v>
      </c>
      <c r="P299" s="6" t="s">
        <v>106</v>
      </c>
      <c r="Q299" s="6" t="s">
        <v>107</v>
      </c>
      <c r="R299" s="35">
        <v>39653</v>
      </c>
      <c r="S299" s="35">
        <v>2010</v>
      </c>
      <c r="T299" s="36" t="s">
        <v>50</v>
      </c>
      <c r="U299" s="46">
        <f>IF($L299&lt;=2,
IF($R299&lt;=RpmDesignStandard!$C$2,RpmDesignStandard!$D$2,
IF(AND($R299&gt;RpmDesignStandard!$B$3,$R299&lt;=RpmDesignStandard!$C$3),RpmDesignStandard!$D$3,RpmDesignStandard!$D$4)),
IF($R299&lt;=RpmDesignStandard!$C$5, RpmDesignStandard!$D$5,
IF(AND($R299&gt;RpmDesignStandard!$B$6,$R299&lt;=RpmDesignStandard!$C$6),RpmDesignStandard!$D$6,
IF(AND($R299&gt;RpmDesignStandard!$B$7,$R299&lt;=RpmDesignStandard!$C$7),RpmDesignStandard!$D$7,RpmDesignStandard!$D$8))))</f>
        <v>2</v>
      </c>
      <c r="V299" s="47">
        <f>U299*RpmDesignStandard!$H$1</f>
        <v>4</v>
      </c>
      <c r="W299" s="37" t="str">
        <f>VLOOKUP(A299,RPM_ProjectRecord!A:AB,8,FALSE)</f>
        <v/>
      </c>
      <c r="X299" s="38">
        <f t="shared" si="40"/>
        <v>2042</v>
      </c>
      <c r="Y299" s="38" t="str">
        <f t="shared" si="41"/>
        <v/>
      </c>
      <c r="Z299" s="38" t="str">
        <f t="shared" si="42"/>
        <v/>
      </c>
      <c r="AA299" s="38" t="str">
        <f t="shared" si="43"/>
        <v/>
      </c>
      <c r="AB299" s="38" t="str">
        <f t="shared" si="44"/>
        <v/>
      </c>
      <c r="AC299" s="38" t="str">
        <f>IF(VLOOKUP(A299,'3rdPhaseChipSeal'!A:L,12,FALSE)="","",VLOOKUP(A299,'3rdPhaseChipSeal'!A:L,12,FALSE))</f>
        <v/>
      </c>
      <c r="AD299" s="38" t="str">
        <f>IFERROR(IF(VLOOKUP(A299,RpmContracts!A:C,3,FALSE)="","",VLOOKUP(A299,RpmContracts!A:C,3,FALSE)),"")</f>
        <v/>
      </c>
      <c r="AE299" s="7" t="str">
        <f>IF(VLOOKUP(A299,'20yPlan'!A:B,2,FALSE)="","",VLOOKUP(A299,'20yPlan'!A:B,2,FALSE))</f>
        <v>2042 Preventive Maintenance</v>
      </c>
      <c r="AF299" s="7" t="str">
        <f>IF(VLOOKUP(A299,'20yPlan'!A:C,3,FALSE)="","",VLOOKUP(A299,'20yPlan'!A:C,3,FALSE))</f>
        <v/>
      </c>
      <c r="AG299" s="7" t="str">
        <f>IF(VLOOKUP(A299,'20yPlan'!A:D,4,FALSE)="","",VLOOKUP(A299,'20yPlan'!A:D,4,FALSE))</f>
        <v/>
      </c>
      <c r="AH299" s="7" t="str">
        <f>IF(VLOOKUP(A299,'20yPlan'!A:E,5,FALSE)="","",VLOOKUP(A299,'20yPlan'!A:E,5,FALSE))</f>
        <v/>
      </c>
      <c r="AI299" s="7" t="str">
        <f>IF(VLOOKUP(A299,'20yPlan'!A:F,6,FALSE)="","",VLOOKUP(A299,'20yPlan'!A:F,6,FALSE))</f>
        <v/>
      </c>
      <c r="AJ299" s="7" t="str">
        <f t="shared" si="45"/>
        <v/>
      </c>
      <c r="AK299" s="7" t="str">
        <f t="shared" si="46"/>
        <v/>
      </c>
      <c r="AL299" s="39">
        <f t="shared" ca="1" si="47"/>
        <v>2025</v>
      </c>
      <c r="AM299" s="7" t="str">
        <f t="shared" si="48"/>
        <v/>
      </c>
      <c r="AN299" s="7" t="str">
        <f t="shared" si="49"/>
        <v/>
      </c>
    </row>
    <row r="300" spans="1:40">
      <c r="A300" s="6">
        <v>60315</v>
      </c>
      <c r="B300" s="6" t="s">
        <v>360</v>
      </c>
      <c r="C300" s="6" t="s">
        <v>935</v>
      </c>
      <c r="D300" s="6">
        <v>4.9249369999999999</v>
      </c>
      <c r="E300" s="6">
        <v>8.1373429999999995</v>
      </c>
      <c r="F300" s="6" t="s">
        <v>363</v>
      </c>
      <c r="G300" s="6" t="s">
        <v>936</v>
      </c>
      <c r="H300" s="35">
        <v>33270</v>
      </c>
      <c r="I300" s="6" t="s">
        <v>195</v>
      </c>
      <c r="J300" s="6">
        <v>5</v>
      </c>
      <c r="K300" s="6">
        <v>2027</v>
      </c>
      <c r="L300" s="6">
        <v>2</v>
      </c>
      <c r="M300" s="6" t="s">
        <v>45</v>
      </c>
      <c r="N300" s="6" t="s">
        <v>250</v>
      </c>
      <c r="O300" s="6" t="s">
        <v>79</v>
      </c>
      <c r="P300" s="6" t="s">
        <v>80</v>
      </c>
      <c r="Q300" s="6" t="s">
        <v>321</v>
      </c>
      <c r="R300" s="35">
        <v>2894</v>
      </c>
      <c r="S300" s="6">
        <v>212</v>
      </c>
      <c r="T300" s="36" t="s">
        <v>253</v>
      </c>
      <c r="U300" s="46">
        <f>IF($L300&lt;=2,
IF($R300&lt;=RpmDesignStandard!$C$2,RpmDesignStandard!$D$2,
IF(AND($R300&gt;RpmDesignStandard!$B$3,$R300&lt;=RpmDesignStandard!$C$3),RpmDesignStandard!$D$3,RpmDesignStandard!$D$4)),
IF($R300&lt;=RpmDesignStandard!$C$5, RpmDesignStandard!$D$5,
IF(AND($R300&gt;RpmDesignStandard!$B$6,$R300&lt;=RpmDesignStandard!$C$6),RpmDesignStandard!$D$6,
IF(AND($R300&gt;RpmDesignStandard!$B$7,$R300&lt;=RpmDesignStandard!$C$7),RpmDesignStandard!$D$7,RpmDesignStandard!$D$8))))</f>
        <v>4</v>
      </c>
      <c r="V300" s="47">
        <f>U300*RpmDesignStandard!$H$1</f>
        <v>8</v>
      </c>
      <c r="W300" s="37" t="str">
        <f>VLOOKUP(A300,RPM_ProjectRecord!A:AB,8,FALSE)</f>
        <v/>
      </c>
      <c r="X300" s="38" t="str">
        <f t="shared" si="40"/>
        <v/>
      </c>
      <c r="Y300" s="38" t="str">
        <f t="shared" si="41"/>
        <v/>
      </c>
      <c r="Z300" s="38" t="str">
        <f t="shared" si="42"/>
        <v/>
      </c>
      <c r="AA300" s="38" t="str">
        <f t="shared" si="43"/>
        <v/>
      </c>
      <c r="AB300" s="38" t="str">
        <f t="shared" si="44"/>
        <v/>
      </c>
      <c r="AC300" s="38">
        <f>IF(VLOOKUP(A300,'3rdPhaseChipSeal'!A:L,12,FALSE)="","",VLOOKUP(A300,'3rdPhaseChipSeal'!A:L,12,FALSE))</f>
        <v>2041</v>
      </c>
      <c r="AD300" s="38" t="str">
        <f>IFERROR(IF(VLOOKUP(A300,RpmContracts!A:C,3,FALSE)="","",VLOOKUP(A300,RpmContracts!A:C,3,FALSE)),"")</f>
        <v/>
      </c>
      <c r="AE300" s="7" t="str">
        <f>IF(VLOOKUP(A300,'20yPlan'!A:B,2,FALSE)="","",VLOOKUP(A300,'20yPlan'!A:B,2,FALSE))</f>
        <v/>
      </c>
      <c r="AF300" s="7" t="str">
        <f>IF(VLOOKUP(A300,'20yPlan'!A:C,3,FALSE)="","",VLOOKUP(A300,'20yPlan'!A:C,3,FALSE))</f>
        <v/>
      </c>
      <c r="AG300" s="7" t="str">
        <f>IF(VLOOKUP(A300,'20yPlan'!A:D,4,FALSE)="","",VLOOKUP(A300,'20yPlan'!A:D,4,FALSE))</f>
        <v/>
      </c>
      <c r="AH300" s="7" t="str">
        <f>IF(VLOOKUP(A300,'20yPlan'!A:E,5,FALSE)="","",VLOOKUP(A300,'20yPlan'!A:E,5,FALSE))</f>
        <v/>
      </c>
      <c r="AI300" s="7" t="str">
        <f>IF(VLOOKUP(A300,'20yPlan'!A:F,6,FALSE)="","",VLOOKUP(A300,'20yPlan'!A:F,6,FALSE))</f>
        <v/>
      </c>
      <c r="AJ300" s="7" t="str">
        <f t="shared" si="45"/>
        <v>2041 Chip Seal</v>
      </c>
      <c r="AK300" s="7" t="str">
        <f t="shared" si="46"/>
        <v/>
      </c>
      <c r="AL300" s="39">
        <f t="shared" ca="1" si="47"/>
        <v>2025</v>
      </c>
      <c r="AM300" s="7" t="str">
        <f t="shared" si="48"/>
        <v/>
      </c>
      <c r="AN300" s="7" t="str">
        <f t="shared" si="49"/>
        <v/>
      </c>
    </row>
    <row r="301" spans="1:40">
      <c r="A301" s="6">
        <v>60316</v>
      </c>
      <c r="B301" s="6" t="s">
        <v>367</v>
      </c>
      <c r="C301" s="6" t="s">
        <v>937</v>
      </c>
      <c r="D301" s="6">
        <v>30.452518999999999</v>
      </c>
      <c r="E301" s="6">
        <v>31.658584000000001</v>
      </c>
      <c r="F301" s="6" t="s">
        <v>938</v>
      </c>
      <c r="G301" s="6" t="s">
        <v>939</v>
      </c>
      <c r="H301" s="35">
        <v>22646</v>
      </c>
      <c r="I301" s="6" t="s">
        <v>195</v>
      </c>
      <c r="J301" s="6">
        <v>4</v>
      </c>
      <c r="K301" s="6">
        <v>2029</v>
      </c>
      <c r="L301" s="6">
        <v>2</v>
      </c>
      <c r="M301" s="6" t="s">
        <v>45</v>
      </c>
      <c r="N301" s="6" t="s">
        <v>250</v>
      </c>
      <c r="O301" s="6" t="s">
        <v>121</v>
      </c>
      <c r="P301" s="6" t="s">
        <v>126</v>
      </c>
      <c r="Q301" s="6" t="s">
        <v>132</v>
      </c>
      <c r="R301" s="35">
        <v>3481</v>
      </c>
      <c r="S301" s="6">
        <v>538</v>
      </c>
      <c r="T301" s="36" t="s">
        <v>253</v>
      </c>
      <c r="U301" s="46">
        <f>IF($L301&lt;=2,
IF($R301&lt;=RpmDesignStandard!$C$2,RpmDesignStandard!$D$2,
IF(AND($R301&gt;RpmDesignStandard!$B$3,$R301&lt;=RpmDesignStandard!$C$3),RpmDesignStandard!$D$3,RpmDesignStandard!$D$4)),
IF($R301&lt;=RpmDesignStandard!$C$5, RpmDesignStandard!$D$5,
IF(AND($R301&gt;RpmDesignStandard!$B$6,$R301&lt;=RpmDesignStandard!$C$6),RpmDesignStandard!$D$6,
IF(AND($R301&gt;RpmDesignStandard!$B$7,$R301&lt;=RpmDesignStandard!$C$7),RpmDesignStandard!$D$7,RpmDesignStandard!$D$8))))</f>
        <v>4</v>
      </c>
      <c r="V301" s="47">
        <f>U301*RpmDesignStandard!$H$1</f>
        <v>8</v>
      </c>
      <c r="W301" s="37" t="str">
        <f>VLOOKUP(A301,RPM_ProjectRecord!A:AB,8,FALSE)</f>
        <v/>
      </c>
      <c r="X301" s="38" t="str">
        <f t="shared" si="40"/>
        <v/>
      </c>
      <c r="Y301" s="38" t="str">
        <f t="shared" si="41"/>
        <v/>
      </c>
      <c r="Z301" s="38" t="str">
        <f t="shared" si="42"/>
        <v/>
      </c>
      <c r="AA301" s="38" t="str">
        <f t="shared" si="43"/>
        <v/>
      </c>
      <c r="AB301" s="38" t="str">
        <f t="shared" si="44"/>
        <v/>
      </c>
      <c r="AC301" s="38">
        <f>IF(VLOOKUP(A301,'3rdPhaseChipSeal'!A:L,12,FALSE)="","",VLOOKUP(A301,'3rdPhaseChipSeal'!A:L,12,FALSE))</f>
        <v>2043</v>
      </c>
      <c r="AD301" s="38" t="str">
        <f>IFERROR(IF(VLOOKUP(A301,RpmContracts!A:C,3,FALSE)="","",VLOOKUP(A301,RpmContracts!A:C,3,FALSE)),"")</f>
        <v/>
      </c>
      <c r="AE301" s="7" t="str">
        <f>IF(VLOOKUP(A301,'20yPlan'!A:B,2,FALSE)="","",VLOOKUP(A301,'20yPlan'!A:B,2,FALSE))</f>
        <v/>
      </c>
      <c r="AF301" s="7" t="str">
        <f>IF(VLOOKUP(A301,'20yPlan'!A:C,3,FALSE)="","",VLOOKUP(A301,'20yPlan'!A:C,3,FALSE))</f>
        <v/>
      </c>
      <c r="AG301" s="7" t="str">
        <f>IF(VLOOKUP(A301,'20yPlan'!A:D,4,FALSE)="","",VLOOKUP(A301,'20yPlan'!A:D,4,FALSE))</f>
        <v/>
      </c>
      <c r="AH301" s="7" t="str">
        <f>IF(VLOOKUP(A301,'20yPlan'!A:E,5,FALSE)="","",VLOOKUP(A301,'20yPlan'!A:E,5,FALSE))</f>
        <v/>
      </c>
      <c r="AI301" s="7" t="str">
        <f>IF(VLOOKUP(A301,'20yPlan'!A:F,6,FALSE)="","",VLOOKUP(A301,'20yPlan'!A:F,6,FALSE))</f>
        <v/>
      </c>
      <c r="AJ301" s="7" t="str">
        <f t="shared" si="45"/>
        <v>2043 Chip Seal</v>
      </c>
      <c r="AK301" s="7" t="str">
        <f t="shared" si="46"/>
        <v/>
      </c>
      <c r="AL301" s="39">
        <f t="shared" ca="1" si="47"/>
        <v>2025</v>
      </c>
      <c r="AM301" s="7" t="str">
        <f t="shared" si="48"/>
        <v/>
      </c>
      <c r="AN301" s="7" t="str">
        <f t="shared" si="49"/>
        <v/>
      </c>
    </row>
    <row r="302" spans="1:40">
      <c r="A302" s="6">
        <v>60317</v>
      </c>
      <c r="B302" s="6" t="s">
        <v>410</v>
      </c>
      <c r="C302" s="6" t="s">
        <v>940</v>
      </c>
      <c r="D302" s="6">
        <v>76.252447000000004</v>
      </c>
      <c r="E302" s="6">
        <v>83.276300000000006</v>
      </c>
      <c r="F302" s="6" t="s">
        <v>429</v>
      </c>
      <c r="G302" s="6" t="s">
        <v>941</v>
      </c>
      <c r="H302" s="35">
        <v>308473</v>
      </c>
      <c r="I302" s="6" t="s">
        <v>141</v>
      </c>
      <c r="J302" s="6">
        <v>10</v>
      </c>
      <c r="K302" s="6"/>
      <c r="L302" s="6">
        <v>4</v>
      </c>
      <c r="M302" s="6" t="s">
        <v>45</v>
      </c>
      <c r="N302" s="6" t="s">
        <v>46</v>
      </c>
      <c r="O302" s="6" t="s">
        <v>196</v>
      </c>
      <c r="P302" s="6" t="s">
        <v>201</v>
      </c>
      <c r="Q302" s="6" t="s">
        <v>198</v>
      </c>
      <c r="R302" s="35">
        <v>21086</v>
      </c>
      <c r="S302" s="35">
        <v>1532</v>
      </c>
      <c r="T302" s="36" t="s">
        <v>50</v>
      </c>
      <c r="U302" s="46">
        <f>IF($L302&lt;=2,
IF($R302&lt;=RpmDesignStandard!$C$2,RpmDesignStandard!$D$2,
IF(AND($R302&gt;RpmDesignStandard!$B$3,$R302&lt;=RpmDesignStandard!$C$3),RpmDesignStandard!$D$3,RpmDesignStandard!$D$4)),
IF($R302&lt;=RpmDesignStandard!$C$5, RpmDesignStandard!$D$5,
IF(AND($R302&gt;RpmDesignStandard!$B$6,$R302&lt;=RpmDesignStandard!$C$6),RpmDesignStandard!$D$6,
IF(AND($R302&gt;RpmDesignStandard!$B$7,$R302&lt;=RpmDesignStandard!$C$7),RpmDesignStandard!$D$7,RpmDesignStandard!$D$8))))</f>
        <v>3</v>
      </c>
      <c r="V302" s="47">
        <f>U302*RpmDesignStandard!$H$1</f>
        <v>6</v>
      </c>
      <c r="W302" s="37">
        <f>VLOOKUP(A302,RPM_ProjectRecord!A:AB,8,FALSE)</f>
        <v>2024</v>
      </c>
      <c r="X302" s="38" t="str">
        <f t="shared" si="40"/>
        <v/>
      </c>
      <c r="Y302" s="38" t="str">
        <f t="shared" si="41"/>
        <v/>
      </c>
      <c r="Z302" s="38" t="str">
        <f t="shared" si="42"/>
        <v/>
      </c>
      <c r="AA302" s="38" t="str">
        <f t="shared" si="43"/>
        <v/>
      </c>
      <c r="AB302" s="38" t="str">
        <f t="shared" si="44"/>
        <v/>
      </c>
      <c r="AC302" s="38" t="str">
        <f>IF(VLOOKUP(A302,'3rdPhaseChipSeal'!A:L,12,FALSE)="","",VLOOKUP(A302,'3rdPhaseChipSeal'!A:L,12,FALSE))</f>
        <v/>
      </c>
      <c r="AD302" s="38" t="str">
        <f>IFERROR(IF(VLOOKUP(A302,RpmContracts!A:C,3,FALSE)="","",VLOOKUP(A302,RpmContracts!A:C,3,FALSE)),"")</f>
        <v/>
      </c>
      <c r="AE302" s="7" t="str">
        <f>IF(VLOOKUP(A302,'20yPlan'!A:B,2,FALSE)="","",VLOOKUP(A302,'20yPlan'!A:B,2,FALSE))</f>
        <v/>
      </c>
      <c r="AF302" s="7" t="str">
        <f>IF(VLOOKUP(A302,'20yPlan'!A:C,3,FALSE)="","",VLOOKUP(A302,'20yPlan'!A:C,3,FALSE))</f>
        <v/>
      </c>
      <c r="AG302" s="7" t="str">
        <f>IF(VLOOKUP(A302,'20yPlan'!A:D,4,FALSE)="","",VLOOKUP(A302,'20yPlan'!A:D,4,FALSE))</f>
        <v/>
      </c>
      <c r="AH302" s="7" t="str">
        <f>IF(VLOOKUP(A302,'20yPlan'!A:E,5,FALSE)="","",VLOOKUP(A302,'20yPlan'!A:E,5,FALSE))</f>
        <v/>
      </c>
      <c r="AI302" s="7" t="str">
        <f>IF(VLOOKUP(A302,'20yPlan'!A:F,6,FALSE)="","",VLOOKUP(A302,'20yPlan'!A:F,6,FALSE))</f>
        <v/>
      </c>
      <c r="AJ302" s="7" t="str">
        <f t="shared" si="45"/>
        <v/>
      </c>
      <c r="AK302" s="7" t="str">
        <f t="shared" si="46"/>
        <v/>
      </c>
      <c r="AL302" s="39">
        <f t="shared" ca="1" si="47"/>
        <v>2027</v>
      </c>
      <c r="AM302" s="7" t="str">
        <f t="shared" si="48"/>
        <v/>
      </c>
      <c r="AN302" s="7" t="str">
        <f t="shared" si="49"/>
        <v/>
      </c>
    </row>
    <row r="303" spans="1:40">
      <c r="A303" s="6">
        <v>60318</v>
      </c>
      <c r="B303" s="6" t="s">
        <v>439</v>
      </c>
      <c r="C303" s="6" t="s">
        <v>942</v>
      </c>
      <c r="D303" s="6">
        <v>0.92720000000000002</v>
      </c>
      <c r="E303" s="6">
        <v>2.9172750000000001</v>
      </c>
      <c r="F303" s="6" t="s">
        <v>441</v>
      </c>
      <c r="G303" s="6" t="s">
        <v>943</v>
      </c>
      <c r="H303" s="35">
        <v>50686</v>
      </c>
      <c r="I303" s="6" t="s">
        <v>195</v>
      </c>
      <c r="J303" s="6">
        <v>9</v>
      </c>
      <c r="K303" s="6"/>
      <c r="L303" s="6">
        <v>2</v>
      </c>
      <c r="M303" s="6" t="s">
        <v>111</v>
      </c>
      <c r="N303" s="6" t="s">
        <v>250</v>
      </c>
      <c r="O303" s="6" t="s">
        <v>165</v>
      </c>
      <c r="P303" s="6" t="s">
        <v>433</v>
      </c>
      <c r="Q303" s="6" t="s">
        <v>944</v>
      </c>
      <c r="R303" s="35">
        <v>3859</v>
      </c>
      <c r="S303" s="6">
        <v>467</v>
      </c>
      <c r="T303" s="36" t="s">
        <v>253</v>
      </c>
      <c r="U303" s="46">
        <f>IF($L303&lt;=2,
IF($R303&lt;=RpmDesignStandard!$C$2,RpmDesignStandard!$D$2,
IF(AND($R303&gt;RpmDesignStandard!$B$3,$R303&lt;=RpmDesignStandard!$C$3),RpmDesignStandard!$D$3,RpmDesignStandard!$D$4)),
IF($R303&lt;=RpmDesignStandard!$C$5, RpmDesignStandard!$D$5,
IF(AND($R303&gt;RpmDesignStandard!$B$6,$R303&lt;=RpmDesignStandard!$C$6),RpmDesignStandard!$D$6,
IF(AND($R303&gt;RpmDesignStandard!$B$7,$R303&lt;=RpmDesignStandard!$C$7),RpmDesignStandard!$D$7,RpmDesignStandard!$D$8))))</f>
        <v>4</v>
      </c>
      <c r="V303" s="47">
        <f>U303*RpmDesignStandard!$H$1</f>
        <v>8</v>
      </c>
      <c r="W303" s="37" t="str">
        <f>VLOOKUP(A303,RPM_ProjectRecord!A:AB,8,FALSE)</f>
        <v/>
      </c>
      <c r="X303" s="38" t="str">
        <f t="shared" si="40"/>
        <v/>
      </c>
      <c r="Y303" s="38" t="str">
        <f t="shared" si="41"/>
        <v/>
      </c>
      <c r="Z303" s="38" t="str">
        <f t="shared" si="42"/>
        <v/>
      </c>
      <c r="AA303" s="38" t="str">
        <f t="shared" si="43"/>
        <v/>
      </c>
      <c r="AB303" s="38" t="str">
        <f t="shared" si="44"/>
        <v/>
      </c>
      <c r="AC303" s="38" t="str">
        <f>IF(VLOOKUP(A303,'3rdPhaseChipSeal'!A:L,12,FALSE)="","",VLOOKUP(A303,'3rdPhaseChipSeal'!A:L,12,FALSE))</f>
        <v/>
      </c>
      <c r="AD303" s="38" t="str">
        <f>IFERROR(IF(VLOOKUP(A303,RpmContracts!A:C,3,FALSE)="","",VLOOKUP(A303,RpmContracts!A:C,3,FALSE)),"")</f>
        <v/>
      </c>
      <c r="AE303" s="7" t="str">
        <f>IF(VLOOKUP(A303,'20yPlan'!A:B,2,FALSE)="","",VLOOKUP(A303,'20yPlan'!A:B,2,FALSE))</f>
        <v/>
      </c>
      <c r="AF303" s="7" t="str">
        <f>IF(VLOOKUP(A303,'20yPlan'!A:C,3,FALSE)="","",VLOOKUP(A303,'20yPlan'!A:C,3,FALSE))</f>
        <v/>
      </c>
      <c r="AG303" s="7" t="str">
        <f>IF(VLOOKUP(A303,'20yPlan'!A:D,4,FALSE)="","",VLOOKUP(A303,'20yPlan'!A:D,4,FALSE))</f>
        <v/>
      </c>
      <c r="AH303" s="7" t="str">
        <f>IF(VLOOKUP(A303,'20yPlan'!A:E,5,FALSE)="","",VLOOKUP(A303,'20yPlan'!A:E,5,FALSE))</f>
        <v/>
      </c>
      <c r="AI303" s="7" t="str">
        <f>IF(VLOOKUP(A303,'20yPlan'!A:F,6,FALSE)="","",VLOOKUP(A303,'20yPlan'!A:F,6,FALSE))</f>
        <v/>
      </c>
      <c r="AJ303" s="7" t="str">
        <f t="shared" si="45"/>
        <v/>
      </c>
      <c r="AK303" s="7" t="str">
        <f t="shared" si="46"/>
        <v/>
      </c>
      <c r="AL303" s="39">
        <f t="shared" ca="1" si="47"/>
        <v>2025</v>
      </c>
      <c r="AM303" s="7" t="str">
        <f t="shared" si="48"/>
        <v/>
      </c>
      <c r="AN303" s="7" t="str">
        <f t="shared" si="49"/>
        <v/>
      </c>
    </row>
    <row r="304" spans="1:40">
      <c r="A304" s="6">
        <v>60319</v>
      </c>
      <c r="B304" s="6" t="s">
        <v>701</v>
      </c>
      <c r="C304" s="6" t="s">
        <v>945</v>
      </c>
      <c r="D304" s="6">
        <v>12.964779999999999</v>
      </c>
      <c r="E304" s="6">
        <v>14.898989</v>
      </c>
      <c r="F304" s="6" t="s">
        <v>707</v>
      </c>
      <c r="G304" s="6" t="s">
        <v>709</v>
      </c>
      <c r="H304" s="35">
        <v>31387</v>
      </c>
      <c r="I304" s="6" t="s">
        <v>44</v>
      </c>
      <c r="J304" s="6">
        <v>21</v>
      </c>
      <c r="K304" s="6"/>
      <c r="L304" s="6">
        <v>2</v>
      </c>
      <c r="M304" s="6" t="s">
        <v>45</v>
      </c>
      <c r="N304" s="6" t="s">
        <v>250</v>
      </c>
      <c r="O304" s="6" t="s">
        <v>61</v>
      </c>
      <c r="P304" s="6" t="s">
        <v>62</v>
      </c>
      <c r="Q304" s="6" t="s">
        <v>58</v>
      </c>
      <c r="R304" s="6">
        <v>995</v>
      </c>
      <c r="S304" s="6">
        <v>111</v>
      </c>
      <c r="T304" s="36" t="s">
        <v>50</v>
      </c>
      <c r="U304" s="46">
        <f>IF($L304&lt;=2,
IF($R304&lt;=RpmDesignStandard!$C$2,RpmDesignStandard!$D$2,
IF(AND($R304&gt;RpmDesignStandard!$B$3,$R304&lt;=RpmDesignStandard!$C$3),RpmDesignStandard!$D$3,RpmDesignStandard!$D$4)),
IF($R304&lt;=RpmDesignStandard!$C$5, RpmDesignStandard!$D$5,
IF(AND($R304&gt;RpmDesignStandard!$B$6,$R304&lt;=RpmDesignStandard!$C$6),RpmDesignStandard!$D$6,
IF(AND($R304&gt;RpmDesignStandard!$B$7,$R304&lt;=RpmDesignStandard!$C$7),RpmDesignStandard!$D$7,RpmDesignStandard!$D$8))))</f>
        <v>4</v>
      </c>
      <c r="V304" s="47">
        <f>U304*RpmDesignStandard!$H$1</f>
        <v>8</v>
      </c>
      <c r="W304" s="37">
        <f>VLOOKUP(A304,RPM_ProjectRecord!A:AB,8,FALSE)</f>
        <v>2024</v>
      </c>
      <c r="X304" s="38" t="str">
        <f t="shared" si="40"/>
        <v/>
      </c>
      <c r="Y304" s="38" t="str">
        <f t="shared" si="41"/>
        <v/>
      </c>
      <c r="Z304" s="38" t="str">
        <f t="shared" si="42"/>
        <v/>
      </c>
      <c r="AA304" s="38" t="str">
        <f t="shared" si="43"/>
        <v/>
      </c>
      <c r="AB304" s="38" t="str">
        <f t="shared" si="44"/>
        <v/>
      </c>
      <c r="AC304" s="38" t="str">
        <f>IF(VLOOKUP(A304,'3rdPhaseChipSeal'!A:L,12,FALSE)="","",VLOOKUP(A304,'3rdPhaseChipSeal'!A:L,12,FALSE))</f>
        <v/>
      </c>
      <c r="AD304" s="38" t="str">
        <f>IFERROR(IF(VLOOKUP(A304,RpmContracts!A:C,3,FALSE)="","",VLOOKUP(A304,RpmContracts!A:C,3,FALSE)),"")</f>
        <v/>
      </c>
      <c r="AE304" s="7" t="str">
        <f>IF(VLOOKUP(A304,'20yPlan'!A:B,2,FALSE)="","",VLOOKUP(A304,'20yPlan'!A:B,2,FALSE))</f>
        <v/>
      </c>
      <c r="AF304" s="7" t="str">
        <f>IF(VLOOKUP(A304,'20yPlan'!A:C,3,FALSE)="","",VLOOKUP(A304,'20yPlan'!A:C,3,FALSE))</f>
        <v/>
      </c>
      <c r="AG304" s="7" t="str">
        <f>IF(VLOOKUP(A304,'20yPlan'!A:D,4,FALSE)="","",VLOOKUP(A304,'20yPlan'!A:D,4,FALSE))</f>
        <v/>
      </c>
      <c r="AH304" s="7" t="str">
        <f>IF(VLOOKUP(A304,'20yPlan'!A:E,5,FALSE)="","",VLOOKUP(A304,'20yPlan'!A:E,5,FALSE))</f>
        <v/>
      </c>
      <c r="AI304" s="7" t="str">
        <f>IF(VLOOKUP(A304,'20yPlan'!A:F,6,FALSE)="","",VLOOKUP(A304,'20yPlan'!A:F,6,FALSE))</f>
        <v/>
      </c>
      <c r="AJ304" s="7" t="str">
        <f t="shared" si="45"/>
        <v/>
      </c>
      <c r="AK304" s="7" t="str">
        <f t="shared" si="46"/>
        <v/>
      </c>
      <c r="AL304" s="39">
        <f t="shared" ca="1" si="47"/>
        <v>2028</v>
      </c>
      <c r="AM304" s="7" t="str">
        <f t="shared" si="48"/>
        <v/>
      </c>
      <c r="AN304" s="7" t="str">
        <f t="shared" si="49"/>
        <v/>
      </c>
    </row>
    <row r="305" spans="1:40">
      <c r="A305" s="6">
        <v>60320</v>
      </c>
      <c r="B305" s="6" t="s">
        <v>206</v>
      </c>
      <c r="C305" s="6" t="s">
        <v>946</v>
      </c>
      <c r="D305" s="6">
        <v>56.410758000000001</v>
      </c>
      <c r="E305" s="6">
        <v>57.371102</v>
      </c>
      <c r="F305" s="6" t="s">
        <v>947</v>
      </c>
      <c r="G305" s="6" t="s">
        <v>234</v>
      </c>
      <c r="H305" s="35">
        <v>17907</v>
      </c>
      <c r="I305" s="6" t="s">
        <v>44</v>
      </c>
      <c r="J305" s="6">
        <v>10</v>
      </c>
      <c r="K305" s="6"/>
      <c r="L305" s="6">
        <v>2</v>
      </c>
      <c r="M305" s="6" t="s">
        <v>45</v>
      </c>
      <c r="N305" s="6" t="s">
        <v>46</v>
      </c>
      <c r="O305" s="6" t="s">
        <v>130</v>
      </c>
      <c r="P305" s="6" t="s">
        <v>131</v>
      </c>
      <c r="Q305" s="6" t="s">
        <v>505</v>
      </c>
      <c r="R305" s="35">
        <v>6666</v>
      </c>
      <c r="S305" s="6">
        <v>720</v>
      </c>
      <c r="T305" s="36" t="s">
        <v>50</v>
      </c>
      <c r="U305" s="46">
        <f>IF($L305&lt;=2,
IF($R305&lt;=RpmDesignStandard!$C$2,RpmDesignStandard!$D$2,
IF(AND($R305&gt;RpmDesignStandard!$B$3,$R305&lt;=RpmDesignStandard!$C$3),RpmDesignStandard!$D$3,RpmDesignStandard!$D$4)),
IF($R305&lt;=RpmDesignStandard!$C$5, RpmDesignStandard!$D$5,
IF(AND($R305&gt;RpmDesignStandard!$B$6,$R305&lt;=RpmDesignStandard!$C$6),RpmDesignStandard!$D$6,
IF(AND($R305&gt;RpmDesignStandard!$B$7,$R305&lt;=RpmDesignStandard!$C$7),RpmDesignStandard!$D$7,RpmDesignStandard!$D$8))))</f>
        <v>3</v>
      </c>
      <c r="V305" s="47">
        <f>U305*RpmDesignStandard!$H$1</f>
        <v>6</v>
      </c>
      <c r="W305" s="37" t="str">
        <f>VLOOKUP(A305,RPM_ProjectRecord!A:AB,8,FALSE)</f>
        <v/>
      </c>
      <c r="X305" s="38" t="str">
        <f t="shared" si="40"/>
        <v/>
      </c>
      <c r="Y305" s="38" t="str">
        <f t="shared" si="41"/>
        <v/>
      </c>
      <c r="Z305" s="38" t="str">
        <f t="shared" si="42"/>
        <v/>
      </c>
      <c r="AA305" s="38" t="str">
        <f t="shared" si="43"/>
        <v/>
      </c>
      <c r="AB305" s="38" t="str">
        <f t="shared" si="44"/>
        <v/>
      </c>
      <c r="AC305" s="38" t="str">
        <f>IF(VLOOKUP(A305,'3rdPhaseChipSeal'!A:L,12,FALSE)="","",VLOOKUP(A305,'3rdPhaseChipSeal'!A:L,12,FALSE))</f>
        <v/>
      </c>
      <c r="AD305" s="38" t="str">
        <f>IFERROR(IF(VLOOKUP(A305,RpmContracts!A:C,3,FALSE)="","",VLOOKUP(A305,RpmContracts!A:C,3,FALSE)),"")</f>
        <v/>
      </c>
      <c r="AE305" s="7" t="str">
        <f>IF(VLOOKUP(A305,'20yPlan'!A:B,2,FALSE)="","",VLOOKUP(A305,'20yPlan'!A:B,2,FALSE))</f>
        <v/>
      </c>
      <c r="AF305" s="7" t="str">
        <f>IF(VLOOKUP(A305,'20yPlan'!A:C,3,FALSE)="","",VLOOKUP(A305,'20yPlan'!A:C,3,FALSE))</f>
        <v/>
      </c>
      <c r="AG305" s="7" t="str">
        <f>IF(VLOOKUP(A305,'20yPlan'!A:D,4,FALSE)="","",VLOOKUP(A305,'20yPlan'!A:D,4,FALSE))</f>
        <v/>
      </c>
      <c r="AH305" s="7" t="str">
        <f>IF(VLOOKUP(A305,'20yPlan'!A:E,5,FALSE)="","",VLOOKUP(A305,'20yPlan'!A:E,5,FALSE))</f>
        <v/>
      </c>
      <c r="AI305" s="7" t="str">
        <f>IF(VLOOKUP(A305,'20yPlan'!A:F,6,FALSE)="","",VLOOKUP(A305,'20yPlan'!A:F,6,FALSE))</f>
        <v/>
      </c>
      <c r="AJ305" s="7" t="str">
        <f t="shared" si="45"/>
        <v/>
      </c>
      <c r="AK305" s="7" t="str">
        <f t="shared" si="46"/>
        <v/>
      </c>
      <c r="AL305" s="39">
        <f t="shared" ca="1" si="47"/>
        <v>2025</v>
      </c>
      <c r="AM305" s="7" t="str">
        <f t="shared" si="48"/>
        <v/>
      </c>
      <c r="AN305" s="7" t="str">
        <f t="shared" si="49"/>
        <v/>
      </c>
    </row>
    <row r="306" spans="1:40">
      <c r="A306" s="6">
        <v>60321</v>
      </c>
      <c r="B306" s="6" t="s">
        <v>206</v>
      </c>
      <c r="C306" s="6" t="s">
        <v>948</v>
      </c>
      <c r="D306" s="6">
        <v>88.442688000000004</v>
      </c>
      <c r="E306" s="6">
        <v>90.941411000000002</v>
      </c>
      <c r="F306" s="6" t="s">
        <v>245</v>
      </c>
      <c r="G306" s="6" t="s">
        <v>949</v>
      </c>
      <c r="H306" s="35">
        <v>45810</v>
      </c>
      <c r="I306" s="6" t="s">
        <v>195</v>
      </c>
      <c r="J306" s="6">
        <v>9</v>
      </c>
      <c r="K306" s="6">
        <v>2027</v>
      </c>
      <c r="L306" s="6">
        <v>2</v>
      </c>
      <c r="M306" s="6" t="s">
        <v>45</v>
      </c>
      <c r="N306" s="6" t="s">
        <v>46</v>
      </c>
      <c r="O306" s="6" t="s">
        <v>165</v>
      </c>
      <c r="P306" s="6" t="s">
        <v>236</v>
      </c>
      <c r="Q306" s="6" t="s">
        <v>240</v>
      </c>
      <c r="R306" s="35">
        <v>4327</v>
      </c>
      <c r="S306" s="6">
        <v>579</v>
      </c>
      <c r="T306" s="36" t="s">
        <v>50</v>
      </c>
      <c r="U306" s="46">
        <f>IF($L306&lt;=2,
IF($R306&lt;=RpmDesignStandard!$C$2,RpmDesignStandard!$D$2,
IF(AND($R306&gt;RpmDesignStandard!$B$3,$R306&lt;=RpmDesignStandard!$C$3),RpmDesignStandard!$D$3,RpmDesignStandard!$D$4)),
IF($R306&lt;=RpmDesignStandard!$C$5, RpmDesignStandard!$D$5,
IF(AND($R306&gt;RpmDesignStandard!$B$6,$R306&lt;=RpmDesignStandard!$C$6),RpmDesignStandard!$D$6,
IF(AND($R306&gt;RpmDesignStandard!$B$7,$R306&lt;=RpmDesignStandard!$C$7),RpmDesignStandard!$D$7,RpmDesignStandard!$D$8))))</f>
        <v>4</v>
      </c>
      <c r="V306" s="47">
        <f>U306*RpmDesignStandard!$H$1</f>
        <v>8</v>
      </c>
      <c r="W306" s="37" t="str">
        <f>VLOOKUP(A306,RPM_ProjectRecord!A:AB,8,FALSE)</f>
        <v/>
      </c>
      <c r="X306" s="38" t="str">
        <f t="shared" si="40"/>
        <v/>
      </c>
      <c r="Y306" s="38" t="str">
        <f t="shared" si="41"/>
        <v/>
      </c>
      <c r="Z306" s="38" t="str">
        <f t="shared" si="42"/>
        <v/>
      </c>
      <c r="AA306" s="38" t="str">
        <f t="shared" si="43"/>
        <v/>
      </c>
      <c r="AB306" s="38" t="str">
        <f t="shared" si="44"/>
        <v/>
      </c>
      <c r="AC306" s="38">
        <f>IF(VLOOKUP(A306,'3rdPhaseChipSeal'!A:L,12,FALSE)="","",VLOOKUP(A306,'3rdPhaseChipSeal'!A:L,12,FALSE))</f>
        <v>2041</v>
      </c>
      <c r="AD306" s="38" t="str">
        <f>IFERROR(IF(VLOOKUP(A306,RpmContracts!A:C,3,FALSE)="","",VLOOKUP(A306,RpmContracts!A:C,3,FALSE)),"")</f>
        <v/>
      </c>
      <c r="AE306" s="7" t="str">
        <f>IF(VLOOKUP(A306,'20yPlan'!A:B,2,FALSE)="","",VLOOKUP(A306,'20yPlan'!A:B,2,FALSE))</f>
        <v/>
      </c>
      <c r="AF306" s="7" t="str">
        <f>IF(VLOOKUP(A306,'20yPlan'!A:C,3,FALSE)="","",VLOOKUP(A306,'20yPlan'!A:C,3,FALSE))</f>
        <v/>
      </c>
      <c r="AG306" s="7" t="str">
        <f>IF(VLOOKUP(A306,'20yPlan'!A:D,4,FALSE)="","",VLOOKUP(A306,'20yPlan'!A:D,4,FALSE))</f>
        <v/>
      </c>
      <c r="AH306" s="7" t="str">
        <f>IF(VLOOKUP(A306,'20yPlan'!A:E,5,FALSE)="","",VLOOKUP(A306,'20yPlan'!A:E,5,FALSE))</f>
        <v/>
      </c>
      <c r="AI306" s="7" t="str">
        <f>IF(VLOOKUP(A306,'20yPlan'!A:F,6,FALSE)="","",VLOOKUP(A306,'20yPlan'!A:F,6,FALSE))</f>
        <v/>
      </c>
      <c r="AJ306" s="7" t="str">
        <f t="shared" si="45"/>
        <v>2041 Chip Seal</v>
      </c>
      <c r="AK306" s="7" t="str">
        <f t="shared" si="46"/>
        <v/>
      </c>
      <c r="AL306" s="39">
        <f t="shared" ca="1" si="47"/>
        <v>2025</v>
      </c>
      <c r="AM306" s="7" t="str">
        <f t="shared" si="48"/>
        <v/>
      </c>
      <c r="AN306" s="7" t="str">
        <f t="shared" si="49"/>
        <v/>
      </c>
    </row>
    <row r="307" spans="1:40">
      <c r="A307" s="6">
        <v>60322</v>
      </c>
      <c r="B307" s="6" t="s">
        <v>599</v>
      </c>
      <c r="C307" s="6" t="s">
        <v>950</v>
      </c>
      <c r="D307" s="6">
        <v>9.2745490000000004</v>
      </c>
      <c r="E307" s="6">
        <v>13.481595</v>
      </c>
      <c r="F307" s="6" t="s">
        <v>603</v>
      </c>
      <c r="G307" s="6" t="s">
        <v>605</v>
      </c>
      <c r="H307" s="35">
        <v>46455</v>
      </c>
      <c r="I307" s="6" t="s">
        <v>195</v>
      </c>
      <c r="J307" s="6">
        <v>5</v>
      </c>
      <c r="K307" s="6">
        <v>2028</v>
      </c>
      <c r="L307" s="6">
        <v>2</v>
      </c>
      <c r="M307" s="6" t="s">
        <v>45</v>
      </c>
      <c r="N307" s="6" t="s">
        <v>250</v>
      </c>
      <c r="O307" s="6" t="s">
        <v>61</v>
      </c>
      <c r="P307" s="6" t="s">
        <v>70</v>
      </c>
      <c r="Q307" s="6" t="s">
        <v>382</v>
      </c>
      <c r="R307" s="35">
        <v>2124</v>
      </c>
      <c r="S307" s="6">
        <v>119</v>
      </c>
      <c r="T307" s="36" t="s">
        <v>253</v>
      </c>
      <c r="U307" s="46">
        <f>IF($L307&lt;=2,
IF($R307&lt;=RpmDesignStandard!$C$2,RpmDesignStandard!$D$2,
IF(AND($R307&gt;RpmDesignStandard!$B$3,$R307&lt;=RpmDesignStandard!$C$3),RpmDesignStandard!$D$3,RpmDesignStandard!$D$4)),
IF($R307&lt;=RpmDesignStandard!$C$5, RpmDesignStandard!$D$5,
IF(AND($R307&gt;RpmDesignStandard!$B$6,$R307&lt;=RpmDesignStandard!$C$6),RpmDesignStandard!$D$6,
IF(AND($R307&gt;RpmDesignStandard!$B$7,$R307&lt;=RpmDesignStandard!$C$7),RpmDesignStandard!$D$7,RpmDesignStandard!$D$8))))</f>
        <v>4</v>
      </c>
      <c r="V307" s="47">
        <f>U307*RpmDesignStandard!$H$1</f>
        <v>8</v>
      </c>
      <c r="W307" s="37" t="str">
        <f>VLOOKUP(A307,RPM_ProjectRecord!A:AB,8,FALSE)</f>
        <v/>
      </c>
      <c r="X307" s="38" t="str">
        <f t="shared" si="40"/>
        <v/>
      </c>
      <c r="Y307" s="38" t="str">
        <f t="shared" si="41"/>
        <v/>
      </c>
      <c r="Z307" s="38" t="str">
        <f t="shared" si="42"/>
        <v/>
      </c>
      <c r="AA307" s="38" t="str">
        <f t="shared" si="43"/>
        <v/>
      </c>
      <c r="AB307" s="38" t="str">
        <f t="shared" si="44"/>
        <v/>
      </c>
      <c r="AC307" s="38">
        <f>IF(VLOOKUP(A307,'3rdPhaseChipSeal'!A:L,12,FALSE)="","",VLOOKUP(A307,'3rdPhaseChipSeal'!A:L,12,FALSE))</f>
        <v>2042</v>
      </c>
      <c r="AD307" s="38" t="str">
        <f>IFERROR(IF(VLOOKUP(A307,RpmContracts!A:C,3,FALSE)="","",VLOOKUP(A307,RpmContracts!A:C,3,FALSE)),"")</f>
        <v/>
      </c>
      <c r="AE307" s="7" t="str">
        <f>IF(VLOOKUP(A307,'20yPlan'!A:B,2,FALSE)="","",VLOOKUP(A307,'20yPlan'!A:B,2,FALSE))</f>
        <v/>
      </c>
      <c r="AF307" s="7" t="str">
        <f>IF(VLOOKUP(A307,'20yPlan'!A:C,3,FALSE)="","",VLOOKUP(A307,'20yPlan'!A:C,3,FALSE))</f>
        <v/>
      </c>
      <c r="AG307" s="7" t="str">
        <f>IF(VLOOKUP(A307,'20yPlan'!A:D,4,FALSE)="","",VLOOKUP(A307,'20yPlan'!A:D,4,FALSE))</f>
        <v/>
      </c>
      <c r="AH307" s="7" t="str">
        <f>IF(VLOOKUP(A307,'20yPlan'!A:E,5,FALSE)="","",VLOOKUP(A307,'20yPlan'!A:E,5,FALSE))</f>
        <v/>
      </c>
      <c r="AI307" s="7" t="str">
        <f>IF(VLOOKUP(A307,'20yPlan'!A:F,6,FALSE)="","",VLOOKUP(A307,'20yPlan'!A:F,6,FALSE))</f>
        <v/>
      </c>
      <c r="AJ307" s="7" t="str">
        <f t="shared" si="45"/>
        <v>2042 Chip Seal</v>
      </c>
      <c r="AK307" s="7" t="str">
        <f t="shared" si="46"/>
        <v/>
      </c>
      <c r="AL307" s="39">
        <f t="shared" ca="1" si="47"/>
        <v>2025</v>
      </c>
      <c r="AM307" s="7" t="str">
        <f t="shared" si="48"/>
        <v/>
      </c>
      <c r="AN307" s="7" t="str">
        <f t="shared" si="49"/>
        <v/>
      </c>
    </row>
    <row r="308" spans="1:40">
      <c r="A308" s="6">
        <v>60323</v>
      </c>
      <c r="B308" s="6" t="s">
        <v>367</v>
      </c>
      <c r="C308" s="6" t="s">
        <v>951</v>
      </c>
      <c r="D308" s="6">
        <v>30.237404000000002</v>
      </c>
      <c r="E308" s="6">
        <v>30.452518999999999</v>
      </c>
      <c r="F308" s="6" t="s">
        <v>376</v>
      </c>
      <c r="G308" s="6" t="s">
        <v>938</v>
      </c>
      <c r="H308" s="35">
        <v>4796</v>
      </c>
      <c r="I308" s="6" t="s">
        <v>195</v>
      </c>
      <c r="J308" s="6">
        <v>8</v>
      </c>
      <c r="K308" s="6"/>
      <c r="L308" s="6">
        <v>2</v>
      </c>
      <c r="M308" s="6" t="s">
        <v>111</v>
      </c>
      <c r="N308" s="6" t="s">
        <v>250</v>
      </c>
      <c r="O308" s="6" t="s">
        <v>121</v>
      </c>
      <c r="P308" s="6" t="s">
        <v>122</v>
      </c>
      <c r="Q308" s="6" t="s">
        <v>132</v>
      </c>
      <c r="R308" s="35">
        <v>4593</v>
      </c>
      <c r="S308" s="6">
        <v>710</v>
      </c>
      <c r="T308" s="36" t="s">
        <v>253</v>
      </c>
      <c r="U308" s="46">
        <f>IF($L308&lt;=2,
IF($R308&lt;=RpmDesignStandard!$C$2,RpmDesignStandard!$D$2,
IF(AND($R308&gt;RpmDesignStandard!$B$3,$R308&lt;=RpmDesignStandard!$C$3),RpmDesignStandard!$D$3,RpmDesignStandard!$D$4)),
IF($R308&lt;=RpmDesignStandard!$C$5, RpmDesignStandard!$D$5,
IF(AND($R308&gt;RpmDesignStandard!$B$6,$R308&lt;=RpmDesignStandard!$C$6),RpmDesignStandard!$D$6,
IF(AND($R308&gt;RpmDesignStandard!$B$7,$R308&lt;=RpmDesignStandard!$C$7),RpmDesignStandard!$D$7,RpmDesignStandard!$D$8))))</f>
        <v>4</v>
      </c>
      <c r="V308" s="47">
        <f>U308*RpmDesignStandard!$H$1</f>
        <v>8</v>
      </c>
      <c r="W308" s="37" t="str">
        <f>VLOOKUP(A308,RPM_ProjectRecord!A:AB,8,FALSE)</f>
        <v/>
      </c>
      <c r="X308" s="38" t="str">
        <f t="shared" si="40"/>
        <v/>
      </c>
      <c r="Y308" s="38" t="str">
        <f t="shared" si="41"/>
        <v/>
      </c>
      <c r="Z308" s="38" t="str">
        <f t="shared" si="42"/>
        <v/>
      </c>
      <c r="AA308" s="38" t="str">
        <f t="shared" si="43"/>
        <v/>
      </c>
      <c r="AB308" s="38" t="str">
        <f t="shared" si="44"/>
        <v/>
      </c>
      <c r="AC308" s="38" t="str">
        <f>IF(VLOOKUP(A308,'3rdPhaseChipSeal'!A:L,12,FALSE)="","",VLOOKUP(A308,'3rdPhaseChipSeal'!A:L,12,FALSE))</f>
        <v/>
      </c>
      <c r="AD308" s="38" t="str">
        <f>IFERROR(IF(VLOOKUP(A308,RpmContracts!A:C,3,FALSE)="","",VLOOKUP(A308,RpmContracts!A:C,3,FALSE)),"")</f>
        <v/>
      </c>
      <c r="AE308" s="7" t="str">
        <f>IF(VLOOKUP(A308,'20yPlan'!A:B,2,FALSE)="","",VLOOKUP(A308,'20yPlan'!A:B,2,FALSE))</f>
        <v/>
      </c>
      <c r="AF308" s="7" t="str">
        <f>IF(VLOOKUP(A308,'20yPlan'!A:C,3,FALSE)="","",VLOOKUP(A308,'20yPlan'!A:C,3,FALSE))</f>
        <v/>
      </c>
      <c r="AG308" s="7" t="str">
        <f>IF(VLOOKUP(A308,'20yPlan'!A:D,4,FALSE)="","",VLOOKUP(A308,'20yPlan'!A:D,4,FALSE))</f>
        <v/>
      </c>
      <c r="AH308" s="7" t="str">
        <f>IF(VLOOKUP(A308,'20yPlan'!A:E,5,FALSE)="","",VLOOKUP(A308,'20yPlan'!A:E,5,FALSE))</f>
        <v/>
      </c>
      <c r="AI308" s="7" t="str">
        <f>IF(VLOOKUP(A308,'20yPlan'!A:F,6,FALSE)="","",VLOOKUP(A308,'20yPlan'!A:F,6,FALSE))</f>
        <v/>
      </c>
      <c r="AJ308" s="7" t="str">
        <f t="shared" si="45"/>
        <v/>
      </c>
      <c r="AK308" s="7" t="str">
        <f t="shared" si="46"/>
        <v/>
      </c>
      <c r="AL308" s="39">
        <f t="shared" ca="1" si="47"/>
        <v>2025</v>
      </c>
      <c r="AM308" s="7" t="str">
        <f t="shared" si="48"/>
        <v/>
      </c>
      <c r="AN308" s="7" t="str">
        <f t="shared" si="49"/>
        <v/>
      </c>
    </row>
    <row r="309" spans="1:40">
      <c r="A309" s="6">
        <v>60324</v>
      </c>
      <c r="B309" s="6" t="s">
        <v>389</v>
      </c>
      <c r="C309" s="6" t="s">
        <v>952</v>
      </c>
      <c r="D309" s="6">
        <v>23.766701999999999</v>
      </c>
      <c r="E309" s="6">
        <v>24.799696999999998</v>
      </c>
      <c r="F309" s="6" t="s">
        <v>392</v>
      </c>
      <c r="G309" s="6" t="s">
        <v>953</v>
      </c>
      <c r="H309" s="35">
        <v>17971</v>
      </c>
      <c r="I309" s="6" t="s">
        <v>44</v>
      </c>
      <c r="J309" s="6">
        <v>2</v>
      </c>
      <c r="K309" s="6"/>
      <c r="L309" s="6">
        <v>2</v>
      </c>
      <c r="M309" s="6" t="s">
        <v>45</v>
      </c>
      <c r="N309" s="6" t="s">
        <v>250</v>
      </c>
      <c r="O309" s="6" t="s">
        <v>196</v>
      </c>
      <c r="P309" s="6" t="s">
        <v>251</v>
      </c>
      <c r="Q309" s="6" t="s">
        <v>256</v>
      </c>
      <c r="R309" s="35">
        <v>2428</v>
      </c>
      <c r="S309" s="6">
        <v>148</v>
      </c>
      <c r="T309" s="36" t="s">
        <v>50</v>
      </c>
      <c r="U309" s="46">
        <f>IF($L309&lt;=2,
IF($R309&lt;=RpmDesignStandard!$C$2,RpmDesignStandard!$D$2,
IF(AND($R309&gt;RpmDesignStandard!$B$3,$R309&lt;=RpmDesignStandard!$C$3),RpmDesignStandard!$D$3,RpmDesignStandard!$D$4)),
IF($R309&lt;=RpmDesignStandard!$C$5, RpmDesignStandard!$D$5,
IF(AND($R309&gt;RpmDesignStandard!$B$6,$R309&lt;=RpmDesignStandard!$C$6),RpmDesignStandard!$D$6,
IF(AND($R309&gt;RpmDesignStandard!$B$7,$R309&lt;=RpmDesignStandard!$C$7),RpmDesignStandard!$D$7,RpmDesignStandard!$D$8))))</f>
        <v>4</v>
      </c>
      <c r="V309" s="47">
        <f>U309*RpmDesignStandard!$H$1</f>
        <v>8</v>
      </c>
      <c r="W309" s="37">
        <f>VLOOKUP(A309,RPM_ProjectRecord!A:AB,8,FALSE)</f>
        <v>2021</v>
      </c>
      <c r="X309" s="38" t="str">
        <f t="shared" si="40"/>
        <v/>
      </c>
      <c r="Y309" s="38" t="str">
        <f t="shared" si="41"/>
        <v/>
      </c>
      <c r="Z309" s="38" t="str">
        <f t="shared" si="42"/>
        <v/>
      </c>
      <c r="AA309" s="38" t="str">
        <f t="shared" si="43"/>
        <v/>
      </c>
      <c r="AB309" s="38" t="str">
        <f t="shared" si="44"/>
        <v/>
      </c>
      <c r="AC309" s="38" t="str">
        <f>IF(VLOOKUP(A309,'3rdPhaseChipSeal'!A:L,12,FALSE)="","",VLOOKUP(A309,'3rdPhaseChipSeal'!A:L,12,FALSE))</f>
        <v/>
      </c>
      <c r="AD309" s="38" t="str">
        <f>IFERROR(IF(VLOOKUP(A309,RpmContracts!A:C,3,FALSE)="","",VLOOKUP(A309,RpmContracts!A:C,3,FALSE)),"")</f>
        <v/>
      </c>
      <c r="AE309" s="7" t="str">
        <f>IF(VLOOKUP(A309,'20yPlan'!A:B,2,FALSE)="","",VLOOKUP(A309,'20yPlan'!A:B,2,FALSE))</f>
        <v/>
      </c>
      <c r="AF309" s="7" t="str">
        <f>IF(VLOOKUP(A309,'20yPlan'!A:C,3,FALSE)="","",VLOOKUP(A309,'20yPlan'!A:C,3,FALSE))</f>
        <v/>
      </c>
      <c r="AG309" s="7" t="str">
        <f>IF(VLOOKUP(A309,'20yPlan'!A:D,4,FALSE)="","",VLOOKUP(A309,'20yPlan'!A:D,4,FALSE))</f>
        <v/>
      </c>
      <c r="AH309" s="7" t="str">
        <f>IF(VLOOKUP(A309,'20yPlan'!A:E,5,FALSE)="","",VLOOKUP(A309,'20yPlan'!A:E,5,FALSE))</f>
        <v/>
      </c>
      <c r="AI309" s="7" t="str">
        <f>IF(VLOOKUP(A309,'20yPlan'!A:F,6,FALSE)="","",VLOOKUP(A309,'20yPlan'!A:F,6,FALSE))</f>
        <v/>
      </c>
      <c r="AJ309" s="7" t="str">
        <f t="shared" si="45"/>
        <v/>
      </c>
      <c r="AK309" s="7" t="str">
        <f t="shared" si="46"/>
        <v/>
      </c>
      <c r="AL309" s="39">
        <f t="shared" ca="1" si="47"/>
        <v>2025</v>
      </c>
      <c r="AM309" s="7" t="str">
        <f t="shared" si="48"/>
        <v/>
      </c>
      <c r="AN309" s="7" t="str">
        <f t="shared" si="49"/>
        <v/>
      </c>
    </row>
    <row r="310" spans="1:40">
      <c r="A310" s="6">
        <v>60326</v>
      </c>
      <c r="B310" s="6" t="s">
        <v>246</v>
      </c>
      <c r="C310" s="6" t="s">
        <v>954</v>
      </c>
      <c r="D310" s="6">
        <v>35.466650999999999</v>
      </c>
      <c r="E310" s="6">
        <v>38.520757000000003</v>
      </c>
      <c r="F310" s="6" t="s">
        <v>255</v>
      </c>
      <c r="G310" s="6" t="s">
        <v>258</v>
      </c>
      <c r="H310" s="35">
        <v>63842</v>
      </c>
      <c r="I310" s="6" t="s">
        <v>44</v>
      </c>
      <c r="J310" s="6">
        <v>6</v>
      </c>
      <c r="K310" s="6"/>
      <c r="L310" s="6">
        <v>2</v>
      </c>
      <c r="M310" s="6" t="s">
        <v>45</v>
      </c>
      <c r="N310" s="6" t="s">
        <v>250</v>
      </c>
      <c r="O310" s="6" t="s">
        <v>196</v>
      </c>
      <c r="P310" s="6" t="s">
        <v>251</v>
      </c>
      <c r="Q310" s="6" t="s">
        <v>256</v>
      </c>
      <c r="R310" s="35">
        <v>5439</v>
      </c>
      <c r="S310" s="6">
        <v>628</v>
      </c>
      <c r="T310" s="36" t="s">
        <v>50</v>
      </c>
      <c r="U310" s="46">
        <f>IF($L310&lt;=2,
IF($R310&lt;=RpmDesignStandard!$C$2,RpmDesignStandard!$D$2,
IF(AND($R310&gt;RpmDesignStandard!$B$3,$R310&lt;=RpmDesignStandard!$C$3),RpmDesignStandard!$D$3,RpmDesignStandard!$D$4)),
IF($R310&lt;=RpmDesignStandard!$C$5, RpmDesignStandard!$D$5,
IF(AND($R310&gt;RpmDesignStandard!$B$6,$R310&lt;=RpmDesignStandard!$C$6),RpmDesignStandard!$D$6,
IF(AND($R310&gt;RpmDesignStandard!$B$7,$R310&lt;=RpmDesignStandard!$C$7),RpmDesignStandard!$D$7,RpmDesignStandard!$D$8))))</f>
        <v>4</v>
      </c>
      <c r="V310" s="47">
        <f>U310*RpmDesignStandard!$H$1</f>
        <v>8</v>
      </c>
      <c r="W310" s="37" t="str">
        <f>VLOOKUP(A310,RPM_ProjectRecord!A:AB,8,FALSE)</f>
        <v/>
      </c>
      <c r="X310" s="38" t="str">
        <f t="shared" si="40"/>
        <v/>
      </c>
      <c r="Y310" s="38" t="str">
        <f t="shared" si="41"/>
        <v/>
      </c>
      <c r="Z310" s="38" t="str">
        <f t="shared" si="42"/>
        <v/>
      </c>
      <c r="AA310" s="38" t="str">
        <f t="shared" si="43"/>
        <v/>
      </c>
      <c r="AB310" s="38" t="str">
        <f t="shared" si="44"/>
        <v/>
      </c>
      <c r="AC310" s="38" t="str">
        <f>IF(VLOOKUP(A310,'3rdPhaseChipSeal'!A:L,12,FALSE)="","",VLOOKUP(A310,'3rdPhaseChipSeal'!A:L,12,FALSE))</f>
        <v/>
      </c>
      <c r="AD310" s="38" t="str">
        <f>IFERROR(IF(VLOOKUP(A310,RpmContracts!A:C,3,FALSE)="","",VLOOKUP(A310,RpmContracts!A:C,3,FALSE)),"")</f>
        <v/>
      </c>
      <c r="AE310" s="7" t="str">
        <f>IF(VLOOKUP(A310,'20yPlan'!A:B,2,FALSE)="","",VLOOKUP(A310,'20yPlan'!A:B,2,FALSE))</f>
        <v/>
      </c>
      <c r="AF310" s="7" t="str">
        <f>IF(VLOOKUP(A310,'20yPlan'!A:C,3,FALSE)="","",VLOOKUP(A310,'20yPlan'!A:C,3,FALSE))</f>
        <v/>
      </c>
      <c r="AG310" s="7" t="str">
        <f>IF(VLOOKUP(A310,'20yPlan'!A:D,4,FALSE)="","",VLOOKUP(A310,'20yPlan'!A:D,4,FALSE))</f>
        <v/>
      </c>
      <c r="AH310" s="7" t="str">
        <f>IF(VLOOKUP(A310,'20yPlan'!A:E,5,FALSE)="","",VLOOKUP(A310,'20yPlan'!A:E,5,FALSE))</f>
        <v/>
      </c>
      <c r="AI310" s="7" t="str">
        <f>IF(VLOOKUP(A310,'20yPlan'!A:F,6,FALSE)="","",VLOOKUP(A310,'20yPlan'!A:F,6,FALSE))</f>
        <v/>
      </c>
      <c r="AJ310" s="7" t="str">
        <f t="shared" si="45"/>
        <v/>
      </c>
      <c r="AK310" s="7" t="str">
        <f t="shared" si="46"/>
        <v/>
      </c>
      <c r="AL310" s="39">
        <f t="shared" ca="1" si="47"/>
        <v>2025</v>
      </c>
      <c r="AM310" s="7" t="str">
        <f t="shared" si="48"/>
        <v/>
      </c>
      <c r="AN310" s="7" t="str">
        <f t="shared" si="49"/>
        <v/>
      </c>
    </row>
    <row r="311" spans="1:40">
      <c r="A311" s="6">
        <v>60327</v>
      </c>
      <c r="B311" s="6" t="s">
        <v>506</v>
      </c>
      <c r="C311" s="6" t="s">
        <v>955</v>
      </c>
      <c r="D311" s="6">
        <v>61.480587999999997</v>
      </c>
      <c r="E311" s="6">
        <v>62.720402999999997</v>
      </c>
      <c r="F311" s="6" t="s">
        <v>956</v>
      </c>
      <c r="G311" s="6" t="s">
        <v>531</v>
      </c>
      <c r="H311" s="35">
        <v>21243</v>
      </c>
      <c r="I311" s="6" t="s">
        <v>195</v>
      </c>
      <c r="J311" s="6">
        <v>18</v>
      </c>
      <c r="K311" s="6">
        <v>2030</v>
      </c>
      <c r="L311" s="6">
        <v>2</v>
      </c>
      <c r="M311" s="6" t="s">
        <v>45</v>
      </c>
      <c r="N311" s="6" t="s">
        <v>250</v>
      </c>
      <c r="O311" s="6" t="s">
        <v>196</v>
      </c>
      <c r="P311" s="6" t="s">
        <v>251</v>
      </c>
      <c r="Q311" s="6" t="s">
        <v>256</v>
      </c>
      <c r="R311" s="35">
        <v>2384</v>
      </c>
      <c r="S311" s="6">
        <v>348</v>
      </c>
      <c r="T311" s="36" t="s">
        <v>253</v>
      </c>
      <c r="U311" s="46">
        <f>IF($L311&lt;=2,
IF($R311&lt;=RpmDesignStandard!$C$2,RpmDesignStandard!$D$2,
IF(AND($R311&gt;RpmDesignStandard!$B$3,$R311&lt;=RpmDesignStandard!$C$3),RpmDesignStandard!$D$3,RpmDesignStandard!$D$4)),
IF($R311&lt;=RpmDesignStandard!$C$5, RpmDesignStandard!$D$5,
IF(AND($R311&gt;RpmDesignStandard!$B$6,$R311&lt;=RpmDesignStandard!$C$6),RpmDesignStandard!$D$6,
IF(AND($R311&gt;RpmDesignStandard!$B$7,$R311&lt;=RpmDesignStandard!$C$7),RpmDesignStandard!$D$7,RpmDesignStandard!$D$8))))</f>
        <v>4</v>
      </c>
      <c r="V311" s="47">
        <f>U311*RpmDesignStandard!$H$1</f>
        <v>8</v>
      </c>
      <c r="W311" s="37" t="str">
        <f>VLOOKUP(A311,RPM_ProjectRecord!A:AB,8,FALSE)</f>
        <v/>
      </c>
      <c r="X311" s="38" t="str">
        <f t="shared" si="40"/>
        <v/>
      </c>
      <c r="Y311" s="38" t="str">
        <f t="shared" si="41"/>
        <v/>
      </c>
      <c r="Z311" s="38" t="str">
        <f t="shared" si="42"/>
        <v/>
      </c>
      <c r="AA311" s="38" t="str">
        <f t="shared" si="43"/>
        <v/>
      </c>
      <c r="AB311" s="38" t="str">
        <f t="shared" si="44"/>
        <v/>
      </c>
      <c r="AC311" s="38">
        <f>IF(VLOOKUP(A311,'3rdPhaseChipSeal'!A:L,12,FALSE)="","",VLOOKUP(A311,'3rdPhaseChipSeal'!A:L,12,FALSE))</f>
        <v>2037</v>
      </c>
      <c r="AD311" s="38" t="str">
        <f>IFERROR(IF(VLOOKUP(A311,RpmContracts!A:C,3,FALSE)="","",VLOOKUP(A311,RpmContracts!A:C,3,FALSE)),"")</f>
        <v/>
      </c>
      <c r="AE311" s="7" t="str">
        <f>IF(VLOOKUP(A311,'20yPlan'!A:B,2,FALSE)="","",VLOOKUP(A311,'20yPlan'!A:B,2,FALSE))</f>
        <v/>
      </c>
      <c r="AF311" s="7" t="str">
        <f>IF(VLOOKUP(A311,'20yPlan'!A:C,3,FALSE)="","",VLOOKUP(A311,'20yPlan'!A:C,3,FALSE))</f>
        <v/>
      </c>
      <c r="AG311" s="7" t="str">
        <f>IF(VLOOKUP(A311,'20yPlan'!A:D,4,FALSE)="","",VLOOKUP(A311,'20yPlan'!A:D,4,FALSE))</f>
        <v/>
      </c>
      <c r="AH311" s="7" t="str">
        <f>IF(VLOOKUP(A311,'20yPlan'!A:E,5,FALSE)="","",VLOOKUP(A311,'20yPlan'!A:E,5,FALSE))</f>
        <v/>
      </c>
      <c r="AI311" s="7" t="str">
        <f>IF(VLOOKUP(A311,'20yPlan'!A:F,6,FALSE)="","",VLOOKUP(A311,'20yPlan'!A:F,6,FALSE))</f>
        <v/>
      </c>
      <c r="AJ311" s="7" t="str">
        <f t="shared" si="45"/>
        <v>2037 Chip Seal</v>
      </c>
      <c r="AK311" s="7" t="str">
        <f t="shared" si="46"/>
        <v/>
      </c>
      <c r="AL311" s="39">
        <f t="shared" ca="1" si="47"/>
        <v>2025</v>
      </c>
      <c r="AM311" s="7" t="str">
        <f t="shared" si="48"/>
        <v/>
      </c>
      <c r="AN311" s="7" t="str">
        <f t="shared" si="49"/>
        <v/>
      </c>
    </row>
    <row r="312" spans="1:40">
      <c r="A312" s="6">
        <v>60328</v>
      </c>
      <c r="B312" s="6" t="s">
        <v>663</v>
      </c>
      <c r="C312" s="6" t="s">
        <v>957</v>
      </c>
      <c r="D312" s="6">
        <v>22.905919999999998</v>
      </c>
      <c r="E312" s="6">
        <v>25.067121</v>
      </c>
      <c r="F312" s="6" t="s">
        <v>890</v>
      </c>
      <c r="G312" s="6" t="s">
        <v>676</v>
      </c>
      <c r="H312" s="35">
        <v>44438</v>
      </c>
      <c r="I312" s="6" t="s">
        <v>44</v>
      </c>
      <c r="J312" s="6">
        <v>2</v>
      </c>
      <c r="K312" s="6"/>
      <c r="L312" s="6">
        <v>2</v>
      </c>
      <c r="M312" s="6" t="s">
        <v>45</v>
      </c>
      <c r="N312" s="6" t="s">
        <v>250</v>
      </c>
      <c r="O312" s="6" t="s">
        <v>121</v>
      </c>
      <c r="P312" s="6" t="s">
        <v>668</v>
      </c>
      <c r="Q312" s="6" t="s">
        <v>116</v>
      </c>
      <c r="R312" s="35">
        <v>4819</v>
      </c>
      <c r="S312" s="6">
        <v>382</v>
      </c>
      <c r="T312" s="36" t="s">
        <v>50</v>
      </c>
      <c r="U312" s="46">
        <f>IF($L312&lt;=2,
IF($R312&lt;=RpmDesignStandard!$C$2,RpmDesignStandard!$D$2,
IF(AND($R312&gt;RpmDesignStandard!$B$3,$R312&lt;=RpmDesignStandard!$C$3),RpmDesignStandard!$D$3,RpmDesignStandard!$D$4)),
IF($R312&lt;=RpmDesignStandard!$C$5, RpmDesignStandard!$D$5,
IF(AND($R312&gt;RpmDesignStandard!$B$6,$R312&lt;=RpmDesignStandard!$C$6),RpmDesignStandard!$D$6,
IF(AND($R312&gt;RpmDesignStandard!$B$7,$R312&lt;=RpmDesignStandard!$C$7),RpmDesignStandard!$D$7,RpmDesignStandard!$D$8))))</f>
        <v>4</v>
      </c>
      <c r="V312" s="47">
        <f>U312*RpmDesignStandard!$H$1</f>
        <v>8</v>
      </c>
      <c r="W312" s="37">
        <f>VLOOKUP(A312,RPM_ProjectRecord!A:AB,8,FALSE)</f>
        <v>2021</v>
      </c>
      <c r="X312" s="38" t="str">
        <f t="shared" si="40"/>
        <v/>
      </c>
      <c r="Y312" s="38" t="str">
        <f t="shared" si="41"/>
        <v/>
      </c>
      <c r="Z312" s="38" t="str">
        <f t="shared" si="42"/>
        <v/>
      </c>
      <c r="AA312" s="38" t="str">
        <f t="shared" si="43"/>
        <v/>
      </c>
      <c r="AB312" s="38" t="str">
        <f t="shared" si="44"/>
        <v/>
      </c>
      <c r="AC312" s="38" t="str">
        <f>IF(VLOOKUP(A312,'3rdPhaseChipSeal'!A:L,12,FALSE)="","",VLOOKUP(A312,'3rdPhaseChipSeal'!A:L,12,FALSE))</f>
        <v/>
      </c>
      <c r="AD312" s="38" t="str">
        <f>IFERROR(IF(VLOOKUP(A312,RpmContracts!A:C,3,FALSE)="","",VLOOKUP(A312,RpmContracts!A:C,3,FALSE)),"")</f>
        <v/>
      </c>
      <c r="AE312" s="7" t="str">
        <f>IF(VLOOKUP(A312,'20yPlan'!A:B,2,FALSE)="","",VLOOKUP(A312,'20yPlan'!A:B,2,FALSE))</f>
        <v/>
      </c>
      <c r="AF312" s="7" t="str">
        <f>IF(VLOOKUP(A312,'20yPlan'!A:C,3,FALSE)="","",VLOOKUP(A312,'20yPlan'!A:C,3,FALSE))</f>
        <v/>
      </c>
      <c r="AG312" s="7" t="str">
        <f>IF(VLOOKUP(A312,'20yPlan'!A:D,4,FALSE)="","",VLOOKUP(A312,'20yPlan'!A:D,4,FALSE))</f>
        <v/>
      </c>
      <c r="AH312" s="7" t="str">
        <f>IF(VLOOKUP(A312,'20yPlan'!A:E,5,FALSE)="","",VLOOKUP(A312,'20yPlan'!A:E,5,FALSE))</f>
        <v/>
      </c>
      <c r="AI312" s="7" t="str">
        <f>IF(VLOOKUP(A312,'20yPlan'!A:F,6,FALSE)="","",VLOOKUP(A312,'20yPlan'!A:F,6,FALSE))</f>
        <v/>
      </c>
      <c r="AJ312" s="7" t="str">
        <f t="shared" si="45"/>
        <v/>
      </c>
      <c r="AK312" s="7" t="str">
        <f t="shared" si="46"/>
        <v/>
      </c>
      <c r="AL312" s="39">
        <f t="shared" ca="1" si="47"/>
        <v>2025</v>
      </c>
      <c r="AM312" s="7" t="str">
        <f t="shared" si="48"/>
        <v/>
      </c>
      <c r="AN312" s="7" t="str">
        <f t="shared" si="49"/>
        <v/>
      </c>
    </row>
    <row r="313" spans="1:40">
      <c r="A313" s="6">
        <v>60330</v>
      </c>
      <c r="B313" s="6" t="s">
        <v>102</v>
      </c>
      <c r="C313" s="6" t="s">
        <v>958</v>
      </c>
      <c r="D313" s="6">
        <v>92.718073000000004</v>
      </c>
      <c r="E313" s="6">
        <v>96.636035000000007</v>
      </c>
      <c r="F313" s="6" t="s">
        <v>867</v>
      </c>
      <c r="G313" s="6" t="s">
        <v>959</v>
      </c>
      <c r="H313" s="35">
        <v>200231</v>
      </c>
      <c r="I313" s="6" t="s">
        <v>55</v>
      </c>
      <c r="J313" s="6">
        <v>8</v>
      </c>
      <c r="K313" s="6">
        <v>2033</v>
      </c>
      <c r="L313" s="6">
        <v>4</v>
      </c>
      <c r="M313" s="6" t="s">
        <v>45</v>
      </c>
      <c r="N313" s="6" t="s">
        <v>46</v>
      </c>
      <c r="O313" s="6" t="s">
        <v>165</v>
      </c>
      <c r="P313" s="6" t="s">
        <v>236</v>
      </c>
      <c r="Q313" s="6" t="s">
        <v>240</v>
      </c>
      <c r="R313" s="35">
        <v>10582</v>
      </c>
      <c r="S313" s="35">
        <v>1896</v>
      </c>
      <c r="T313" s="36" t="s">
        <v>50</v>
      </c>
      <c r="U313" s="46">
        <f>IF($L313&lt;=2,
IF($R313&lt;=RpmDesignStandard!$C$2,RpmDesignStandard!$D$2,
IF(AND($R313&gt;RpmDesignStandard!$B$3,$R313&lt;=RpmDesignStandard!$C$3),RpmDesignStandard!$D$3,RpmDesignStandard!$D$4)),
IF($R313&lt;=RpmDesignStandard!$C$5, RpmDesignStandard!$D$5,
IF(AND($R313&gt;RpmDesignStandard!$B$6,$R313&lt;=RpmDesignStandard!$C$6),RpmDesignStandard!$D$6,
IF(AND($R313&gt;RpmDesignStandard!$B$7,$R313&lt;=RpmDesignStandard!$C$7),RpmDesignStandard!$D$7,RpmDesignStandard!$D$8))))</f>
        <v>3</v>
      </c>
      <c r="V313" s="47">
        <f>U313*RpmDesignStandard!$H$1</f>
        <v>6</v>
      </c>
      <c r="W313" s="37" t="str">
        <f>VLOOKUP(A313,RPM_ProjectRecord!A:AB,8,FALSE)</f>
        <v/>
      </c>
      <c r="X313" s="38">
        <f t="shared" si="40"/>
        <v>2033</v>
      </c>
      <c r="Y313" s="38" t="str">
        <f t="shared" si="41"/>
        <v/>
      </c>
      <c r="Z313" s="38" t="str">
        <f t="shared" si="42"/>
        <v/>
      </c>
      <c r="AA313" s="38" t="str">
        <f t="shared" si="43"/>
        <v/>
      </c>
      <c r="AB313" s="38" t="str">
        <f t="shared" si="44"/>
        <v/>
      </c>
      <c r="AC313" s="38" t="str">
        <f>IF(VLOOKUP(A313,'3rdPhaseChipSeal'!A:L,12,FALSE)="","",VLOOKUP(A313,'3rdPhaseChipSeal'!A:L,12,FALSE))</f>
        <v/>
      </c>
      <c r="AD313" s="38">
        <f>IFERROR(IF(VLOOKUP(A313,RpmContracts!A:C,3,FALSE)="","",VLOOKUP(A313,RpmContracts!A:C,3,FALSE)),"")</f>
        <v>2027</v>
      </c>
      <c r="AE313" s="7" t="str">
        <f>IF(VLOOKUP(A313,'20yPlan'!A:B,2,FALSE)="","",VLOOKUP(A313,'20yPlan'!A:B,2,FALSE))</f>
        <v>2033 Preventive Maintenance</v>
      </c>
      <c r="AF313" s="7" t="str">
        <f>IF(VLOOKUP(A313,'20yPlan'!A:C,3,FALSE)="","",VLOOKUP(A313,'20yPlan'!A:C,3,FALSE))</f>
        <v/>
      </c>
      <c r="AG313" s="7" t="str">
        <f>IF(VLOOKUP(A313,'20yPlan'!A:D,4,FALSE)="","",VLOOKUP(A313,'20yPlan'!A:D,4,FALSE))</f>
        <v/>
      </c>
      <c r="AH313" s="7" t="str">
        <f>IF(VLOOKUP(A313,'20yPlan'!A:E,5,FALSE)="","",VLOOKUP(A313,'20yPlan'!A:E,5,FALSE))</f>
        <v/>
      </c>
      <c r="AI313" s="7" t="str">
        <f>IF(VLOOKUP(A313,'20yPlan'!A:F,6,FALSE)="","",VLOOKUP(A313,'20yPlan'!A:F,6,FALSE))</f>
        <v/>
      </c>
      <c r="AJ313" s="7" t="str">
        <f t="shared" si="45"/>
        <v/>
      </c>
      <c r="AK313" s="7" t="str">
        <f t="shared" si="46"/>
        <v>2027 RPM Replacement</v>
      </c>
      <c r="AL313" s="39">
        <f t="shared" ca="1" si="47"/>
        <v>2025</v>
      </c>
      <c r="AM313" s="7">
        <f t="shared" si="48"/>
        <v>2027</v>
      </c>
      <c r="AN313" s="7" t="str">
        <f t="shared" si="49"/>
        <v>2027 RPM Replacement</v>
      </c>
    </row>
    <row r="314" spans="1:40">
      <c r="A314" s="6">
        <v>60331</v>
      </c>
      <c r="B314" s="6" t="s">
        <v>102</v>
      </c>
      <c r="C314" s="6" t="s">
        <v>960</v>
      </c>
      <c r="D314" s="6">
        <v>96.636035000000007</v>
      </c>
      <c r="E314" s="6">
        <v>104.40630899999999</v>
      </c>
      <c r="F314" s="6" t="s">
        <v>959</v>
      </c>
      <c r="G314" s="6" t="s">
        <v>961</v>
      </c>
      <c r="H314" s="35">
        <v>375332</v>
      </c>
      <c r="I314" s="6" t="s">
        <v>55</v>
      </c>
      <c r="J314" s="6">
        <v>8</v>
      </c>
      <c r="K314" s="6">
        <v>2036</v>
      </c>
      <c r="L314" s="6">
        <v>4</v>
      </c>
      <c r="M314" s="6" t="s">
        <v>111</v>
      </c>
      <c r="N314" s="6" t="s">
        <v>46</v>
      </c>
      <c r="O314" s="6" t="s">
        <v>285</v>
      </c>
      <c r="P314" s="6" t="s">
        <v>286</v>
      </c>
      <c r="Q314" s="6" t="s">
        <v>944</v>
      </c>
      <c r="R314" s="35">
        <v>11561</v>
      </c>
      <c r="S314" s="35">
        <v>2307</v>
      </c>
      <c r="T314" s="36" t="s">
        <v>50</v>
      </c>
      <c r="U314" s="46">
        <f>IF($L314&lt;=2,
IF($R314&lt;=RpmDesignStandard!$C$2,RpmDesignStandard!$D$2,
IF(AND($R314&gt;RpmDesignStandard!$B$3,$R314&lt;=RpmDesignStandard!$C$3),RpmDesignStandard!$D$3,RpmDesignStandard!$D$4)),
IF($R314&lt;=RpmDesignStandard!$C$5, RpmDesignStandard!$D$5,
IF(AND($R314&gt;RpmDesignStandard!$B$6,$R314&lt;=RpmDesignStandard!$C$6),RpmDesignStandard!$D$6,
IF(AND($R314&gt;RpmDesignStandard!$B$7,$R314&lt;=RpmDesignStandard!$C$7),RpmDesignStandard!$D$7,RpmDesignStandard!$D$8))))</f>
        <v>3</v>
      </c>
      <c r="V314" s="47">
        <f>U314*RpmDesignStandard!$H$1</f>
        <v>6</v>
      </c>
      <c r="W314" s="37" t="str">
        <f>VLOOKUP(A314,RPM_ProjectRecord!A:AB,8,FALSE)</f>
        <v/>
      </c>
      <c r="X314" s="38">
        <f t="shared" si="40"/>
        <v>2036</v>
      </c>
      <c r="Y314" s="38" t="str">
        <f t="shared" si="41"/>
        <v/>
      </c>
      <c r="Z314" s="38" t="str">
        <f t="shared" si="42"/>
        <v/>
      </c>
      <c r="AA314" s="38" t="str">
        <f t="shared" si="43"/>
        <v/>
      </c>
      <c r="AB314" s="38" t="str">
        <f t="shared" si="44"/>
        <v/>
      </c>
      <c r="AC314" s="38" t="str">
        <f>IF(VLOOKUP(A314,'3rdPhaseChipSeal'!A:L,12,FALSE)="","",VLOOKUP(A314,'3rdPhaseChipSeal'!A:L,12,FALSE))</f>
        <v/>
      </c>
      <c r="AD314" s="38">
        <f>IFERROR(IF(VLOOKUP(A314,RpmContracts!A:C,3,FALSE)="","",VLOOKUP(A314,RpmContracts!A:C,3,FALSE)),"")</f>
        <v>2027</v>
      </c>
      <c r="AE314" s="7" t="str">
        <f>IF(VLOOKUP(A314,'20yPlan'!A:B,2,FALSE)="","",VLOOKUP(A314,'20yPlan'!A:B,2,FALSE))</f>
        <v>2036 Preventive Maintenance</v>
      </c>
      <c r="AF314" s="7" t="str">
        <f>IF(VLOOKUP(A314,'20yPlan'!A:C,3,FALSE)="","",VLOOKUP(A314,'20yPlan'!A:C,3,FALSE))</f>
        <v/>
      </c>
      <c r="AG314" s="7" t="str">
        <f>IF(VLOOKUP(A314,'20yPlan'!A:D,4,FALSE)="","",VLOOKUP(A314,'20yPlan'!A:D,4,FALSE))</f>
        <v/>
      </c>
      <c r="AH314" s="7" t="str">
        <f>IF(VLOOKUP(A314,'20yPlan'!A:E,5,FALSE)="","",VLOOKUP(A314,'20yPlan'!A:E,5,FALSE))</f>
        <v/>
      </c>
      <c r="AI314" s="7" t="str">
        <f>IF(VLOOKUP(A314,'20yPlan'!A:F,6,FALSE)="","",VLOOKUP(A314,'20yPlan'!A:F,6,FALSE))</f>
        <v/>
      </c>
      <c r="AJ314" s="7" t="str">
        <f t="shared" si="45"/>
        <v/>
      </c>
      <c r="AK314" s="7" t="str">
        <f t="shared" si="46"/>
        <v>2027 RPM Replacement</v>
      </c>
      <c r="AL314" s="39">
        <f t="shared" ca="1" si="47"/>
        <v>2025</v>
      </c>
      <c r="AM314" s="7">
        <f t="shared" si="48"/>
        <v>2027</v>
      </c>
      <c r="AN314" s="7" t="str">
        <f t="shared" si="49"/>
        <v>2027 RPM Replacement</v>
      </c>
    </row>
    <row r="315" spans="1:40">
      <c r="A315" s="6">
        <v>60332</v>
      </c>
      <c r="B315" s="6" t="s">
        <v>621</v>
      </c>
      <c r="C315" s="6" t="s">
        <v>962</v>
      </c>
      <c r="D315" s="6">
        <v>42.629134999999998</v>
      </c>
      <c r="E315" s="6">
        <v>42.874743000000002</v>
      </c>
      <c r="F315" s="6" t="s">
        <v>963</v>
      </c>
      <c r="G315" s="6" t="s">
        <v>638</v>
      </c>
      <c r="H315" s="35">
        <v>9038</v>
      </c>
      <c r="I315" s="6" t="s">
        <v>154</v>
      </c>
      <c r="J315" s="6">
        <v>1</v>
      </c>
      <c r="K315" s="6"/>
      <c r="L315" s="6">
        <v>4</v>
      </c>
      <c r="M315" s="6" t="s">
        <v>111</v>
      </c>
      <c r="N315" s="6" t="s">
        <v>250</v>
      </c>
      <c r="O315" s="6" t="s">
        <v>61</v>
      </c>
      <c r="P315" s="6" t="s">
        <v>381</v>
      </c>
      <c r="Q315" s="6" t="s">
        <v>382</v>
      </c>
      <c r="R315" s="35">
        <v>20418</v>
      </c>
      <c r="S315" s="6">
        <v>758</v>
      </c>
      <c r="T315" s="36" t="s">
        <v>50</v>
      </c>
      <c r="U315" s="46">
        <f>IF($L315&lt;=2,
IF($R315&lt;=RpmDesignStandard!$C$2,RpmDesignStandard!$D$2,
IF(AND($R315&gt;RpmDesignStandard!$B$3,$R315&lt;=RpmDesignStandard!$C$3),RpmDesignStandard!$D$3,RpmDesignStandard!$D$4)),
IF($R315&lt;=RpmDesignStandard!$C$5, RpmDesignStandard!$D$5,
IF(AND($R315&gt;RpmDesignStandard!$B$6,$R315&lt;=RpmDesignStandard!$C$6),RpmDesignStandard!$D$6,
IF(AND($R315&gt;RpmDesignStandard!$B$7,$R315&lt;=RpmDesignStandard!$C$7),RpmDesignStandard!$D$7,RpmDesignStandard!$D$8))))</f>
        <v>3</v>
      </c>
      <c r="V315" s="47">
        <f>U315*RpmDesignStandard!$H$1</f>
        <v>6</v>
      </c>
      <c r="W315" s="37" t="str">
        <f>VLOOKUP(A315,RPM_ProjectRecord!A:AB,8,FALSE)</f>
        <v/>
      </c>
      <c r="X315" s="38" t="str">
        <f t="shared" si="40"/>
        <v/>
      </c>
      <c r="Y315" s="38" t="str">
        <f t="shared" si="41"/>
        <v/>
      </c>
      <c r="Z315" s="38" t="str">
        <f t="shared" si="42"/>
        <v/>
      </c>
      <c r="AA315" s="38" t="str">
        <f t="shared" si="43"/>
        <v/>
      </c>
      <c r="AB315" s="38" t="str">
        <f t="shared" si="44"/>
        <v/>
      </c>
      <c r="AC315" s="38" t="str">
        <f>IF(VLOOKUP(A315,'3rdPhaseChipSeal'!A:L,12,FALSE)="","",VLOOKUP(A315,'3rdPhaseChipSeal'!A:L,12,FALSE))</f>
        <v/>
      </c>
      <c r="AD315" s="38" t="str">
        <f>IFERROR(IF(VLOOKUP(A315,RpmContracts!A:C,3,FALSE)="","",VLOOKUP(A315,RpmContracts!A:C,3,FALSE)),"")</f>
        <v/>
      </c>
      <c r="AE315" s="7" t="str">
        <f>IF(VLOOKUP(A315,'20yPlan'!A:B,2,FALSE)="","",VLOOKUP(A315,'20yPlan'!A:B,2,FALSE))</f>
        <v/>
      </c>
      <c r="AF315" s="7" t="str">
        <f>IF(VLOOKUP(A315,'20yPlan'!A:C,3,FALSE)="","",VLOOKUP(A315,'20yPlan'!A:C,3,FALSE))</f>
        <v/>
      </c>
      <c r="AG315" s="7" t="str">
        <f>IF(VLOOKUP(A315,'20yPlan'!A:D,4,FALSE)="","",VLOOKUP(A315,'20yPlan'!A:D,4,FALSE))</f>
        <v/>
      </c>
      <c r="AH315" s="7" t="str">
        <f>IF(VLOOKUP(A315,'20yPlan'!A:E,5,FALSE)="","",VLOOKUP(A315,'20yPlan'!A:E,5,FALSE))</f>
        <v/>
      </c>
      <c r="AI315" s="7" t="str">
        <f>IF(VLOOKUP(A315,'20yPlan'!A:F,6,FALSE)="","",VLOOKUP(A315,'20yPlan'!A:F,6,FALSE))</f>
        <v/>
      </c>
      <c r="AJ315" s="7" t="str">
        <f t="shared" si="45"/>
        <v/>
      </c>
      <c r="AK315" s="7" t="str">
        <f t="shared" si="46"/>
        <v/>
      </c>
      <c r="AL315" s="39">
        <f t="shared" ca="1" si="47"/>
        <v>2025</v>
      </c>
      <c r="AM315" s="7" t="str">
        <f t="shared" si="48"/>
        <v/>
      </c>
      <c r="AN315" s="7" t="str">
        <f t="shared" si="49"/>
        <v/>
      </c>
    </row>
    <row r="316" spans="1:40">
      <c r="A316" s="6">
        <v>60333</v>
      </c>
      <c r="B316" s="6" t="s">
        <v>279</v>
      </c>
      <c r="C316" s="6" t="s">
        <v>964</v>
      </c>
      <c r="D316" s="6">
        <v>9.9742669999999993</v>
      </c>
      <c r="E316" s="6">
        <v>12.348478</v>
      </c>
      <c r="F316" s="6" t="s">
        <v>838</v>
      </c>
      <c r="G316" s="6" t="s">
        <v>965</v>
      </c>
      <c r="H316" s="35">
        <v>33246</v>
      </c>
      <c r="I316" s="6" t="s">
        <v>195</v>
      </c>
      <c r="J316" s="6">
        <v>14</v>
      </c>
      <c r="K316" s="6">
        <v>2030</v>
      </c>
      <c r="L316" s="6">
        <v>2</v>
      </c>
      <c r="M316" s="6" t="s">
        <v>45</v>
      </c>
      <c r="N316" s="6" t="s">
        <v>250</v>
      </c>
      <c r="O316" s="6" t="s">
        <v>165</v>
      </c>
      <c r="P316" s="6" t="s">
        <v>236</v>
      </c>
      <c r="Q316" s="6" t="s">
        <v>240</v>
      </c>
      <c r="R316" s="35">
        <v>1268</v>
      </c>
      <c r="S316" s="6">
        <v>153</v>
      </c>
      <c r="T316" s="36" t="s">
        <v>253</v>
      </c>
      <c r="U316" s="46">
        <f>IF($L316&lt;=2,
IF($R316&lt;=RpmDesignStandard!$C$2,RpmDesignStandard!$D$2,
IF(AND($R316&gt;RpmDesignStandard!$B$3,$R316&lt;=RpmDesignStandard!$C$3),RpmDesignStandard!$D$3,RpmDesignStandard!$D$4)),
IF($R316&lt;=RpmDesignStandard!$C$5, RpmDesignStandard!$D$5,
IF(AND($R316&gt;RpmDesignStandard!$B$6,$R316&lt;=RpmDesignStandard!$C$6),RpmDesignStandard!$D$6,
IF(AND($R316&gt;RpmDesignStandard!$B$7,$R316&lt;=RpmDesignStandard!$C$7),RpmDesignStandard!$D$7,RpmDesignStandard!$D$8))))</f>
        <v>4</v>
      </c>
      <c r="V316" s="47">
        <f>U316*RpmDesignStandard!$H$1</f>
        <v>8</v>
      </c>
      <c r="W316" s="37">
        <f>VLOOKUP(A316,RPM_ProjectRecord!A:AB,8,FALSE)</f>
        <v>2024</v>
      </c>
      <c r="X316" s="38" t="str">
        <f t="shared" si="40"/>
        <v/>
      </c>
      <c r="Y316" s="38" t="str">
        <f t="shared" si="41"/>
        <v/>
      </c>
      <c r="Z316" s="38" t="str">
        <f t="shared" si="42"/>
        <v/>
      </c>
      <c r="AA316" s="38" t="str">
        <f t="shared" si="43"/>
        <v/>
      </c>
      <c r="AB316" s="38" t="str">
        <f t="shared" si="44"/>
        <v/>
      </c>
      <c r="AC316" s="38">
        <f>IF(VLOOKUP(A316,'3rdPhaseChipSeal'!A:L,12,FALSE)="","",VLOOKUP(A316,'3rdPhaseChipSeal'!A:L,12,FALSE))</f>
        <v>2033</v>
      </c>
      <c r="AD316" s="38" t="str">
        <f>IFERROR(IF(VLOOKUP(A316,RpmContracts!A:C,3,FALSE)="","",VLOOKUP(A316,RpmContracts!A:C,3,FALSE)),"")</f>
        <v/>
      </c>
      <c r="AE316" s="7" t="str">
        <f>IF(VLOOKUP(A316,'20yPlan'!A:B,2,FALSE)="","",VLOOKUP(A316,'20yPlan'!A:B,2,FALSE))</f>
        <v/>
      </c>
      <c r="AF316" s="7" t="str">
        <f>IF(VLOOKUP(A316,'20yPlan'!A:C,3,FALSE)="","",VLOOKUP(A316,'20yPlan'!A:C,3,FALSE))</f>
        <v/>
      </c>
      <c r="AG316" s="7" t="str">
        <f>IF(VLOOKUP(A316,'20yPlan'!A:D,4,FALSE)="","",VLOOKUP(A316,'20yPlan'!A:D,4,FALSE))</f>
        <v/>
      </c>
      <c r="AH316" s="7" t="str">
        <f>IF(VLOOKUP(A316,'20yPlan'!A:E,5,FALSE)="","",VLOOKUP(A316,'20yPlan'!A:E,5,FALSE))</f>
        <v/>
      </c>
      <c r="AI316" s="7" t="str">
        <f>IF(VLOOKUP(A316,'20yPlan'!A:F,6,FALSE)="","",VLOOKUP(A316,'20yPlan'!A:F,6,FALSE))</f>
        <v/>
      </c>
      <c r="AJ316" s="7" t="str">
        <f t="shared" si="45"/>
        <v>2033 Chip Seal</v>
      </c>
      <c r="AK316" s="7" t="str">
        <f t="shared" si="46"/>
        <v/>
      </c>
      <c r="AL316" s="39">
        <f t="shared" ca="1" si="47"/>
        <v>2028</v>
      </c>
      <c r="AM316" s="7" t="str">
        <f t="shared" si="48"/>
        <v/>
      </c>
      <c r="AN316" s="7" t="str">
        <f t="shared" si="49"/>
        <v/>
      </c>
    </row>
    <row r="317" spans="1:40">
      <c r="A317" s="6">
        <v>60334</v>
      </c>
      <c r="B317" s="6" t="s">
        <v>621</v>
      </c>
      <c r="C317" s="6" t="s">
        <v>966</v>
      </c>
      <c r="D317" s="6">
        <v>32.520614999999999</v>
      </c>
      <c r="E317" s="6">
        <v>42.628135</v>
      </c>
      <c r="F317" s="6" t="s">
        <v>632</v>
      </c>
      <c r="G317" s="6" t="s">
        <v>967</v>
      </c>
      <c r="H317" s="35">
        <v>537218</v>
      </c>
      <c r="I317" s="6" t="s">
        <v>154</v>
      </c>
      <c r="J317" s="6">
        <v>1</v>
      </c>
      <c r="K317" s="6"/>
      <c r="L317" s="6">
        <v>4</v>
      </c>
      <c r="M317" s="6" t="s">
        <v>111</v>
      </c>
      <c r="N317" s="6" t="s">
        <v>250</v>
      </c>
      <c r="O317" s="6" t="s">
        <v>61</v>
      </c>
      <c r="P317" s="6" t="s">
        <v>112</v>
      </c>
      <c r="Q317" s="6" t="s">
        <v>633</v>
      </c>
      <c r="R317" s="35">
        <v>14595</v>
      </c>
      <c r="S317" s="6">
        <v>540</v>
      </c>
      <c r="T317" s="36" t="s">
        <v>50</v>
      </c>
      <c r="U317" s="46">
        <f>IF($L317&lt;=2,
IF($R317&lt;=RpmDesignStandard!$C$2,RpmDesignStandard!$D$2,
IF(AND($R317&gt;RpmDesignStandard!$B$3,$R317&lt;=RpmDesignStandard!$C$3),RpmDesignStandard!$D$3,RpmDesignStandard!$D$4)),
IF($R317&lt;=RpmDesignStandard!$C$5, RpmDesignStandard!$D$5,
IF(AND($R317&gt;RpmDesignStandard!$B$6,$R317&lt;=RpmDesignStandard!$C$6),RpmDesignStandard!$D$6,
IF(AND($R317&gt;RpmDesignStandard!$B$7,$R317&lt;=RpmDesignStandard!$C$7),RpmDesignStandard!$D$7,RpmDesignStandard!$D$8))))</f>
        <v>3</v>
      </c>
      <c r="V317" s="47">
        <f>U317*RpmDesignStandard!$H$1</f>
        <v>6</v>
      </c>
      <c r="W317" s="37">
        <f>VLOOKUP(A317,RPM_ProjectRecord!A:AB,8,FALSE)</f>
        <v>2024</v>
      </c>
      <c r="X317" s="38" t="str">
        <f t="shared" si="40"/>
        <v/>
      </c>
      <c r="Y317" s="38" t="str">
        <f t="shared" si="41"/>
        <v/>
      </c>
      <c r="Z317" s="38" t="str">
        <f t="shared" si="42"/>
        <v/>
      </c>
      <c r="AA317" s="38" t="str">
        <f t="shared" si="43"/>
        <v/>
      </c>
      <c r="AB317" s="38" t="str">
        <f t="shared" si="44"/>
        <v/>
      </c>
      <c r="AC317" s="38" t="str">
        <f>IF(VLOOKUP(A317,'3rdPhaseChipSeal'!A:L,12,FALSE)="","",VLOOKUP(A317,'3rdPhaseChipSeal'!A:L,12,FALSE))</f>
        <v/>
      </c>
      <c r="AD317" s="38" t="str">
        <f>IFERROR(IF(VLOOKUP(A317,RpmContracts!A:C,3,FALSE)="","",VLOOKUP(A317,RpmContracts!A:C,3,FALSE)),"")</f>
        <v/>
      </c>
      <c r="AE317" s="7" t="str">
        <f>IF(VLOOKUP(A317,'20yPlan'!A:B,2,FALSE)="","",VLOOKUP(A317,'20yPlan'!A:B,2,FALSE))</f>
        <v/>
      </c>
      <c r="AF317" s="7" t="str">
        <f>IF(VLOOKUP(A317,'20yPlan'!A:C,3,FALSE)="","",VLOOKUP(A317,'20yPlan'!A:C,3,FALSE))</f>
        <v/>
      </c>
      <c r="AG317" s="7" t="str">
        <f>IF(VLOOKUP(A317,'20yPlan'!A:D,4,FALSE)="","",VLOOKUP(A317,'20yPlan'!A:D,4,FALSE))</f>
        <v/>
      </c>
      <c r="AH317" s="7" t="str">
        <f>IF(VLOOKUP(A317,'20yPlan'!A:E,5,FALSE)="","",VLOOKUP(A317,'20yPlan'!A:E,5,FALSE))</f>
        <v/>
      </c>
      <c r="AI317" s="7" t="str">
        <f>IF(VLOOKUP(A317,'20yPlan'!A:F,6,FALSE)="","",VLOOKUP(A317,'20yPlan'!A:F,6,FALSE))</f>
        <v/>
      </c>
      <c r="AJ317" s="7" t="str">
        <f t="shared" si="45"/>
        <v/>
      </c>
      <c r="AK317" s="7" t="str">
        <f t="shared" si="46"/>
        <v/>
      </c>
      <c r="AL317" s="39">
        <f t="shared" ca="1" si="47"/>
        <v>2027</v>
      </c>
      <c r="AM317" s="7" t="str">
        <f t="shared" si="48"/>
        <v/>
      </c>
      <c r="AN317" s="7" t="str">
        <f t="shared" si="49"/>
        <v/>
      </c>
    </row>
    <row r="318" spans="1:40">
      <c r="A318" s="6">
        <v>60335</v>
      </c>
      <c r="B318" s="6" t="s">
        <v>968</v>
      </c>
      <c r="C318" s="6" t="s">
        <v>969</v>
      </c>
      <c r="D318" s="6">
        <v>0</v>
      </c>
      <c r="E318" s="6">
        <v>0.545404</v>
      </c>
      <c r="F318" s="6"/>
      <c r="G318" s="6"/>
      <c r="H318" s="35">
        <v>27315</v>
      </c>
      <c r="I318" s="6" t="s">
        <v>154</v>
      </c>
      <c r="J318" s="6">
        <v>43</v>
      </c>
      <c r="K318" s="6">
        <v>2026</v>
      </c>
      <c r="L318" s="6">
        <v>3</v>
      </c>
      <c r="M318" s="6" t="s">
        <v>45</v>
      </c>
      <c r="N318" s="6" t="s">
        <v>250</v>
      </c>
      <c r="O318" s="6" t="s">
        <v>196</v>
      </c>
      <c r="P318" s="6" t="s">
        <v>201</v>
      </c>
      <c r="Q318" s="6" t="s">
        <v>198</v>
      </c>
      <c r="R318" s="35">
        <v>8787</v>
      </c>
      <c r="S318" s="6">
        <v>713</v>
      </c>
      <c r="T318" s="36" t="s">
        <v>50</v>
      </c>
      <c r="U318" s="46">
        <f>IF($L318&lt;=2,
IF($R318&lt;=RpmDesignStandard!$C$2,RpmDesignStandard!$D$2,
IF(AND($R318&gt;RpmDesignStandard!$B$3,$R318&lt;=RpmDesignStandard!$C$3),RpmDesignStandard!$D$3,RpmDesignStandard!$D$4)),
IF($R318&lt;=RpmDesignStandard!$C$5, RpmDesignStandard!$D$5,
IF(AND($R318&gt;RpmDesignStandard!$B$6,$R318&lt;=RpmDesignStandard!$C$6),RpmDesignStandard!$D$6,
IF(AND($R318&gt;RpmDesignStandard!$B$7,$R318&lt;=RpmDesignStandard!$C$7),RpmDesignStandard!$D$7,RpmDesignStandard!$D$8))))</f>
        <v>4</v>
      </c>
      <c r="V318" s="47">
        <f>U318*RpmDesignStandard!$H$1</f>
        <v>8</v>
      </c>
      <c r="W318" s="37" t="str">
        <f>VLOOKUP(A318,RPM_ProjectRecord!A:AB,8,FALSE)</f>
        <v/>
      </c>
      <c r="X318" s="38" t="str">
        <f t="shared" si="40"/>
        <v/>
      </c>
      <c r="Y318" s="38" t="str">
        <f t="shared" si="41"/>
        <v/>
      </c>
      <c r="Z318" s="38" t="str">
        <f t="shared" si="42"/>
        <v/>
      </c>
      <c r="AA318" s="38" t="str">
        <f t="shared" si="43"/>
        <v/>
      </c>
      <c r="AB318" s="38" t="str">
        <f t="shared" si="44"/>
        <v/>
      </c>
      <c r="AC318" s="38" t="str">
        <f>IF(VLOOKUP(A318,'3rdPhaseChipSeal'!A:L,12,FALSE)="","",VLOOKUP(A318,'3rdPhaseChipSeal'!A:L,12,FALSE))</f>
        <v/>
      </c>
      <c r="AD318" s="38" t="str">
        <f>IFERROR(IF(VLOOKUP(A318,RpmContracts!A:C,3,FALSE)="","",VLOOKUP(A318,RpmContracts!A:C,3,FALSE)),"")</f>
        <v/>
      </c>
      <c r="AE318" s="7" t="str">
        <f>IF(VLOOKUP(A318,'20yPlan'!A:B,2,FALSE)="","",VLOOKUP(A318,'20yPlan'!A:B,2,FALSE))</f>
        <v/>
      </c>
      <c r="AF318" s="7" t="str">
        <f>IF(VLOOKUP(A318,'20yPlan'!A:C,3,FALSE)="","",VLOOKUP(A318,'20yPlan'!A:C,3,FALSE))</f>
        <v/>
      </c>
      <c r="AG318" s="7" t="str">
        <f>IF(VLOOKUP(A318,'20yPlan'!A:D,4,FALSE)="","",VLOOKUP(A318,'20yPlan'!A:D,4,FALSE))</f>
        <v/>
      </c>
      <c r="AH318" s="7" t="str">
        <f>IF(VLOOKUP(A318,'20yPlan'!A:E,5,FALSE)="","",VLOOKUP(A318,'20yPlan'!A:E,5,FALSE))</f>
        <v/>
      </c>
      <c r="AI318" s="7" t="str">
        <f>IF(VLOOKUP(A318,'20yPlan'!A:F,6,FALSE)="","",VLOOKUP(A318,'20yPlan'!A:F,6,FALSE))</f>
        <v/>
      </c>
      <c r="AJ318" s="7" t="str">
        <f t="shared" si="45"/>
        <v/>
      </c>
      <c r="AK318" s="7" t="str">
        <f t="shared" si="46"/>
        <v/>
      </c>
      <c r="AL318" s="39">
        <f t="shared" ca="1" si="47"/>
        <v>2025</v>
      </c>
      <c r="AM318" s="7" t="str">
        <f t="shared" si="48"/>
        <v/>
      </c>
      <c r="AN318" s="7" t="str">
        <f t="shared" si="49"/>
        <v/>
      </c>
    </row>
    <row r="319" spans="1:40">
      <c r="A319" s="6">
        <v>60337</v>
      </c>
      <c r="B319" s="6" t="s">
        <v>555</v>
      </c>
      <c r="C319" s="6" t="s">
        <v>970</v>
      </c>
      <c r="D319" s="6">
        <v>44.451386999999997</v>
      </c>
      <c r="E319" s="6">
        <v>47.252659000000001</v>
      </c>
      <c r="F319" s="6" t="s">
        <v>882</v>
      </c>
      <c r="G319" s="6" t="s">
        <v>971</v>
      </c>
      <c r="H319" s="35">
        <v>44506</v>
      </c>
      <c r="I319" s="6" t="s">
        <v>195</v>
      </c>
      <c r="J319" s="6">
        <v>10</v>
      </c>
      <c r="K319" s="6">
        <v>2025</v>
      </c>
      <c r="L319" s="6">
        <v>2</v>
      </c>
      <c r="M319" s="6" t="s">
        <v>45</v>
      </c>
      <c r="N319" s="6" t="s">
        <v>250</v>
      </c>
      <c r="O319" s="6" t="s">
        <v>165</v>
      </c>
      <c r="P319" s="6" t="s">
        <v>236</v>
      </c>
      <c r="Q319" s="6" t="s">
        <v>136</v>
      </c>
      <c r="R319" s="35">
        <v>2871</v>
      </c>
      <c r="S319" s="6">
        <v>241</v>
      </c>
      <c r="T319" s="36" t="s">
        <v>253</v>
      </c>
      <c r="U319" s="46">
        <f>IF($L319&lt;=2,
IF($R319&lt;=RpmDesignStandard!$C$2,RpmDesignStandard!$D$2,
IF(AND($R319&gt;RpmDesignStandard!$B$3,$R319&lt;=RpmDesignStandard!$C$3),RpmDesignStandard!$D$3,RpmDesignStandard!$D$4)),
IF($R319&lt;=RpmDesignStandard!$C$5, RpmDesignStandard!$D$5,
IF(AND($R319&gt;RpmDesignStandard!$B$6,$R319&lt;=RpmDesignStandard!$C$6),RpmDesignStandard!$D$6,
IF(AND($R319&gt;RpmDesignStandard!$B$7,$R319&lt;=RpmDesignStandard!$C$7),RpmDesignStandard!$D$7,RpmDesignStandard!$D$8))))</f>
        <v>4</v>
      </c>
      <c r="V319" s="47">
        <f>U319*RpmDesignStandard!$H$1</f>
        <v>8</v>
      </c>
      <c r="W319" s="37">
        <f>VLOOKUP(A319,RPM_ProjectRecord!A:AB,8,FALSE)</f>
        <v>2025</v>
      </c>
      <c r="X319" s="38" t="str">
        <f t="shared" si="40"/>
        <v/>
      </c>
      <c r="Y319" s="38" t="str">
        <f t="shared" si="41"/>
        <v/>
      </c>
      <c r="Z319" s="38" t="str">
        <f t="shared" si="42"/>
        <v/>
      </c>
      <c r="AA319" s="38" t="str">
        <f t="shared" si="43"/>
        <v/>
      </c>
      <c r="AB319" s="38" t="str">
        <f t="shared" si="44"/>
        <v/>
      </c>
      <c r="AC319" s="38">
        <f>IF(VLOOKUP(A319,'3rdPhaseChipSeal'!A:L,12,FALSE)="","",VLOOKUP(A319,'3rdPhaseChipSeal'!A:L,12,FALSE))</f>
        <v>2025</v>
      </c>
      <c r="AD319" s="38" t="str">
        <f>IFERROR(IF(VLOOKUP(A319,RpmContracts!A:C,3,FALSE)="","",VLOOKUP(A319,RpmContracts!A:C,3,FALSE)),"")</f>
        <v/>
      </c>
      <c r="AE319" s="7" t="str">
        <f>IF(VLOOKUP(A319,'20yPlan'!A:B,2,FALSE)="","",VLOOKUP(A319,'20yPlan'!A:B,2,FALSE))</f>
        <v/>
      </c>
      <c r="AF319" s="7" t="str">
        <f>IF(VLOOKUP(A319,'20yPlan'!A:C,3,FALSE)="","",VLOOKUP(A319,'20yPlan'!A:C,3,FALSE))</f>
        <v/>
      </c>
      <c r="AG319" s="7" t="str">
        <f>IF(VLOOKUP(A319,'20yPlan'!A:D,4,FALSE)="","",VLOOKUP(A319,'20yPlan'!A:D,4,FALSE))</f>
        <v/>
      </c>
      <c r="AH319" s="7" t="str">
        <f>IF(VLOOKUP(A319,'20yPlan'!A:E,5,FALSE)="","",VLOOKUP(A319,'20yPlan'!A:E,5,FALSE))</f>
        <v/>
      </c>
      <c r="AI319" s="7" t="str">
        <f>IF(VLOOKUP(A319,'20yPlan'!A:F,6,FALSE)="","",VLOOKUP(A319,'20yPlan'!A:F,6,FALSE))</f>
        <v/>
      </c>
      <c r="AJ319" s="7" t="str">
        <f t="shared" si="45"/>
        <v>2025 Chip Seal</v>
      </c>
      <c r="AK319" s="7" t="str">
        <f t="shared" si="46"/>
        <v/>
      </c>
      <c r="AL319" s="39">
        <f t="shared" ca="1" si="47"/>
        <v>2029</v>
      </c>
      <c r="AM319" s="7" t="str">
        <f t="shared" si="48"/>
        <v/>
      </c>
      <c r="AN319" s="7" t="str">
        <f t="shared" si="49"/>
        <v/>
      </c>
    </row>
    <row r="320" spans="1:40">
      <c r="A320" s="6">
        <v>60338</v>
      </c>
      <c r="B320" s="6" t="s">
        <v>275</v>
      </c>
      <c r="C320" s="6" t="s">
        <v>455</v>
      </c>
      <c r="D320" s="6">
        <v>5.6767709999999996</v>
      </c>
      <c r="E320" s="6">
        <v>13.195943</v>
      </c>
      <c r="F320" s="6" t="s">
        <v>278</v>
      </c>
      <c r="G320" s="6" t="s">
        <v>972</v>
      </c>
      <c r="H320" s="35">
        <v>135169</v>
      </c>
      <c r="I320" s="6" t="s">
        <v>195</v>
      </c>
      <c r="J320" s="6">
        <v>18</v>
      </c>
      <c r="K320" s="6">
        <v>2025</v>
      </c>
      <c r="L320" s="6">
        <v>2</v>
      </c>
      <c r="M320" s="6" t="s">
        <v>45</v>
      </c>
      <c r="N320" s="6" t="s">
        <v>250</v>
      </c>
      <c r="O320" s="6" t="s">
        <v>165</v>
      </c>
      <c r="P320" s="6" t="s">
        <v>166</v>
      </c>
      <c r="Q320" s="6" t="s">
        <v>172</v>
      </c>
      <c r="R320" s="35">
        <v>2300</v>
      </c>
      <c r="S320" s="6">
        <v>335</v>
      </c>
      <c r="T320" s="36" t="s">
        <v>304</v>
      </c>
      <c r="U320" s="46">
        <f>IF($L320&lt;=2,
IF($R320&lt;=RpmDesignStandard!$C$2,RpmDesignStandard!$D$2,
IF(AND($R320&gt;RpmDesignStandard!$B$3,$R320&lt;=RpmDesignStandard!$C$3),RpmDesignStandard!$D$3,RpmDesignStandard!$D$4)),
IF($R320&lt;=RpmDesignStandard!$C$5, RpmDesignStandard!$D$5,
IF(AND($R320&gt;RpmDesignStandard!$B$6,$R320&lt;=RpmDesignStandard!$C$6),RpmDesignStandard!$D$6,
IF(AND($R320&gt;RpmDesignStandard!$B$7,$R320&lt;=RpmDesignStandard!$C$7),RpmDesignStandard!$D$7,RpmDesignStandard!$D$8))))</f>
        <v>4</v>
      </c>
      <c r="V320" s="47">
        <f>U320*RpmDesignStandard!$H$1</f>
        <v>8</v>
      </c>
      <c r="W320" s="37" t="str">
        <f>VLOOKUP(A320,RPM_ProjectRecord!A:AB,8,FALSE)</f>
        <v/>
      </c>
      <c r="X320" s="38" t="str">
        <f t="shared" si="40"/>
        <v/>
      </c>
      <c r="Y320" s="38" t="str">
        <f t="shared" si="41"/>
        <v/>
      </c>
      <c r="Z320" s="38" t="str">
        <f t="shared" si="42"/>
        <v/>
      </c>
      <c r="AA320" s="38" t="str">
        <f t="shared" si="43"/>
        <v/>
      </c>
      <c r="AB320" s="38" t="str">
        <f t="shared" si="44"/>
        <v/>
      </c>
      <c r="AC320" s="38" t="str">
        <f>IF(VLOOKUP(A320,'3rdPhaseChipSeal'!A:L,12,FALSE)="","",VLOOKUP(A320,'3rdPhaseChipSeal'!A:L,12,FALSE))</f>
        <v/>
      </c>
      <c r="AD320" s="38" t="str">
        <f>IFERROR(IF(VLOOKUP(A320,RpmContracts!A:C,3,FALSE)="","",VLOOKUP(A320,RpmContracts!A:C,3,FALSE)),"")</f>
        <v/>
      </c>
      <c r="AE320" s="7" t="str">
        <f>IF(VLOOKUP(A320,'20yPlan'!A:B,2,FALSE)="","",VLOOKUP(A320,'20yPlan'!A:B,2,FALSE))</f>
        <v/>
      </c>
      <c r="AF320" s="7" t="str">
        <f>IF(VLOOKUP(A320,'20yPlan'!A:C,3,FALSE)="","",VLOOKUP(A320,'20yPlan'!A:C,3,FALSE))</f>
        <v/>
      </c>
      <c r="AG320" s="7" t="str">
        <f>IF(VLOOKUP(A320,'20yPlan'!A:D,4,FALSE)="","",VLOOKUP(A320,'20yPlan'!A:D,4,FALSE))</f>
        <v/>
      </c>
      <c r="AH320" s="7" t="str">
        <f>IF(VLOOKUP(A320,'20yPlan'!A:E,5,FALSE)="","",VLOOKUP(A320,'20yPlan'!A:E,5,FALSE))</f>
        <v/>
      </c>
      <c r="AI320" s="7" t="str">
        <f>IF(VLOOKUP(A320,'20yPlan'!A:F,6,FALSE)="","",VLOOKUP(A320,'20yPlan'!A:F,6,FALSE))</f>
        <v/>
      </c>
      <c r="AJ320" s="7" t="str">
        <f t="shared" si="45"/>
        <v/>
      </c>
      <c r="AK320" s="7" t="str">
        <f t="shared" si="46"/>
        <v/>
      </c>
      <c r="AL320" s="39">
        <f t="shared" ca="1" si="47"/>
        <v>2025</v>
      </c>
      <c r="AM320" s="7" t="str">
        <f t="shared" si="48"/>
        <v/>
      </c>
      <c r="AN320" s="7" t="str">
        <f t="shared" si="49"/>
        <v/>
      </c>
    </row>
    <row r="321" spans="1:40">
      <c r="A321" s="6">
        <v>60339</v>
      </c>
      <c r="B321" s="6" t="s">
        <v>102</v>
      </c>
      <c r="C321" s="6" t="s">
        <v>973</v>
      </c>
      <c r="D321" s="6">
        <v>2.9596789999999999</v>
      </c>
      <c r="E321" s="6">
        <v>7.8557069999999998</v>
      </c>
      <c r="F321" s="6" t="s">
        <v>105</v>
      </c>
      <c r="G321" s="6" t="s">
        <v>109</v>
      </c>
      <c r="H321" s="35">
        <v>237932</v>
      </c>
      <c r="I321" s="6" t="s">
        <v>55</v>
      </c>
      <c r="J321" s="6">
        <v>5</v>
      </c>
      <c r="K321" s="6">
        <v>2035</v>
      </c>
      <c r="L321" s="6">
        <v>4</v>
      </c>
      <c r="M321" s="6" t="s">
        <v>111</v>
      </c>
      <c r="N321" s="6" t="s">
        <v>46</v>
      </c>
      <c r="O321" s="6" t="s">
        <v>61</v>
      </c>
      <c r="P321" s="6" t="s">
        <v>112</v>
      </c>
      <c r="Q321" s="6" t="s">
        <v>633</v>
      </c>
      <c r="R321" s="35">
        <v>23778</v>
      </c>
      <c r="S321" s="35">
        <v>2563</v>
      </c>
      <c r="T321" s="36" t="s">
        <v>50</v>
      </c>
      <c r="U321" s="46">
        <f>IF($L321&lt;=2,
IF($R321&lt;=RpmDesignStandard!$C$2,RpmDesignStandard!$D$2,
IF(AND($R321&gt;RpmDesignStandard!$B$3,$R321&lt;=RpmDesignStandard!$C$3),RpmDesignStandard!$D$3,RpmDesignStandard!$D$4)),
IF($R321&lt;=RpmDesignStandard!$C$5, RpmDesignStandard!$D$5,
IF(AND($R321&gt;RpmDesignStandard!$B$6,$R321&lt;=RpmDesignStandard!$C$6),RpmDesignStandard!$D$6,
IF(AND($R321&gt;RpmDesignStandard!$B$7,$R321&lt;=RpmDesignStandard!$C$7),RpmDesignStandard!$D$7,RpmDesignStandard!$D$8))))</f>
        <v>3</v>
      </c>
      <c r="V321" s="47">
        <f>U321*RpmDesignStandard!$H$1</f>
        <v>6</v>
      </c>
      <c r="W321" s="37" t="str">
        <f>VLOOKUP(A321,RPM_ProjectRecord!A:AB,8,FALSE)</f>
        <v/>
      </c>
      <c r="X321" s="38">
        <f t="shared" si="40"/>
        <v>2035</v>
      </c>
      <c r="Y321" s="38" t="str">
        <f t="shared" si="41"/>
        <v/>
      </c>
      <c r="Z321" s="38" t="str">
        <f t="shared" si="42"/>
        <v/>
      </c>
      <c r="AA321" s="38" t="str">
        <f t="shared" si="43"/>
        <v/>
      </c>
      <c r="AB321" s="38" t="str">
        <f t="shared" si="44"/>
        <v/>
      </c>
      <c r="AC321" s="38" t="str">
        <f>IF(VLOOKUP(A321,'3rdPhaseChipSeal'!A:L,12,FALSE)="","",VLOOKUP(A321,'3rdPhaseChipSeal'!A:L,12,FALSE))</f>
        <v/>
      </c>
      <c r="AD321" s="38">
        <f>IFERROR(IF(VLOOKUP(A321,RpmContracts!A:C,3,FALSE)="","",VLOOKUP(A321,RpmContracts!A:C,3,FALSE)),"")</f>
        <v>2027</v>
      </c>
      <c r="AE321" s="7" t="str">
        <f>IF(VLOOKUP(A321,'20yPlan'!A:B,2,FALSE)="","",VLOOKUP(A321,'20yPlan'!A:B,2,FALSE))</f>
        <v>2035 Preventive Maintenance</v>
      </c>
      <c r="AF321" s="7" t="str">
        <f>IF(VLOOKUP(A321,'20yPlan'!A:C,3,FALSE)="","",VLOOKUP(A321,'20yPlan'!A:C,3,FALSE))</f>
        <v/>
      </c>
      <c r="AG321" s="7" t="str">
        <f>IF(VLOOKUP(A321,'20yPlan'!A:D,4,FALSE)="","",VLOOKUP(A321,'20yPlan'!A:D,4,FALSE))</f>
        <v/>
      </c>
      <c r="AH321" s="7" t="str">
        <f>IF(VLOOKUP(A321,'20yPlan'!A:E,5,FALSE)="","",VLOOKUP(A321,'20yPlan'!A:E,5,FALSE))</f>
        <v/>
      </c>
      <c r="AI321" s="7" t="str">
        <f>IF(VLOOKUP(A321,'20yPlan'!A:F,6,FALSE)="","",VLOOKUP(A321,'20yPlan'!A:F,6,FALSE))</f>
        <v/>
      </c>
      <c r="AJ321" s="7" t="str">
        <f t="shared" si="45"/>
        <v/>
      </c>
      <c r="AK321" s="7" t="str">
        <f t="shared" si="46"/>
        <v>2027 RPM Replacement</v>
      </c>
      <c r="AL321" s="39">
        <f t="shared" ca="1" si="47"/>
        <v>2025</v>
      </c>
      <c r="AM321" s="7">
        <f t="shared" si="48"/>
        <v>2027</v>
      </c>
      <c r="AN321" s="7" t="str">
        <f t="shared" si="49"/>
        <v>2027 RPM Replacement</v>
      </c>
    </row>
    <row r="322" spans="1:40">
      <c r="A322" s="6">
        <v>60340</v>
      </c>
      <c r="B322" s="6" t="s">
        <v>206</v>
      </c>
      <c r="C322" s="6" t="s">
        <v>974</v>
      </c>
      <c r="D322" s="6">
        <v>79.999999000000003</v>
      </c>
      <c r="E322" s="6">
        <v>81.793908999999999</v>
      </c>
      <c r="F322" s="6" t="s">
        <v>239</v>
      </c>
      <c r="G322" s="6" t="s">
        <v>242</v>
      </c>
      <c r="H322" s="35">
        <v>37372</v>
      </c>
      <c r="I322" s="6" t="s">
        <v>44</v>
      </c>
      <c r="J322" s="6">
        <v>6</v>
      </c>
      <c r="K322" s="6"/>
      <c r="L322" s="6">
        <v>2</v>
      </c>
      <c r="M322" s="6" t="s">
        <v>45</v>
      </c>
      <c r="N322" s="6" t="s">
        <v>46</v>
      </c>
      <c r="O322" s="6" t="s">
        <v>165</v>
      </c>
      <c r="P322" s="6" t="s">
        <v>236</v>
      </c>
      <c r="Q322" s="6" t="s">
        <v>240</v>
      </c>
      <c r="R322" s="35">
        <v>7494</v>
      </c>
      <c r="S322" s="35">
        <v>1001</v>
      </c>
      <c r="T322" s="36" t="s">
        <v>50</v>
      </c>
      <c r="U322" s="46">
        <f>IF($L322&lt;=2,
IF($R322&lt;=RpmDesignStandard!$C$2,RpmDesignStandard!$D$2,
IF(AND($R322&gt;RpmDesignStandard!$B$3,$R322&lt;=RpmDesignStandard!$C$3),RpmDesignStandard!$D$3,RpmDesignStandard!$D$4)),
IF($R322&lt;=RpmDesignStandard!$C$5, RpmDesignStandard!$D$5,
IF(AND($R322&gt;RpmDesignStandard!$B$6,$R322&lt;=RpmDesignStandard!$C$6),RpmDesignStandard!$D$6,
IF(AND($R322&gt;RpmDesignStandard!$B$7,$R322&lt;=RpmDesignStandard!$C$7),RpmDesignStandard!$D$7,RpmDesignStandard!$D$8))))</f>
        <v>3</v>
      </c>
      <c r="V322" s="47">
        <f>U322*RpmDesignStandard!$H$1</f>
        <v>6</v>
      </c>
      <c r="W322" s="37" t="str">
        <f>VLOOKUP(A322,RPM_ProjectRecord!A:AB,8,FALSE)</f>
        <v/>
      </c>
      <c r="X322" s="38" t="str">
        <f t="shared" si="40"/>
        <v/>
      </c>
      <c r="Y322" s="38" t="str">
        <f t="shared" si="41"/>
        <v/>
      </c>
      <c r="Z322" s="38" t="str">
        <f t="shared" si="42"/>
        <v/>
      </c>
      <c r="AA322" s="38" t="str">
        <f t="shared" si="43"/>
        <v/>
      </c>
      <c r="AB322" s="38" t="str">
        <f t="shared" si="44"/>
        <v/>
      </c>
      <c r="AC322" s="38" t="str">
        <f>IF(VLOOKUP(A322,'3rdPhaseChipSeal'!A:L,12,FALSE)="","",VLOOKUP(A322,'3rdPhaseChipSeal'!A:L,12,FALSE))</f>
        <v/>
      </c>
      <c r="AD322" s="38" t="str">
        <f>IFERROR(IF(VLOOKUP(A322,RpmContracts!A:C,3,FALSE)="","",VLOOKUP(A322,RpmContracts!A:C,3,FALSE)),"")</f>
        <v/>
      </c>
      <c r="AE322" s="7" t="str">
        <f>IF(VLOOKUP(A322,'20yPlan'!A:B,2,FALSE)="","",VLOOKUP(A322,'20yPlan'!A:B,2,FALSE))</f>
        <v/>
      </c>
      <c r="AF322" s="7" t="str">
        <f>IF(VLOOKUP(A322,'20yPlan'!A:C,3,FALSE)="","",VLOOKUP(A322,'20yPlan'!A:C,3,FALSE))</f>
        <v/>
      </c>
      <c r="AG322" s="7" t="str">
        <f>IF(VLOOKUP(A322,'20yPlan'!A:D,4,FALSE)="","",VLOOKUP(A322,'20yPlan'!A:D,4,FALSE))</f>
        <v/>
      </c>
      <c r="AH322" s="7" t="str">
        <f>IF(VLOOKUP(A322,'20yPlan'!A:E,5,FALSE)="","",VLOOKUP(A322,'20yPlan'!A:E,5,FALSE))</f>
        <v/>
      </c>
      <c r="AI322" s="7" t="str">
        <f>IF(VLOOKUP(A322,'20yPlan'!A:F,6,FALSE)="","",VLOOKUP(A322,'20yPlan'!A:F,6,FALSE))</f>
        <v/>
      </c>
      <c r="AJ322" s="7" t="str">
        <f t="shared" si="45"/>
        <v/>
      </c>
      <c r="AK322" s="7" t="str">
        <f t="shared" si="46"/>
        <v/>
      </c>
      <c r="AL322" s="39">
        <f t="shared" ca="1" si="47"/>
        <v>2025</v>
      </c>
      <c r="AM322" s="7" t="str">
        <f t="shared" si="48"/>
        <v/>
      </c>
      <c r="AN322" s="7" t="str">
        <f t="shared" si="49"/>
        <v/>
      </c>
    </row>
    <row r="323" spans="1:40">
      <c r="A323" s="6">
        <v>60342</v>
      </c>
      <c r="B323" s="6" t="s">
        <v>40</v>
      </c>
      <c r="C323" s="6" t="s">
        <v>975</v>
      </c>
      <c r="D323" s="6">
        <v>16.186454000000001</v>
      </c>
      <c r="E323" s="6">
        <v>24.117156000000001</v>
      </c>
      <c r="F323" s="6" t="s">
        <v>183</v>
      </c>
      <c r="G323" s="6" t="s">
        <v>185</v>
      </c>
      <c r="H323" s="35">
        <v>362581</v>
      </c>
      <c r="I323" s="6" t="s">
        <v>154</v>
      </c>
      <c r="J323" s="6">
        <v>8</v>
      </c>
      <c r="K323" s="6"/>
      <c r="L323" s="6">
        <v>4</v>
      </c>
      <c r="M323" s="6" t="s">
        <v>111</v>
      </c>
      <c r="N323" s="6" t="s">
        <v>46</v>
      </c>
      <c r="O323" s="6" t="s">
        <v>121</v>
      </c>
      <c r="P323" s="6" t="s">
        <v>126</v>
      </c>
      <c r="Q323" s="6" t="s">
        <v>132</v>
      </c>
      <c r="R323" s="35">
        <v>7558</v>
      </c>
      <c r="S323" s="35">
        <v>1442</v>
      </c>
      <c r="T323" s="36" t="s">
        <v>50</v>
      </c>
      <c r="U323" s="46">
        <f>IF($L323&lt;=2,
IF($R323&lt;=RpmDesignStandard!$C$2,RpmDesignStandard!$D$2,
IF(AND($R323&gt;RpmDesignStandard!$B$3,$R323&lt;=RpmDesignStandard!$C$3),RpmDesignStandard!$D$3,RpmDesignStandard!$D$4)),
IF($R323&lt;=RpmDesignStandard!$C$5, RpmDesignStandard!$D$5,
IF(AND($R323&gt;RpmDesignStandard!$B$6,$R323&lt;=RpmDesignStandard!$C$6),RpmDesignStandard!$D$6,
IF(AND($R323&gt;RpmDesignStandard!$B$7,$R323&lt;=RpmDesignStandard!$C$7),RpmDesignStandard!$D$7,RpmDesignStandard!$D$8))))</f>
        <v>4</v>
      </c>
      <c r="V323" s="47">
        <f>U323*RpmDesignStandard!$H$1</f>
        <v>8</v>
      </c>
      <c r="W323" s="37" t="str">
        <f>VLOOKUP(A323,RPM_ProjectRecord!A:AB,8,FALSE)</f>
        <v/>
      </c>
      <c r="X323" s="38" t="str">
        <f t="shared" ref="X323:X363" si="50">IFERROR(VALUE(LEFT(AE323,4)),"")</f>
        <v/>
      </c>
      <c r="Y323" s="38" t="str">
        <f t="shared" ref="Y323:Y363" si="51">IFERROR(VALUE(LEFT(AF323,4)),"")</f>
        <v/>
      </c>
      <c r="Z323" s="38" t="str">
        <f t="shared" ref="Z323:Z363" si="52">IFERROR(VALUE(LEFT(AG323,4)),"")</f>
        <v/>
      </c>
      <c r="AA323" s="38" t="str">
        <f t="shared" ref="AA323:AA363" si="53">IFERROR(VALUE(LEFT(AH323,4)),"")</f>
        <v/>
      </c>
      <c r="AB323" s="38" t="str">
        <f t="shared" ref="AB323:AB363" si="54">IFERROR(VALUE(LEFT(AI323,4)),"")</f>
        <v/>
      </c>
      <c r="AC323" s="38" t="str">
        <f>IF(VLOOKUP(A323,'3rdPhaseChipSeal'!A:L,12,FALSE)="","",VLOOKUP(A323,'3rdPhaseChipSeal'!A:L,12,FALSE))</f>
        <v/>
      </c>
      <c r="AD323" s="38">
        <f>IFERROR(IF(VLOOKUP(A323,RpmContracts!A:C,3,FALSE)="","",VLOOKUP(A323,RpmContracts!A:C,3,FALSE)),"")</f>
        <v>2027</v>
      </c>
      <c r="AE323" s="7" t="str">
        <f>IF(VLOOKUP(A323,'20yPlan'!A:B,2,FALSE)="","",VLOOKUP(A323,'20yPlan'!A:B,2,FALSE))</f>
        <v/>
      </c>
      <c r="AF323" s="7" t="str">
        <f>IF(VLOOKUP(A323,'20yPlan'!A:C,3,FALSE)="","",VLOOKUP(A323,'20yPlan'!A:C,3,FALSE))</f>
        <v/>
      </c>
      <c r="AG323" s="7" t="str">
        <f>IF(VLOOKUP(A323,'20yPlan'!A:D,4,FALSE)="","",VLOOKUP(A323,'20yPlan'!A:D,4,FALSE))</f>
        <v/>
      </c>
      <c r="AH323" s="7" t="str">
        <f>IF(VLOOKUP(A323,'20yPlan'!A:E,5,FALSE)="","",VLOOKUP(A323,'20yPlan'!A:E,5,FALSE))</f>
        <v/>
      </c>
      <c r="AI323" s="7" t="str">
        <f>IF(VLOOKUP(A323,'20yPlan'!A:F,6,FALSE)="","",VLOOKUP(A323,'20yPlan'!A:F,6,FALSE))</f>
        <v/>
      </c>
      <c r="AJ323" s="7" t="str">
        <f t="shared" ref="AJ323:AJ363" si="55">IF(AC323="","",_xlfn.CONCAT(AC323," ","Chip Seal"))</f>
        <v/>
      </c>
      <c r="AK323" s="7" t="str">
        <f t="shared" ref="AK323:AK363" si="56">IF(AD323="","",_xlfn.CONCAT(AD323," ","RPM Replacement"))</f>
        <v>2027 RPM Replacement</v>
      </c>
      <c r="AL323" s="39">
        <f t="shared" ref="AL323:AL363" ca="1" si="57">IFERROR(U323+W323,YEAR(TODAY()))</f>
        <v>2025</v>
      </c>
      <c r="AM323" s="7">
        <f t="shared" ref="AM323:AM363" si="58">IF(W323="",AD323,IF(AND(MIN(X323:AD323)&lt;=(W323+V323),MIN(X323:AD323)&gt;W323),MIN(X323:AD323),""))</f>
        <v>2027</v>
      </c>
      <c r="AN323" s="7" t="str">
        <f t="shared" ref="AN323:AN363" si="59">IF(AM323=X323,AE323,IF(AM323=Y323,AF323,IF(AM323=AC323,AJ323,AK323)))</f>
        <v>2027 RPM Replacement</v>
      </c>
    </row>
    <row r="324" spans="1:40">
      <c r="A324" s="6">
        <v>60343</v>
      </c>
      <c r="B324" s="6" t="s">
        <v>410</v>
      </c>
      <c r="C324" s="6" t="s">
        <v>976</v>
      </c>
      <c r="D324" s="6">
        <v>60.840940000000003</v>
      </c>
      <c r="E324" s="6">
        <v>63.262796000000002</v>
      </c>
      <c r="F324" s="6" t="s">
        <v>423</v>
      </c>
      <c r="G324" s="6" t="s">
        <v>977</v>
      </c>
      <c r="H324" s="35">
        <v>51595</v>
      </c>
      <c r="I324" s="6" t="s">
        <v>44</v>
      </c>
      <c r="J324" s="6">
        <v>10</v>
      </c>
      <c r="K324" s="6"/>
      <c r="L324" s="6">
        <v>2</v>
      </c>
      <c r="M324" s="6" t="s">
        <v>45</v>
      </c>
      <c r="N324" s="6" t="s">
        <v>250</v>
      </c>
      <c r="O324" s="6" t="s">
        <v>196</v>
      </c>
      <c r="P324" s="6" t="s">
        <v>197</v>
      </c>
      <c r="Q324" s="6" t="s">
        <v>256</v>
      </c>
      <c r="R324" s="35">
        <v>8130</v>
      </c>
      <c r="S324" s="6">
        <v>248</v>
      </c>
      <c r="T324" s="36" t="s">
        <v>50</v>
      </c>
      <c r="U324" s="46">
        <f>IF($L324&lt;=2,
IF($R324&lt;=RpmDesignStandard!$C$2,RpmDesignStandard!$D$2,
IF(AND($R324&gt;RpmDesignStandard!$B$3,$R324&lt;=RpmDesignStandard!$C$3),RpmDesignStandard!$D$3,RpmDesignStandard!$D$4)),
IF($R324&lt;=RpmDesignStandard!$C$5, RpmDesignStandard!$D$5,
IF(AND($R324&gt;RpmDesignStandard!$B$6,$R324&lt;=RpmDesignStandard!$C$6),RpmDesignStandard!$D$6,
IF(AND($R324&gt;RpmDesignStandard!$B$7,$R324&lt;=RpmDesignStandard!$C$7),RpmDesignStandard!$D$7,RpmDesignStandard!$D$8))))</f>
        <v>3</v>
      </c>
      <c r="V324" s="47">
        <f>U324*RpmDesignStandard!$H$1</f>
        <v>6</v>
      </c>
      <c r="W324" s="37" t="str">
        <f>VLOOKUP(A324,RPM_ProjectRecord!A:AB,8,FALSE)</f>
        <v/>
      </c>
      <c r="X324" s="38" t="str">
        <f t="shared" si="50"/>
        <v/>
      </c>
      <c r="Y324" s="38" t="str">
        <f t="shared" si="51"/>
        <v/>
      </c>
      <c r="Z324" s="38" t="str">
        <f t="shared" si="52"/>
        <v/>
      </c>
      <c r="AA324" s="38" t="str">
        <f t="shared" si="53"/>
        <v/>
      </c>
      <c r="AB324" s="38" t="str">
        <f t="shared" si="54"/>
        <v/>
      </c>
      <c r="AC324" s="38" t="str">
        <f>IF(VLOOKUP(A324,'3rdPhaseChipSeal'!A:L,12,FALSE)="","",VLOOKUP(A324,'3rdPhaseChipSeal'!A:L,12,FALSE))</f>
        <v/>
      </c>
      <c r="AD324" s="38" t="str">
        <f>IFERROR(IF(VLOOKUP(A324,RpmContracts!A:C,3,FALSE)="","",VLOOKUP(A324,RpmContracts!A:C,3,FALSE)),"")</f>
        <v/>
      </c>
      <c r="AE324" s="7" t="str">
        <f>IF(VLOOKUP(A324,'20yPlan'!A:B,2,FALSE)="","",VLOOKUP(A324,'20yPlan'!A:B,2,FALSE))</f>
        <v/>
      </c>
      <c r="AF324" s="7" t="str">
        <f>IF(VLOOKUP(A324,'20yPlan'!A:C,3,FALSE)="","",VLOOKUP(A324,'20yPlan'!A:C,3,FALSE))</f>
        <v/>
      </c>
      <c r="AG324" s="7" t="str">
        <f>IF(VLOOKUP(A324,'20yPlan'!A:D,4,FALSE)="","",VLOOKUP(A324,'20yPlan'!A:D,4,FALSE))</f>
        <v/>
      </c>
      <c r="AH324" s="7" t="str">
        <f>IF(VLOOKUP(A324,'20yPlan'!A:E,5,FALSE)="","",VLOOKUP(A324,'20yPlan'!A:E,5,FALSE))</f>
        <v/>
      </c>
      <c r="AI324" s="7" t="str">
        <f>IF(VLOOKUP(A324,'20yPlan'!A:F,6,FALSE)="","",VLOOKUP(A324,'20yPlan'!A:F,6,FALSE))</f>
        <v/>
      </c>
      <c r="AJ324" s="7" t="str">
        <f t="shared" si="55"/>
        <v/>
      </c>
      <c r="AK324" s="7" t="str">
        <f t="shared" si="56"/>
        <v/>
      </c>
      <c r="AL324" s="39">
        <f t="shared" ca="1" si="57"/>
        <v>2025</v>
      </c>
      <c r="AM324" s="7" t="str">
        <f t="shared" si="58"/>
        <v/>
      </c>
      <c r="AN324" s="7" t="str">
        <f t="shared" si="59"/>
        <v/>
      </c>
    </row>
    <row r="325" spans="1:40">
      <c r="A325" s="6">
        <v>60344</v>
      </c>
      <c r="B325" s="6" t="s">
        <v>410</v>
      </c>
      <c r="C325" s="6" t="s">
        <v>978</v>
      </c>
      <c r="D325" s="6">
        <v>63.262796000000002</v>
      </c>
      <c r="E325" s="6">
        <v>66.267328000000006</v>
      </c>
      <c r="F325" s="6" t="s">
        <v>977</v>
      </c>
      <c r="G325" s="6" t="s">
        <v>425</v>
      </c>
      <c r="H325" s="35">
        <v>82328</v>
      </c>
      <c r="I325" s="6" t="s">
        <v>44</v>
      </c>
      <c r="J325" s="6">
        <v>9</v>
      </c>
      <c r="K325" s="6"/>
      <c r="L325" s="6">
        <v>2</v>
      </c>
      <c r="M325" s="6" t="s">
        <v>45</v>
      </c>
      <c r="N325" s="6" t="s">
        <v>250</v>
      </c>
      <c r="O325" s="6" t="s">
        <v>196</v>
      </c>
      <c r="P325" s="6" t="s">
        <v>197</v>
      </c>
      <c r="Q325" s="6" t="s">
        <v>598</v>
      </c>
      <c r="R325" s="35">
        <v>8695</v>
      </c>
      <c r="S325" s="6">
        <v>265</v>
      </c>
      <c r="T325" s="36" t="s">
        <v>50</v>
      </c>
      <c r="U325" s="46">
        <f>IF($L325&lt;=2,
IF($R325&lt;=RpmDesignStandard!$C$2,RpmDesignStandard!$D$2,
IF(AND($R325&gt;RpmDesignStandard!$B$3,$R325&lt;=RpmDesignStandard!$C$3),RpmDesignStandard!$D$3,RpmDesignStandard!$D$4)),
IF($R325&lt;=RpmDesignStandard!$C$5, RpmDesignStandard!$D$5,
IF(AND($R325&gt;RpmDesignStandard!$B$6,$R325&lt;=RpmDesignStandard!$C$6),RpmDesignStandard!$D$6,
IF(AND($R325&gt;RpmDesignStandard!$B$7,$R325&lt;=RpmDesignStandard!$C$7),RpmDesignStandard!$D$7,RpmDesignStandard!$D$8))))</f>
        <v>3</v>
      </c>
      <c r="V325" s="47">
        <f>U325*RpmDesignStandard!$H$1</f>
        <v>6</v>
      </c>
      <c r="W325" s="37" t="str">
        <f>VLOOKUP(A325,RPM_ProjectRecord!A:AB,8,FALSE)</f>
        <v/>
      </c>
      <c r="X325" s="38" t="str">
        <f t="shared" si="50"/>
        <v/>
      </c>
      <c r="Y325" s="38" t="str">
        <f t="shared" si="51"/>
        <v/>
      </c>
      <c r="Z325" s="38" t="str">
        <f t="shared" si="52"/>
        <v/>
      </c>
      <c r="AA325" s="38" t="str">
        <f t="shared" si="53"/>
        <v/>
      </c>
      <c r="AB325" s="38" t="str">
        <f t="shared" si="54"/>
        <v/>
      </c>
      <c r="AC325" s="38" t="str">
        <f>IF(VLOOKUP(A325,'3rdPhaseChipSeal'!A:L,12,FALSE)="","",VLOOKUP(A325,'3rdPhaseChipSeal'!A:L,12,FALSE))</f>
        <v/>
      </c>
      <c r="AD325" s="38" t="str">
        <f>IFERROR(IF(VLOOKUP(A325,RpmContracts!A:C,3,FALSE)="","",VLOOKUP(A325,RpmContracts!A:C,3,FALSE)),"")</f>
        <v/>
      </c>
      <c r="AE325" s="7" t="str">
        <f>IF(VLOOKUP(A325,'20yPlan'!A:B,2,FALSE)="","",VLOOKUP(A325,'20yPlan'!A:B,2,FALSE))</f>
        <v/>
      </c>
      <c r="AF325" s="7" t="str">
        <f>IF(VLOOKUP(A325,'20yPlan'!A:C,3,FALSE)="","",VLOOKUP(A325,'20yPlan'!A:C,3,FALSE))</f>
        <v/>
      </c>
      <c r="AG325" s="7" t="str">
        <f>IF(VLOOKUP(A325,'20yPlan'!A:D,4,FALSE)="","",VLOOKUP(A325,'20yPlan'!A:D,4,FALSE))</f>
        <v/>
      </c>
      <c r="AH325" s="7" t="str">
        <f>IF(VLOOKUP(A325,'20yPlan'!A:E,5,FALSE)="","",VLOOKUP(A325,'20yPlan'!A:E,5,FALSE))</f>
        <v/>
      </c>
      <c r="AI325" s="7" t="str">
        <f>IF(VLOOKUP(A325,'20yPlan'!A:F,6,FALSE)="","",VLOOKUP(A325,'20yPlan'!A:F,6,FALSE))</f>
        <v/>
      </c>
      <c r="AJ325" s="7" t="str">
        <f t="shared" si="55"/>
        <v/>
      </c>
      <c r="AK325" s="7" t="str">
        <f t="shared" si="56"/>
        <v/>
      </c>
      <c r="AL325" s="39">
        <f t="shared" ca="1" si="57"/>
        <v>2025</v>
      </c>
      <c r="AM325" s="7" t="str">
        <f t="shared" si="58"/>
        <v/>
      </c>
      <c r="AN325" s="7" t="str">
        <f t="shared" si="59"/>
        <v/>
      </c>
    </row>
    <row r="326" spans="1:40">
      <c r="A326" s="6">
        <v>60345</v>
      </c>
      <c r="B326" s="6" t="s">
        <v>463</v>
      </c>
      <c r="C326" s="6" t="s">
        <v>979</v>
      </c>
      <c r="D326" s="6">
        <v>7.9611960000000002</v>
      </c>
      <c r="E326" s="6">
        <v>8.975759</v>
      </c>
      <c r="F326" s="6" t="s">
        <v>466</v>
      </c>
      <c r="G326" s="6" t="s">
        <v>468</v>
      </c>
      <c r="H326" s="35">
        <v>20716</v>
      </c>
      <c r="I326" s="6" t="s">
        <v>44</v>
      </c>
      <c r="J326" s="6">
        <v>9</v>
      </c>
      <c r="K326" s="6"/>
      <c r="L326" s="6">
        <v>2</v>
      </c>
      <c r="M326" s="6" t="s">
        <v>45</v>
      </c>
      <c r="N326" s="6" t="s">
        <v>250</v>
      </c>
      <c r="O326" s="6" t="s">
        <v>165</v>
      </c>
      <c r="P326" s="6" t="s">
        <v>291</v>
      </c>
      <c r="Q326" s="6" t="s">
        <v>172</v>
      </c>
      <c r="R326" s="35">
        <v>4891</v>
      </c>
      <c r="S326" s="6">
        <v>713</v>
      </c>
      <c r="T326" s="36" t="s">
        <v>50</v>
      </c>
      <c r="U326" s="46">
        <f>IF($L326&lt;=2,
IF($R326&lt;=RpmDesignStandard!$C$2,RpmDesignStandard!$D$2,
IF(AND($R326&gt;RpmDesignStandard!$B$3,$R326&lt;=RpmDesignStandard!$C$3),RpmDesignStandard!$D$3,RpmDesignStandard!$D$4)),
IF($R326&lt;=RpmDesignStandard!$C$5, RpmDesignStandard!$D$5,
IF(AND($R326&gt;RpmDesignStandard!$B$6,$R326&lt;=RpmDesignStandard!$C$6),RpmDesignStandard!$D$6,
IF(AND($R326&gt;RpmDesignStandard!$B$7,$R326&lt;=RpmDesignStandard!$C$7),RpmDesignStandard!$D$7,RpmDesignStandard!$D$8))))</f>
        <v>4</v>
      </c>
      <c r="V326" s="47">
        <f>U326*RpmDesignStandard!$H$1</f>
        <v>8</v>
      </c>
      <c r="W326" s="37">
        <f>VLOOKUP(A326,RPM_ProjectRecord!A:AB,8,FALSE)</f>
        <v>2025</v>
      </c>
      <c r="X326" s="38" t="str">
        <f t="shared" si="50"/>
        <v/>
      </c>
      <c r="Y326" s="38" t="str">
        <f t="shared" si="51"/>
        <v/>
      </c>
      <c r="Z326" s="38" t="str">
        <f t="shared" si="52"/>
        <v/>
      </c>
      <c r="AA326" s="38" t="str">
        <f t="shared" si="53"/>
        <v/>
      </c>
      <c r="AB326" s="38" t="str">
        <f t="shared" si="54"/>
        <v/>
      </c>
      <c r="AC326" s="38" t="str">
        <f>IF(VLOOKUP(A326,'3rdPhaseChipSeal'!A:L,12,FALSE)="","",VLOOKUP(A326,'3rdPhaseChipSeal'!A:L,12,FALSE))</f>
        <v/>
      </c>
      <c r="AD326" s="38" t="str">
        <f>IFERROR(IF(VLOOKUP(A326,RpmContracts!A:C,3,FALSE)="","",VLOOKUP(A326,RpmContracts!A:C,3,FALSE)),"")</f>
        <v/>
      </c>
      <c r="AE326" s="7" t="str">
        <f>IF(VLOOKUP(A326,'20yPlan'!A:B,2,FALSE)="","",VLOOKUP(A326,'20yPlan'!A:B,2,FALSE))</f>
        <v/>
      </c>
      <c r="AF326" s="7" t="str">
        <f>IF(VLOOKUP(A326,'20yPlan'!A:C,3,FALSE)="","",VLOOKUP(A326,'20yPlan'!A:C,3,FALSE))</f>
        <v/>
      </c>
      <c r="AG326" s="7" t="str">
        <f>IF(VLOOKUP(A326,'20yPlan'!A:D,4,FALSE)="","",VLOOKUP(A326,'20yPlan'!A:D,4,FALSE))</f>
        <v/>
      </c>
      <c r="AH326" s="7" t="str">
        <f>IF(VLOOKUP(A326,'20yPlan'!A:E,5,FALSE)="","",VLOOKUP(A326,'20yPlan'!A:E,5,FALSE))</f>
        <v/>
      </c>
      <c r="AI326" s="7" t="str">
        <f>IF(VLOOKUP(A326,'20yPlan'!A:F,6,FALSE)="","",VLOOKUP(A326,'20yPlan'!A:F,6,FALSE))</f>
        <v/>
      </c>
      <c r="AJ326" s="7" t="str">
        <f t="shared" si="55"/>
        <v/>
      </c>
      <c r="AK326" s="7" t="str">
        <f t="shared" si="56"/>
        <v/>
      </c>
      <c r="AL326" s="39">
        <f t="shared" ca="1" si="57"/>
        <v>2029</v>
      </c>
      <c r="AM326" s="7" t="str">
        <f t="shared" si="58"/>
        <v/>
      </c>
      <c r="AN326" s="7" t="str">
        <f t="shared" si="59"/>
        <v/>
      </c>
    </row>
    <row r="327" spans="1:40">
      <c r="A327" s="6">
        <v>60346</v>
      </c>
      <c r="B327" s="6" t="s">
        <v>506</v>
      </c>
      <c r="C327" s="6" t="s">
        <v>980</v>
      </c>
      <c r="D327" s="6">
        <v>0</v>
      </c>
      <c r="E327" s="6">
        <v>2.6018279999999998</v>
      </c>
      <c r="F327" s="6" t="s">
        <v>53</v>
      </c>
      <c r="G327" s="6" t="s">
        <v>508</v>
      </c>
      <c r="H327" s="35">
        <v>39012</v>
      </c>
      <c r="I327" s="6" t="s">
        <v>44</v>
      </c>
      <c r="J327" s="6">
        <v>21</v>
      </c>
      <c r="K327" s="6">
        <v>2027</v>
      </c>
      <c r="L327" s="6">
        <v>2</v>
      </c>
      <c r="M327" s="6" t="s">
        <v>45</v>
      </c>
      <c r="N327" s="6" t="s">
        <v>250</v>
      </c>
      <c r="O327" s="6" t="s">
        <v>121</v>
      </c>
      <c r="P327" s="6" t="s">
        <v>122</v>
      </c>
      <c r="Q327" s="6" t="s">
        <v>155</v>
      </c>
      <c r="R327" s="6">
        <v>561</v>
      </c>
      <c r="S327" s="6">
        <v>48</v>
      </c>
      <c r="T327" s="36" t="s">
        <v>50</v>
      </c>
      <c r="U327" s="46">
        <f>IF($L327&lt;=2,
IF($R327&lt;=RpmDesignStandard!$C$2,RpmDesignStandard!$D$2,
IF(AND($R327&gt;RpmDesignStandard!$B$3,$R327&lt;=RpmDesignStandard!$C$3),RpmDesignStandard!$D$3,RpmDesignStandard!$D$4)),
IF($R327&lt;=RpmDesignStandard!$C$5, RpmDesignStandard!$D$5,
IF(AND($R327&gt;RpmDesignStandard!$B$6,$R327&lt;=RpmDesignStandard!$C$6),RpmDesignStandard!$D$6,
IF(AND($R327&gt;RpmDesignStandard!$B$7,$R327&lt;=RpmDesignStandard!$C$7),RpmDesignStandard!$D$7,RpmDesignStandard!$D$8))))</f>
        <v>4</v>
      </c>
      <c r="V327" s="47">
        <f>U327*RpmDesignStandard!$H$1</f>
        <v>8</v>
      </c>
      <c r="W327" s="37">
        <f>VLOOKUP(A327,RPM_ProjectRecord!A:AB,8,FALSE)</f>
        <v>2025</v>
      </c>
      <c r="X327" s="38" t="str">
        <f t="shared" si="50"/>
        <v/>
      </c>
      <c r="Y327" s="38" t="str">
        <f t="shared" si="51"/>
        <v/>
      </c>
      <c r="Z327" s="38" t="str">
        <f t="shared" si="52"/>
        <v/>
      </c>
      <c r="AA327" s="38" t="str">
        <f t="shared" si="53"/>
        <v/>
      </c>
      <c r="AB327" s="38" t="str">
        <f t="shared" si="54"/>
        <v/>
      </c>
      <c r="AC327" s="38">
        <f>IF(VLOOKUP(A327,'3rdPhaseChipSeal'!A:L,12,FALSE)="","",VLOOKUP(A327,'3rdPhaseChipSeal'!A:L,12,FALSE))</f>
        <v>2027</v>
      </c>
      <c r="AD327" s="38" t="str">
        <f>IFERROR(IF(VLOOKUP(A327,RpmContracts!A:C,3,FALSE)="","",VLOOKUP(A327,RpmContracts!A:C,3,FALSE)),"")</f>
        <v/>
      </c>
      <c r="AE327" s="7" t="str">
        <f>IF(VLOOKUP(A327,'20yPlan'!A:B,2,FALSE)="","",VLOOKUP(A327,'20yPlan'!A:B,2,FALSE))</f>
        <v/>
      </c>
      <c r="AF327" s="7" t="str">
        <f>IF(VLOOKUP(A327,'20yPlan'!A:C,3,FALSE)="","",VLOOKUP(A327,'20yPlan'!A:C,3,FALSE))</f>
        <v/>
      </c>
      <c r="AG327" s="7" t="str">
        <f>IF(VLOOKUP(A327,'20yPlan'!A:D,4,FALSE)="","",VLOOKUP(A327,'20yPlan'!A:D,4,FALSE))</f>
        <v/>
      </c>
      <c r="AH327" s="7" t="str">
        <f>IF(VLOOKUP(A327,'20yPlan'!A:E,5,FALSE)="","",VLOOKUP(A327,'20yPlan'!A:E,5,FALSE))</f>
        <v/>
      </c>
      <c r="AI327" s="7" t="str">
        <f>IF(VLOOKUP(A327,'20yPlan'!A:F,6,FALSE)="","",VLOOKUP(A327,'20yPlan'!A:F,6,FALSE))</f>
        <v/>
      </c>
      <c r="AJ327" s="7" t="str">
        <f t="shared" si="55"/>
        <v>2027 Chip Seal</v>
      </c>
      <c r="AK327" s="7" t="str">
        <f t="shared" si="56"/>
        <v/>
      </c>
      <c r="AL327" s="39">
        <f t="shared" ca="1" si="57"/>
        <v>2029</v>
      </c>
      <c r="AM327" s="7">
        <f t="shared" si="58"/>
        <v>2027</v>
      </c>
      <c r="AN327" s="7" t="str">
        <f t="shared" si="59"/>
        <v>2027 Chip Seal</v>
      </c>
    </row>
    <row r="328" spans="1:40">
      <c r="A328" s="6">
        <v>60347</v>
      </c>
      <c r="B328" s="6" t="s">
        <v>533</v>
      </c>
      <c r="C328" s="6" t="s">
        <v>981</v>
      </c>
      <c r="D328" s="6">
        <v>63.126187999999999</v>
      </c>
      <c r="E328" s="6">
        <v>64.107231999999996</v>
      </c>
      <c r="F328" s="6" t="s">
        <v>982</v>
      </c>
      <c r="G328" s="6" t="s">
        <v>983</v>
      </c>
      <c r="H328" s="35">
        <v>20444</v>
      </c>
      <c r="I328" s="6" t="s">
        <v>44</v>
      </c>
      <c r="J328" s="6">
        <v>2</v>
      </c>
      <c r="K328" s="6"/>
      <c r="L328" s="6">
        <v>2</v>
      </c>
      <c r="M328" s="6" t="s">
        <v>45</v>
      </c>
      <c r="N328" s="6" t="s">
        <v>250</v>
      </c>
      <c r="O328" s="6" t="s">
        <v>165</v>
      </c>
      <c r="P328" s="6" t="s">
        <v>433</v>
      </c>
      <c r="Q328" s="6" t="s">
        <v>132</v>
      </c>
      <c r="R328" s="35">
        <v>1740</v>
      </c>
      <c r="S328" s="6">
        <v>382</v>
      </c>
      <c r="T328" s="36" t="s">
        <v>50</v>
      </c>
      <c r="U328" s="46">
        <f>IF($L328&lt;=2,
IF($R328&lt;=RpmDesignStandard!$C$2,RpmDesignStandard!$D$2,
IF(AND($R328&gt;RpmDesignStandard!$B$3,$R328&lt;=RpmDesignStandard!$C$3),RpmDesignStandard!$D$3,RpmDesignStandard!$D$4)),
IF($R328&lt;=RpmDesignStandard!$C$5, RpmDesignStandard!$D$5,
IF(AND($R328&gt;RpmDesignStandard!$B$6,$R328&lt;=RpmDesignStandard!$C$6),RpmDesignStandard!$D$6,
IF(AND($R328&gt;RpmDesignStandard!$B$7,$R328&lt;=RpmDesignStandard!$C$7),RpmDesignStandard!$D$7,RpmDesignStandard!$D$8))))</f>
        <v>4</v>
      </c>
      <c r="V328" s="47">
        <f>U328*RpmDesignStandard!$H$1</f>
        <v>8</v>
      </c>
      <c r="W328" s="37">
        <f>VLOOKUP(A328,RPM_ProjectRecord!A:AB,8,FALSE)</f>
        <v>2021</v>
      </c>
      <c r="X328" s="38" t="str">
        <f t="shared" si="50"/>
        <v/>
      </c>
      <c r="Y328" s="38" t="str">
        <f t="shared" si="51"/>
        <v/>
      </c>
      <c r="Z328" s="38" t="str">
        <f t="shared" si="52"/>
        <v/>
      </c>
      <c r="AA328" s="38" t="str">
        <f t="shared" si="53"/>
        <v/>
      </c>
      <c r="AB328" s="38" t="str">
        <f t="shared" si="54"/>
        <v/>
      </c>
      <c r="AC328" s="38" t="str">
        <f>IF(VLOOKUP(A328,'3rdPhaseChipSeal'!A:L,12,FALSE)="","",VLOOKUP(A328,'3rdPhaseChipSeal'!A:L,12,FALSE))</f>
        <v/>
      </c>
      <c r="AD328" s="38" t="str">
        <f>IFERROR(IF(VLOOKUP(A328,RpmContracts!A:C,3,FALSE)="","",VLOOKUP(A328,RpmContracts!A:C,3,FALSE)),"")</f>
        <v/>
      </c>
      <c r="AE328" s="7" t="str">
        <f>IF(VLOOKUP(A328,'20yPlan'!A:B,2,FALSE)="","",VLOOKUP(A328,'20yPlan'!A:B,2,FALSE))</f>
        <v/>
      </c>
      <c r="AF328" s="7" t="str">
        <f>IF(VLOOKUP(A328,'20yPlan'!A:C,3,FALSE)="","",VLOOKUP(A328,'20yPlan'!A:C,3,FALSE))</f>
        <v/>
      </c>
      <c r="AG328" s="7" t="str">
        <f>IF(VLOOKUP(A328,'20yPlan'!A:D,4,FALSE)="","",VLOOKUP(A328,'20yPlan'!A:D,4,FALSE))</f>
        <v/>
      </c>
      <c r="AH328" s="7" t="str">
        <f>IF(VLOOKUP(A328,'20yPlan'!A:E,5,FALSE)="","",VLOOKUP(A328,'20yPlan'!A:E,5,FALSE))</f>
        <v/>
      </c>
      <c r="AI328" s="7" t="str">
        <f>IF(VLOOKUP(A328,'20yPlan'!A:F,6,FALSE)="","",VLOOKUP(A328,'20yPlan'!A:F,6,FALSE))</f>
        <v/>
      </c>
      <c r="AJ328" s="7" t="str">
        <f t="shared" si="55"/>
        <v/>
      </c>
      <c r="AK328" s="7" t="str">
        <f t="shared" si="56"/>
        <v/>
      </c>
      <c r="AL328" s="39">
        <f t="shared" ca="1" si="57"/>
        <v>2025</v>
      </c>
      <c r="AM328" s="7" t="str">
        <f t="shared" si="58"/>
        <v/>
      </c>
      <c r="AN328" s="7" t="str">
        <f t="shared" si="59"/>
        <v/>
      </c>
    </row>
    <row r="329" spans="1:40">
      <c r="A329" s="6">
        <v>60348</v>
      </c>
      <c r="B329" s="6" t="s">
        <v>555</v>
      </c>
      <c r="C329" s="6" t="s">
        <v>984</v>
      </c>
      <c r="D329" s="6">
        <v>0</v>
      </c>
      <c r="E329" s="6">
        <v>0.79232800000000003</v>
      </c>
      <c r="F329" s="6" t="s">
        <v>985</v>
      </c>
      <c r="G329" s="6" t="s">
        <v>557</v>
      </c>
      <c r="H329" s="35">
        <v>13978</v>
      </c>
      <c r="I329" s="6" t="s">
        <v>195</v>
      </c>
      <c r="J329" s="6">
        <v>25</v>
      </c>
      <c r="K329" s="6">
        <v>2028</v>
      </c>
      <c r="L329" s="6">
        <v>2</v>
      </c>
      <c r="M329" s="6" t="s">
        <v>45</v>
      </c>
      <c r="N329" s="6" t="s">
        <v>250</v>
      </c>
      <c r="O329" s="6" t="s">
        <v>165</v>
      </c>
      <c r="P329" s="6" t="s">
        <v>166</v>
      </c>
      <c r="Q329" s="6" t="s">
        <v>172</v>
      </c>
      <c r="R329" s="6">
        <v>421</v>
      </c>
      <c r="S329" s="6">
        <v>53</v>
      </c>
      <c r="T329" s="36" t="s">
        <v>253</v>
      </c>
      <c r="U329" s="46">
        <f>IF($L329&lt;=2,
IF($R329&lt;=RpmDesignStandard!$C$2,RpmDesignStandard!$D$2,
IF(AND($R329&gt;RpmDesignStandard!$B$3,$R329&lt;=RpmDesignStandard!$C$3),RpmDesignStandard!$D$3,RpmDesignStandard!$D$4)),
IF($R329&lt;=RpmDesignStandard!$C$5, RpmDesignStandard!$D$5,
IF(AND($R329&gt;RpmDesignStandard!$B$6,$R329&lt;=RpmDesignStandard!$C$6),RpmDesignStandard!$D$6,
IF(AND($R329&gt;RpmDesignStandard!$B$7,$R329&lt;=RpmDesignStandard!$C$7),RpmDesignStandard!$D$7,RpmDesignStandard!$D$8))))</f>
        <v>4</v>
      </c>
      <c r="V329" s="47">
        <f>U329*RpmDesignStandard!$H$1</f>
        <v>8</v>
      </c>
      <c r="W329" s="37" t="str">
        <f>VLOOKUP(A329,RPM_ProjectRecord!A:AB,8,FALSE)</f>
        <v/>
      </c>
      <c r="X329" s="38" t="str">
        <f t="shared" si="50"/>
        <v/>
      </c>
      <c r="Y329" s="38" t="str">
        <f t="shared" si="51"/>
        <v/>
      </c>
      <c r="Z329" s="38" t="str">
        <f t="shared" si="52"/>
        <v/>
      </c>
      <c r="AA329" s="38" t="str">
        <f t="shared" si="53"/>
        <v/>
      </c>
      <c r="AB329" s="38" t="str">
        <f t="shared" si="54"/>
        <v/>
      </c>
      <c r="AC329" s="38">
        <f>IF(VLOOKUP(A329,'3rdPhaseChipSeal'!A:L,12,FALSE)="","",VLOOKUP(A329,'3rdPhaseChipSeal'!A:L,12,FALSE))</f>
        <v>2028</v>
      </c>
      <c r="AD329" s="38" t="str">
        <f>IFERROR(IF(VLOOKUP(A329,RpmContracts!A:C,3,FALSE)="","",VLOOKUP(A329,RpmContracts!A:C,3,FALSE)),"")</f>
        <v/>
      </c>
      <c r="AE329" s="7" t="str">
        <f>IF(VLOOKUP(A329,'20yPlan'!A:B,2,FALSE)="","",VLOOKUP(A329,'20yPlan'!A:B,2,FALSE))</f>
        <v/>
      </c>
      <c r="AF329" s="7" t="str">
        <f>IF(VLOOKUP(A329,'20yPlan'!A:C,3,FALSE)="","",VLOOKUP(A329,'20yPlan'!A:C,3,FALSE))</f>
        <v/>
      </c>
      <c r="AG329" s="7" t="str">
        <f>IF(VLOOKUP(A329,'20yPlan'!A:D,4,FALSE)="","",VLOOKUP(A329,'20yPlan'!A:D,4,FALSE))</f>
        <v/>
      </c>
      <c r="AH329" s="7" t="str">
        <f>IF(VLOOKUP(A329,'20yPlan'!A:E,5,FALSE)="","",VLOOKUP(A329,'20yPlan'!A:E,5,FALSE))</f>
        <v/>
      </c>
      <c r="AI329" s="7" t="str">
        <f>IF(VLOOKUP(A329,'20yPlan'!A:F,6,FALSE)="","",VLOOKUP(A329,'20yPlan'!A:F,6,FALSE))</f>
        <v/>
      </c>
      <c r="AJ329" s="7" t="str">
        <f t="shared" si="55"/>
        <v>2028 Chip Seal</v>
      </c>
      <c r="AK329" s="7" t="str">
        <f t="shared" si="56"/>
        <v/>
      </c>
      <c r="AL329" s="39">
        <f t="shared" ca="1" si="57"/>
        <v>2025</v>
      </c>
      <c r="AM329" s="7" t="str">
        <f t="shared" si="58"/>
        <v/>
      </c>
      <c r="AN329" s="7" t="str">
        <f t="shared" si="59"/>
        <v/>
      </c>
    </row>
    <row r="330" spans="1:40">
      <c r="A330" s="6">
        <v>60349</v>
      </c>
      <c r="B330" s="6" t="s">
        <v>656</v>
      </c>
      <c r="C330" s="6" t="s">
        <v>986</v>
      </c>
      <c r="D330" s="6">
        <v>4.3360729999999998</v>
      </c>
      <c r="E330" s="6">
        <v>10.666024999999999</v>
      </c>
      <c r="F330" s="6" t="s">
        <v>659</v>
      </c>
      <c r="G330" s="6" t="s">
        <v>661</v>
      </c>
      <c r="H330" s="35">
        <v>97713</v>
      </c>
      <c r="I330" s="6" t="s">
        <v>195</v>
      </c>
      <c r="J330" s="6">
        <v>15</v>
      </c>
      <c r="K330" s="6">
        <v>2028</v>
      </c>
      <c r="L330" s="6">
        <v>2</v>
      </c>
      <c r="M330" s="6" t="s">
        <v>45</v>
      </c>
      <c r="N330" s="6" t="s">
        <v>250</v>
      </c>
      <c r="O330" s="6" t="s">
        <v>165</v>
      </c>
      <c r="P330" s="6" t="s">
        <v>166</v>
      </c>
      <c r="Q330" s="6" t="s">
        <v>172</v>
      </c>
      <c r="R330" s="35">
        <v>1350</v>
      </c>
      <c r="S330" s="6">
        <v>162</v>
      </c>
      <c r="T330" s="36" t="s">
        <v>253</v>
      </c>
      <c r="U330" s="46">
        <f>IF($L330&lt;=2,
IF($R330&lt;=RpmDesignStandard!$C$2,RpmDesignStandard!$D$2,
IF(AND($R330&gt;RpmDesignStandard!$B$3,$R330&lt;=RpmDesignStandard!$C$3),RpmDesignStandard!$D$3,RpmDesignStandard!$D$4)),
IF($R330&lt;=RpmDesignStandard!$C$5, RpmDesignStandard!$D$5,
IF(AND($R330&gt;RpmDesignStandard!$B$6,$R330&lt;=RpmDesignStandard!$C$6),RpmDesignStandard!$D$6,
IF(AND($R330&gt;RpmDesignStandard!$B$7,$R330&lt;=RpmDesignStandard!$C$7),RpmDesignStandard!$D$7,RpmDesignStandard!$D$8))))</f>
        <v>4</v>
      </c>
      <c r="V330" s="47">
        <f>U330*RpmDesignStandard!$H$1</f>
        <v>8</v>
      </c>
      <c r="W330" s="37" t="str">
        <f>VLOOKUP(A330,RPM_ProjectRecord!A:AB,8,FALSE)</f>
        <v/>
      </c>
      <c r="X330" s="38" t="str">
        <f t="shared" si="50"/>
        <v/>
      </c>
      <c r="Y330" s="38" t="str">
        <f t="shared" si="51"/>
        <v/>
      </c>
      <c r="Z330" s="38" t="str">
        <f t="shared" si="52"/>
        <v/>
      </c>
      <c r="AA330" s="38" t="str">
        <f t="shared" si="53"/>
        <v/>
      </c>
      <c r="AB330" s="38" t="str">
        <f t="shared" si="54"/>
        <v/>
      </c>
      <c r="AC330" s="38">
        <f>IF(VLOOKUP(A330,'3rdPhaseChipSeal'!A:L,12,FALSE)="","",VLOOKUP(A330,'3rdPhaseChipSeal'!A:L,12,FALSE))</f>
        <v>2042</v>
      </c>
      <c r="AD330" s="38" t="str">
        <f>IFERROR(IF(VLOOKUP(A330,RpmContracts!A:C,3,FALSE)="","",VLOOKUP(A330,RpmContracts!A:C,3,FALSE)),"")</f>
        <v/>
      </c>
      <c r="AE330" s="7" t="str">
        <f>IF(VLOOKUP(A330,'20yPlan'!A:B,2,FALSE)="","",VLOOKUP(A330,'20yPlan'!A:B,2,FALSE))</f>
        <v/>
      </c>
      <c r="AF330" s="7" t="str">
        <f>IF(VLOOKUP(A330,'20yPlan'!A:C,3,FALSE)="","",VLOOKUP(A330,'20yPlan'!A:C,3,FALSE))</f>
        <v/>
      </c>
      <c r="AG330" s="7" t="str">
        <f>IF(VLOOKUP(A330,'20yPlan'!A:D,4,FALSE)="","",VLOOKUP(A330,'20yPlan'!A:D,4,FALSE))</f>
        <v/>
      </c>
      <c r="AH330" s="7" t="str">
        <f>IF(VLOOKUP(A330,'20yPlan'!A:E,5,FALSE)="","",VLOOKUP(A330,'20yPlan'!A:E,5,FALSE))</f>
        <v/>
      </c>
      <c r="AI330" s="7" t="str">
        <f>IF(VLOOKUP(A330,'20yPlan'!A:F,6,FALSE)="","",VLOOKUP(A330,'20yPlan'!A:F,6,FALSE))</f>
        <v/>
      </c>
      <c r="AJ330" s="7" t="str">
        <f t="shared" si="55"/>
        <v>2042 Chip Seal</v>
      </c>
      <c r="AK330" s="7" t="str">
        <f t="shared" si="56"/>
        <v/>
      </c>
      <c r="AL330" s="39">
        <f t="shared" ca="1" si="57"/>
        <v>2025</v>
      </c>
      <c r="AM330" s="7" t="str">
        <f t="shared" si="58"/>
        <v/>
      </c>
      <c r="AN330" s="7" t="str">
        <f t="shared" si="59"/>
        <v/>
      </c>
    </row>
    <row r="331" spans="1:40">
      <c r="A331" s="6">
        <v>60350</v>
      </c>
      <c r="B331" s="6" t="s">
        <v>792</v>
      </c>
      <c r="C331" s="6" t="s">
        <v>987</v>
      </c>
      <c r="D331" s="6">
        <v>11.462695999999999</v>
      </c>
      <c r="E331" s="6">
        <v>11.813256000000001</v>
      </c>
      <c r="F331" s="6" t="s">
        <v>798</v>
      </c>
      <c r="G331" s="6" t="s">
        <v>988</v>
      </c>
      <c r="H331" s="35">
        <v>5815</v>
      </c>
      <c r="I331" s="6" t="s">
        <v>44</v>
      </c>
      <c r="J331" s="6">
        <v>22</v>
      </c>
      <c r="K331" s="6"/>
      <c r="L331" s="6">
        <v>2</v>
      </c>
      <c r="M331" s="6" t="s">
        <v>45</v>
      </c>
      <c r="N331" s="6" t="s">
        <v>250</v>
      </c>
      <c r="O331" s="6" t="s">
        <v>61</v>
      </c>
      <c r="P331" s="6" t="s">
        <v>338</v>
      </c>
      <c r="Q331" s="6" t="s">
        <v>58</v>
      </c>
      <c r="R331" s="6">
        <v>707</v>
      </c>
      <c r="S331" s="6">
        <v>69</v>
      </c>
      <c r="T331" s="36" t="s">
        <v>50</v>
      </c>
      <c r="U331" s="46">
        <f>IF($L331&lt;=2,
IF($R331&lt;=RpmDesignStandard!$C$2,RpmDesignStandard!$D$2,
IF(AND($R331&gt;RpmDesignStandard!$B$3,$R331&lt;=RpmDesignStandard!$C$3),RpmDesignStandard!$D$3,RpmDesignStandard!$D$4)),
IF($R331&lt;=RpmDesignStandard!$C$5, RpmDesignStandard!$D$5,
IF(AND($R331&gt;RpmDesignStandard!$B$6,$R331&lt;=RpmDesignStandard!$C$6),RpmDesignStandard!$D$6,
IF(AND($R331&gt;RpmDesignStandard!$B$7,$R331&lt;=RpmDesignStandard!$C$7),RpmDesignStandard!$D$7,RpmDesignStandard!$D$8))))</f>
        <v>4</v>
      </c>
      <c r="V331" s="47">
        <f>U331*RpmDesignStandard!$H$1</f>
        <v>8</v>
      </c>
      <c r="W331" s="37" t="str">
        <f>VLOOKUP(A331,RPM_ProjectRecord!A:AB,8,FALSE)</f>
        <v/>
      </c>
      <c r="X331" s="38" t="str">
        <f t="shared" si="50"/>
        <v/>
      </c>
      <c r="Y331" s="38" t="str">
        <f t="shared" si="51"/>
        <v/>
      </c>
      <c r="Z331" s="38" t="str">
        <f t="shared" si="52"/>
        <v/>
      </c>
      <c r="AA331" s="38" t="str">
        <f t="shared" si="53"/>
        <v/>
      </c>
      <c r="AB331" s="38" t="str">
        <f t="shared" si="54"/>
        <v/>
      </c>
      <c r="AC331" s="38" t="str">
        <f>IF(VLOOKUP(A331,'3rdPhaseChipSeal'!A:L,12,FALSE)="","",VLOOKUP(A331,'3rdPhaseChipSeal'!A:L,12,FALSE))</f>
        <v/>
      </c>
      <c r="AD331" s="38" t="str">
        <f>IFERROR(IF(VLOOKUP(A331,RpmContracts!A:C,3,FALSE)="","",VLOOKUP(A331,RpmContracts!A:C,3,FALSE)),"")</f>
        <v/>
      </c>
      <c r="AE331" s="7" t="str">
        <f>IF(VLOOKUP(A331,'20yPlan'!A:B,2,FALSE)="","",VLOOKUP(A331,'20yPlan'!A:B,2,FALSE))</f>
        <v/>
      </c>
      <c r="AF331" s="7" t="str">
        <f>IF(VLOOKUP(A331,'20yPlan'!A:C,3,FALSE)="","",VLOOKUP(A331,'20yPlan'!A:C,3,FALSE))</f>
        <v/>
      </c>
      <c r="AG331" s="7" t="str">
        <f>IF(VLOOKUP(A331,'20yPlan'!A:D,4,FALSE)="","",VLOOKUP(A331,'20yPlan'!A:D,4,FALSE))</f>
        <v/>
      </c>
      <c r="AH331" s="7" t="str">
        <f>IF(VLOOKUP(A331,'20yPlan'!A:E,5,FALSE)="","",VLOOKUP(A331,'20yPlan'!A:E,5,FALSE))</f>
        <v/>
      </c>
      <c r="AI331" s="7" t="str">
        <f>IF(VLOOKUP(A331,'20yPlan'!A:F,6,FALSE)="","",VLOOKUP(A331,'20yPlan'!A:F,6,FALSE))</f>
        <v/>
      </c>
      <c r="AJ331" s="7" t="str">
        <f t="shared" si="55"/>
        <v/>
      </c>
      <c r="AK331" s="7" t="str">
        <f t="shared" si="56"/>
        <v/>
      </c>
      <c r="AL331" s="39">
        <f t="shared" ca="1" si="57"/>
        <v>2025</v>
      </c>
      <c r="AM331" s="7" t="str">
        <f t="shared" si="58"/>
        <v/>
      </c>
      <c r="AN331" s="7" t="str">
        <f t="shared" si="59"/>
        <v/>
      </c>
    </row>
    <row r="332" spans="1:40">
      <c r="A332" s="6">
        <v>60351</v>
      </c>
      <c r="B332" s="6" t="s">
        <v>261</v>
      </c>
      <c r="C332" s="6" t="s">
        <v>989</v>
      </c>
      <c r="D332" s="6">
        <v>24.828665999999998</v>
      </c>
      <c r="E332" s="6">
        <v>27.29871</v>
      </c>
      <c r="F332" s="6" t="s">
        <v>990</v>
      </c>
      <c r="G332" s="6" t="s">
        <v>271</v>
      </c>
      <c r="H332" s="35">
        <v>73588</v>
      </c>
      <c r="I332" s="6" t="s">
        <v>195</v>
      </c>
      <c r="J332" s="6">
        <v>16</v>
      </c>
      <c r="K332" s="6">
        <v>2026</v>
      </c>
      <c r="L332" s="6">
        <v>2</v>
      </c>
      <c r="M332" s="6" t="s">
        <v>45</v>
      </c>
      <c r="N332" s="6" t="s">
        <v>250</v>
      </c>
      <c r="O332" s="6" t="s">
        <v>215</v>
      </c>
      <c r="P332" s="6" t="s">
        <v>694</v>
      </c>
      <c r="Q332" s="6" t="s">
        <v>418</v>
      </c>
      <c r="R332" s="35">
        <v>2769</v>
      </c>
      <c r="S332" s="6">
        <v>461</v>
      </c>
      <c r="T332" s="36" t="s">
        <v>50</v>
      </c>
      <c r="U332" s="46">
        <f>IF($L332&lt;=2,
IF($R332&lt;=RpmDesignStandard!$C$2,RpmDesignStandard!$D$2,
IF(AND($R332&gt;RpmDesignStandard!$B$3,$R332&lt;=RpmDesignStandard!$C$3),RpmDesignStandard!$D$3,RpmDesignStandard!$D$4)),
IF($R332&lt;=RpmDesignStandard!$C$5, RpmDesignStandard!$D$5,
IF(AND($R332&gt;RpmDesignStandard!$B$6,$R332&lt;=RpmDesignStandard!$C$6),RpmDesignStandard!$D$6,
IF(AND($R332&gt;RpmDesignStandard!$B$7,$R332&lt;=RpmDesignStandard!$C$7),RpmDesignStandard!$D$7,RpmDesignStandard!$D$8))))</f>
        <v>4</v>
      </c>
      <c r="V332" s="47">
        <f>U332*RpmDesignStandard!$H$1</f>
        <v>8</v>
      </c>
      <c r="W332" s="37" t="str">
        <f>VLOOKUP(A332,RPM_ProjectRecord!A:AB,8,FALSE)</f>
        <v/>
      </c>
      <c r="X332" s="38" t="str">
        <f t="shared" si="50"/>
        <v/>
      </c>
      <c r="Y332" s="38" t="str">
        <f t="shared" si="51"/>
        <v/>
      </c>
      <c r="Z332" s="38" t="str">
        <f t="shared" si="52"/>
        <v/>
      </c>
      <c r="AA332" s="38" t="str">
        <f t="shared" si="53"/>
        <v/>
      </c>
      <c r="AB332" s="38" t="str">
        <f t="shared" si="54"/>
        <v/>
      </c>
      <c r="AC332" s="38">
        <f>IF(VLOOKUP(A332,'3rdPhaseChipSeal'!A:L,12,FALSE)="","",VLOOKUP(A332,'3rdPhaseChipSeal'!A:L,12,FALSE))</f>
        <v>2039</v>
      </c>
      <c r="AD332" s="38" t="str">
        <f>IFERROR(IF(VLOOKUP(A332,RpmContracts!A:C,3,FALSE)="","",VLOOKUP(A332,RpmContracts!A:C,3,FALSE)),"")</f>
        <v/>
      </c>
      <c r="AE332" s="7" t="str">
        <f>IF(VLOOKUP(A332,'20yPlan'!A:B,2,FALSE)="","",VLOOKUP(A332,'20yPlan'!A:B,2,FALSE))</f>
        <v/>
      </c>
      <c r="AF332" s="7" t="str">
        <f>IF(VLOOKUP(A332,'20yPlan'!A:C,3,FALSE)="","",VLOOKUP(A332,'20yPlan'!A:C,3,FALSE))</f>
        <v/>
      </c>
      <c r="AG332" s="7" t="str">
        <f>IF(VLOOKUP(A332,'20yPlan'!A:D,4,FALSE)="","",VLOOKUP(A332,'20yPlan'!A:D,4,FALSE))</f>
        <v/>
      </c>
      <c r="AH332" s="7" t="str">
        <f>IF(VLOOKUP(A332,'20yPlan'!A:E,5,FALSE)="","",VLOOKUP(A332,'20yPlan'!A:E,5,FALSE))</f>
        <v/>
      </c>
      <c r="AI332" s="7" t="str">
        <f>IF(VLOOKUP(A332,'20yPlan'!A:F,6,FALSE)="","",VLOOKUP(A332,'20yPlan'!A:F,6,FALSE))</f>
        <v/>
      </c>
      <c r="AJ332" s="7" t="str">
        <f t="shared" si="55"/>
        <v>2039 Chip Seal</v>
      </c>
      <c r="AK332" s="7" t="str">
        <f t="shared" si="56"/>
        <v/>
      </c>
      <c r="AL332" s="39">
        <f t="shared" ca="1" si="57"/>
        <v>2025</v>
      </c>
      <c r="AM332" s="7" t="str">
        <f t="shared" si="58"/>
        <v/>
      </c>
      <c r="AN332" s="7" t="str">
        <f t="shared" si="59"/>
        <v/>
      </c>
    </row>
    <row r="333" spans="1:40">
      <c r="A333" s="6">
        <v>60352</v>
      </c>
      <c r="B333" s="6" t="s">
        <v>288</v>
      </c>
      <c r="C333" s="6" t="s">
        <v>991</v>
      </c>
      <c r="D333" s="6">
        <v>13.867721</v>
      </c>
      <c r="E333" s="6">
        <v>14.186658</v>
      </c>
      <c r="F333" s="6" t="s">
        <v>294</v>
      </c>
      <c r="G333" s="6" t="s">
        <v>992</v>
      </c>
      <c r="H333" s="35">
        <v>5621</v>
      </c>
      <c r="I333" s="6" t="s">
        <v>44</v>
      </c>
      <c r="J333" s="6">
        <v>20</v>
      </c>
      <c r="K333" s="6">
        <v>2025</v>
      </c>
      <c r="L333" s="6">
        <v>2</v>
      </c>
      <c r="M333" s="6" t="s">
        <v>45</v>
      </c>
      <c r="N333" s="6" t="s">
        <v>250</v>
      </c>
      <c r="O333" s="6" t="s">
        <v>165</v>
      </c>
      <c r="P333" s="6" t="s">
        <v>291</v>
      </c>
      <c r="Q333" s="6" t="s">
        <v>172</v>
      </c>
      <c r="R333" s="35">
        <v>1559</v>
      </c>
      <c r="S333" s="6">
        <v>186</v>
      </c>
      <c r="T333" s="36" t="s">
        <v>50</v>
      </c>
      <c r="U333" s="46">
        <f>IF($L333&lt;=2,
IF($R333&lt;=RpmDesignStandard!$C$2,RpmDesignStandard!$D$2,
IF(AND($R333&gt;RpmDesignStandard!$B$3,$R333&lt;=RpmDesignStandard!$C$3),RpmDesignStandard!$D$3,RpmDesignStandard!$D$4)),
IF($R333&lt;=RpmDesignStandard!$C$5, RpmDesignStandard!$D$5,
IF(AND($R333&gt;RpmDesignStandard!$B$6,$R333&lt;=RpmDesignStandard!$C$6),RpmDesignStandard!$D$6,
IF(AND($R333&gt;RpmDesignStandard!$B$7,$R333&lt;=RpmDesignStandard!$C$7),RpmDesignStandard!$D$7,RpmDesignStandard!$D$8))))</f>
        <v>4</v>
      </c>
      <c r="V333" s="47">
        <f>U333*RpmDesignStandard!$H$1</f>
        <v>8</v>
      </c>
      <c r="W333" s="37" t="str">
        <f>VLOOKUP(A333,RPM_ProjectRecord!A:AB,8,FALSE)</f>
        <v/>
      </c>
      <c r="X333" s="38" t="str">
        <f t="shared" si="50"/>
        <v/>
      </c>
      <c r="Y333" s="38" t="str">
        <f t="shared" si="51"/>
        <v/>
      </c>
      <c r="Z333" s="38" t="str">
        <f t="shared" si="52"/>
        <v/>
      </c>
      <c r="AA333" s="38" t="str">
        <f t="shared" si="53"/>
        <v/>
      </c>
      <c r="AB333" s="38" t="str">
        <f t="shared" si="54"/>
        <v/>
      </c>
      <c r="AC333" s="38" t="str">
        <f>IF(VLOOKUP(A333,'3rdPhaseChipSeal'!A:L,12,FALSE)="","",VLOOKUP(A333,'3rdPhaseChipSeal'!A:L,12,FALSE))</f>
        <v/>
      </c>
      <c r="AD333" s="38" t="str">
        <f>IFERROR(IF(VLOOKUP(A333,RpmContracts!A:C,3,FALSE)="","",VLOOKUP(A333,RpmContracts!A:C,3,FALSE)),"")</f>
        <v/>
      </c>
      <c r="AE333" s="7" t="str">
        <f>IF(VLOOKUP(A333,'20yPlan'!A:B,2,FALSE)="","",VLOOKUP(A333,'20yPlan'!A:B,2,FALSE))</f>
        <v/>
      </c>
      <c r="AF333" s="7" t="str">
        <f>IF(VLOOKUP(A333,'20yPlan'!A:C,3,FALSE)="","",VLOOKUP(A333,'20yPlan'!A:C,3,FALSE))</f>
        <v/>
      </c>
      <c r="AG333" s="7" t="str">
        <f>IF(VLOOKUP(A333,'20yPlan'!A:D,4,FALSE)="","",VLOOKUP(A333,'20yPlan'!A:D,4,FALSE))</f>
        <v/>
      </c>
      <c r="AH333" s="7" t="str">
        <f>IF(VLOOKUP(A333,'20yPlan'!A:E,5,FALSE)="","",VLOOKUP(A333,'20yPlan'!A:E,5,FALSE))</f>
        <v/>
      </c>
      <c r="AI333" s="7" t="str">
        <f>IF(VLOOKUP(A333,'20yPlan'!A:F,6,FALSE)="","",VLOOKUP(A333,'20yPlan'!A:F,6,FALSE))</f>
        <v/>
      </c>
      <c r="AJ333" s="7" t="str">
        <f t="shared" si="55"/>
        <v/>
      </c>
      <c r="AK333" s="7" t="str">
        <f t="shared" si="56"/>
        <v/>
      </c>
      <c r="AL333" s="39">
        <f t="shared" ca="1" si="57"/>
        <v>2025</v>
      </c>
      <c r="AM333" s="7" t="str">
        <f t="shared" si="58"/>
        <v/>
      </c>
      <c r="AN333" s="7" t="str">
        <f t="shared" si="59"/>
        <v/>
      </c>
    </row>
    <row r="334" spans="1:40">
      <c r="A334" s="6">
        <v>60353</v>
      </c>
      <c r="B334" s="6" t="s">
        <v>393</v>
      </c>
      <c r="C334" s="6" t="s">
        <v>993</v>
      </c>
      <c r="D334" s="6">
        <v>0</v>
      </c>
      <c r="E334" s="6">
        <v>0.85148699999999999</v>
      </c>
      <c r="F334" s="6" t="s">
        <v>53</v>
      </c>
      <c r="G334" s="6" t="s">
        <v>395</v>
      </c>
      <c r="H334" s="35">
        <v>14526</v>
      </c>
      <c r="I334" s="6" t="s">
        <v>44</v>
      </c>
      <c r="J334" s="6">
        <v>25</v>
      </c>
      <c r="K334" s="6"/>
      <c r="L334" s="6">
        <v>2</v>
      </c>
      <c r="M334" s="6" t="s">
        <v>45</v>
      </c>
      <c r="N334" s="6" t="s">
        <v>250</v>
      </c>
      <c r="O334" s="6" t="s">
        <v>121</v>
      </c>
      <c r="P334" s="6" t="s">
        <v>122</v>
      </c>
      <c r="Q334" s="6" t="s">
        <v>123</v>
      </c>
      <c r="R334" s="35">
        <v>1284</v>
      </c>
      <c r="S334" s="6">
        <v>124</v>
      </c>
      <c r="T334" s="36" t="s">
        <v>50</v>
      </c>
      <c r="U334" s="46">
        <f>IF($L334&lt;=2,
IF($R334&lt;=RpmDesignStandard!$C$2,RpmDesignStandard!$D$2,
IF(AND($R334&gt;RpmDesignStandard!$B$3,$R334&lt;=RpmDesignStandard!$C$3),RpmDesignStandard!$D$3,RpmDesignStandard!$D$4)),
IF($R334&lt;=RpmDesignStandard!$C$5, RpmDesignStandard!$D$5,
IF(AND($R334&gt;RpmDesignStandard!$B$6,$R334&lt;=RpmDesignStandard!$C$6),RpmDesignStandard!$D$6,
IF(AND($R334&gt;RpmDesignStandard!$B$7,$R334&lt;=RpmDesignStandard!$C$7),RpmDesignStandard!$D$7,RpmDesignStandard!$D$8))))</f>
        <v>4</v>
      </c>
      <c r="V334" s="47">
        <f>U334*RpmDesignStandard!$H$1</f>
        <v>8</v>
      </c>
      <c r="W334" s="37" t="str">
        <f>VLOOKUP(A334,RPM_ProjectRecord!A:AB,8,FALSE)</f>
        <v/>
      </c>
      <c r="X334" s="38" t="str">
        <f t="shared" si="50"/>
        <v/>
      </c>
      <c r="Y334" s="38" t="str">
        <f t="shared" si="51"/>
        <v/>
      </c>
      <c r="Z334" s="38" t="str">
        <f t="shared" si="52"/>
        <v/>
      </c>
      <c r="AA334" s="38" t="str">
        <f t="shared" si="53"/>
        <v/>
      </c>
      <c r="AB334" s="38" t="str">
        <f t="shared" si="54"/>
        <v/>
      </c>
      <c r="AC334" s="38" t="str">
        <f>IF(VLOOKUP(A334,'3rdPhaseChipSeal'!A:L,12,FALSE)="","",VLOOKUP(A334,'3rdPhaseChipSeal'!A:L,12,FALSE))</f>
        <v/>
      </c>
      <c r="AD334" s="38">
        <f>IFERROR(IF(VLOOKUP(A334,RpmContracts!A:C,3,FALSE)="","",VLOOKUP(A334,RpmContracts!A:C,3,FALSE)),"")</f>
        <v>2026</v>
      </c>
      <c r="AE334" s="7" t="str">
        <f>IF(VLOOKUP(A334,'20yPlan'!A:B,2,FALSE)="","",VLOOKUP(A334,'20yPlan'!A:B,2,FALSE))</f>
        <v/>
      </c>
      <c r="AF334" s="7" t="str">
        <f>IF(VLOOKUP(A334,'20yPlan'!A:C,3,FALSE)="","",VLOOKUP(A334,'20yPlan'!A:C,3,FALSE))</f>
        <v/>
      </c>
      <c r="AG334" s="7" t="str">
        <f>IF(VLOOKUP(A334,'20yPlan'!A:D,4,FALSE)="","",VLOOKUP(A334,'20yPlan'!A:D,4,FALSE))</f>
        <v/>
      </c>
      <c r="AH334" s="7" t="str">
        <f>IF(VLOOKUP(A334,'20yPlan'!A:E,5,FALSE)="","",VLOOKUP(A334,'20yPlan'!A:E,5,FALSE))</f>
        <v/>
      </c>
      <c r="AI334" s="7" t="str">
        <f>IF(VLOOKUP(A334,'20yPlan'!A:F,6,FALSE)="","",VLOOKUP(A334,'20yPlan'!A:F,6,FALSE))</f>
        <v/>
      </c>
      <c r="AJ334" s="7" t="str">
        <f t="shared" si="55"/>
        <v/>
      </c>
      <c r="AK334" s="7" t="str">
        <f t="shared" si="56"/>
        <v>2026 RPM Replacement</v>
      </c>
      <c r="AL334" s="39">
        <f t="shared" ca="1" si="57"/>
        <v>2025</v>
      </c>
      <c r="AM334" s="7">
        <f t="shared" si="58"/>
        <v>2026</v>
      </c>
      <c r="AN334" s="7" t="str">
        <f t="shared" si="59"/>
        <v>2026 RPM Replacement</v>
      </c>
    </row>
    <row r="335" spans="1:40">
      <c r="A335" s="6">
        <v>60354</v>
      </c>
      <c r="B335" s="6" t="s">
        <v>448</v>
      </c>
      <c r="C335" s="6" t="s">
        <v>994</v>
      </c>
      <c r="D335" s="6">
        <v>13.562580000000001</v>
      </c>
      <c r="E335" s="6">
        <v>24.988733</v>
      </c>
      <c r="F335" s="6" t="s">
        <v>450</v>
      </c>
      <c r="G335" s="6" t="s">
        <v>995</v>
      </c>
      <c r="H335" s="35">
        <v>166733</v>
      </c>
      <c r="I335" s="6" t="s">
        <v>195</v>
      </c>
      <c r="J335" s="6">
        <v>2</v>
      </c>
      <c r="K335" s="6">
        <v>2029</v>
      </c>
      <c r="L335" s="6">
        <v>2</v>
      </c>
      <c r="M335" s="6" t="s">
        <v>45</v>
      </c>
      <c r="N335" s="6" t="s">
        <v>250</v>
      </c>
      <c r="O335" s="6" t="s">
        <v>285</v>
      </c>
      <c r="P335" s="6" t="s">
        <v>286</v>
      </c>
      <c r="Q335" s="6" t="s">
        <v>198</v>
      </c>
      <c r="R335" s="35">
        <v>1290</v>
      </c>
      <c r="S335" s="6">
        <v>36</v>
      </c>
      <c r="T335" s="36" t="s">
        <v>253</v>
      </c>
      <c r="U335" s="46">
        <f>IF($L335&lt;=2,
IF($R335&lt;=RpmDesignStandard!$C$2,RpmDesignStandard!$D$2,
IF(AND($R335&gt;RpmDesignStandard!$B$3,$R335&lt;=RpmDesignStandard!$C$3),RpmDesignStandard!$D$3,RpmDesignStandard!$D$4)),
IF($R335&lt;=RpmDesignStandard!$C$5, RpmDesignStandard!$D$5,
IF(AND($R335&gt;RpmDesignStandard!$B$6,$R335&lt;=RpmDesignStandard!$C$6),RpmDesignStandard!$D$6,
IF(AND($R335&gt;RpmDesignStandard!$B$7,$R335&lt;=RpmDesignStandard!$C$7),RpmDesignStandard!$D$7,RpmDesignStandard!$D$8))))</f>
        <v>4</v>
      </c>
      <c r="V335" s="47">
        <f>U335*RpmDesignStandard!$H$1</f>
        <v>8</v>
      </c>
      <c r="W335" s="37">
        <f>VLOOKUP(A335,RPM_ProjectRecord!A:AB,8,FALSE)</f>
        <v>2021</v>
      </c>
      <c r="X335" s="38" t="str">
        <f t="shared" si="50"/>
        <v/>
      </c>
      <c r="Y335" s="38" t="str">
        <f t="shared" si="51"/>
        <v/>
      </c>
      <c r="Z335" s="38" t="str">
        <f t="shared" si="52"/>
        <v/>
      </c>
      <c r="AA335" s="38" t="str">
        <f t="shared" si="53"/>
        <v/>
      </c>
      <c r="AB335" s="38" t="str">
        <f t="shared" si="54"/>
        <v/>
      </c>
      <c r="AC335" s="38">
        <f>IF(VLOOKUP(A335,'3rdPhaseChipSeal'!A:L,12,FALSE)="","",VLOOKUP(A335,'3rdPhaseChipSeal'!A:L,12,FALSE))</f>
        <v>2035</v>
      </c>
      <c r="AD335" s="38">
        <f>IFERROR(IF(VLOOKUP(A335,RpmContracts!A:C,3,FALSE)="","",VLOOKUP(A335,RpmContracts!A:C,3,FALSE)),"")</f>
        <v>2026</v>
      </c>
      <c r="AE335" s="7" t="str">
        <f>IF(VLOOKUP(A335,'20yPlan'!A:B,2,FALSE)="","",VLOOKUP(A335,'20yPlan'!A:B,2,FALSE))</f>
        <v/>
      </c>
      <c r="AF335" s="7" t="str">
        <f>IF(VLOOKUP(A335,'20yPlan'!A:C,3,FALSE)="","",VLOOKUP(A335,'20yPlan'!A:C,3,FALSE))</f>
        <v/>
      </c>
      <c r="AG335" s="7" t="str">
        <f>IF(VLOOKUP(A335,'20yPlan'!A:D,4,FALSE)="","",VLOOKUP(A335,'20yPlan'!A:D,4,FALSE))</f>
        <v/>
      </c>
      <c r="AH335" s="7" t="str">
        <f>IF(VLOOKUP(A335,'20yPlan'!A:E,5,FALSE)="","",VLOOKUP(A335,'20yPlan'!A:E,5,FALSE))</f>
        <v/>
      </c>
      <c r="AI335" s="7" t="str">
        <f>IF(VLOOKUP(A335,'20yPlan'!A:F,6,FALSE)="","",VLOOKUP(A335,'20yPlan'!A:F,6,FALSE))</f>
        <v/>
      </c>
      <c r="AJ335" s="7" t="str">
        <f t="shared" si="55"/>
        <v>2035 Chip Seal</v>
      </c>
      <c r="AK335" s="7" t="str">
        <f t="shared" si="56"/>
        <v>2026 RPM Replacement</v>
      </c>
      <c r="AL335" s="39">
        <f t="shared" ca="1" si="57"/>
        <v>2025</v>
      </c>
      <c r="AM335" s="7">
        <f t="shared" si="58"/>
        <v>2026</v>
      </c>
      <c r="AN335" s="7" t="str">
        <f t="shared" si="59"/>
        <v>2026 RPM Replacement</v>
      </c>
    </row>
    <row r="336" spans="1:40">
      <c r="A336" s="6">
        <v>60355</v>
      </c>
      <c r="B336" s="6" t="s">
        <v>261</v>
      </c>
      <c r="C336" s="6" t="s">
        <v>996</v>
      </c>
      <c r="D336" s="6">
        <v>24.140913999999999</v>
      </c>
      <c r="E336" s="6">
        <v>24.827666000000001</v>
      </c>
      <c r="F336" s="6" t="s">
        <v>268</v>
      </c>
      <c r="G336" s="6" t="s">
        <v>997</v>
      </c>
      <c r="H336" s="35">
        <v>11244</v>
      </c>
      <c r="I336" s="6" t="s">
        <v>44</v>
      </c>
      <c r="J336" s="6">
        <v>19</v>
      </c>
      <c r="K336" s="6"/>
      <c r="L336" s="6">
        <v>2</v>
      </c>
      <c r="M336" s="6" t="s">
        <v>45</v>
      </c>
      <c r="N336" s="6" t="s">
        <v>250</v>
      </c>
      <c r="O336" s="6" t="s">
        <v>79</v>
      </c>
      <c r="P336" s="6" t="s">
        <v>99</v>
      </c>
      <c r="Q336" s="6" t="s">
        <v>217</v>
      </c>
      <c r="R336" s="6">
        <v>817</v>
      </c>
      <c r="S336" s="6">
        <v>26</v>
      </c>
      <c r="T336" s="36" t="s">
        <v>50</v>
      </c>
      <c r="U336" s="46">
        <f>IF($L336&lt;=2,
IF($R336&lt;=RpmDesignStandard!$C$2,RpmDesignStandard!$D$2,
IF(AND($R336&gt;RpmDesignStandard!$B$3,$R336&lt;=RpmDesignStandard!$C$3),RpmDesignStandard!$D$3,RpmDesignStandard!$D$4)),
IF($R336&lt;=RpmDesignStandard!$C$5, RpmDesignStandard!$D$5,
IF(AND($R336&gt;RpmDesignStandard!$B$6,$R336&lt;=RpmDesignStandard!$C$6),RpmDesignStandard!$D$6,
IF(AND($R336&gt;RpmDesignStandard!$B$7,$R336&lt;=RpmDesignStandard!$C$7),RpmDesignStandard!$D$7,RpmDesignStandard!$D$8))))</f>
        <v>4</v>
      </c>
      <c r="V336" s="47">
        <f>U336*RpmDesignStandard!$H$1</f>
        <v>8</v>
      </c>
      <c r="W336" s="37" t="str">
        <f>VLOOKUP(A336,RPM_ProjectRecord!A:AB,8,FALSE)</f>
        <v/>
      </c>
      <c r="X336" s="38" t="str">
        <f t="shared" si="50"/>
        <v/>
      </c>
      <c r="Y336" s="38" t="str">
        <f t="shared" si="51"/>
        <v/>
      </c>
      <c r="Z336" s="38" t="str">
        <f t="shared" si="52"/>
        <v/>
      </c>
      <c r="AA336" s="38" t="str">
        <f t="shared" si="53"/>
        <v/>
      </c>
      <c r="AB336" s="38" t="str">
        <f t="shared" si="54"/>
        <v/>
      </c>
      <c r="AC336" s="38" t="str">
        <f>IF(VLOOKUP(A336,'3rdPhaseChipSeal'!A:L,12,FALSE)="","",VLOOKUP(A336,'3rdPhaseChipSeal'!A:L,12,FALSE))</f>
        <v/>
      </c>
      <c r="AD336" s="38">
        <f>IFERROR(IF(VLOOKUP(A336,RpmContracts!A:C,3,FALSE)="","",VLOOKUP(A336,RpmContracts!A:C,3,FALSE)),"")</f>
        <v>2027</v>
      </c>
      <c r="AE336" s="7" t="str">
        <f>IF(VLOOKUP(A336,'20yPlan'!A:B,2,FALSE)="","",VLOOKUP(A336,'20yPlan'!A:B,2,FALSE))</f>
        <v/>
      </c>
      <c r="AF336" s="7" t="str">
        <f>IF(VLOOKUP(A336,'20yPlan'!A:C,3,FALSE)="","",VLOOKUP(A336,'20yPlan'!A:C,3,FALSE))</f>
        <v/>
      </c>
      <c r="AG336" s="7" t="str">
        <f>IF(VLOOKUP(A336,'20yPlan'!A:D,4,FALSE)="","",VLOOKUP(A336,'20yPlan'!A:D,4,FALSE))</f>
        <v/>
      </c>
      <c r="AH336" s="7" t="str">
        <f>IF(VLOOKUP(A336,'20yPlan'!A:E,5,FALSE)="","",VLOOKUP(A336,'20yPlan'!A:E,5,FALSE))</f>
        <v/>
      </c>
      <c r="AI336" s="7" t="str">
        <f>IF(VLOOKUP(A336,'20yPlan'!A:F,6,FALSE)="","",VLOOKUP(A336,'20yPlan'!A:F,6,FALSE))</f>
        <v/>
      </c>
      <c r="AJ336" s="7" t="str">
        <f t="shared" si="55"/>
        <v/>
      </c>
      <c r="AK336" s="7" t="str">
        <f t="shared" si="56"/>
        <v>2027 RPM Replacement</v>
      </c>
      <c r="AL336" s="39">
        <f t="shared" ca="1" si="57"/>
        <v>2025</v>
      </c>
      <c r="AM336" s="7">
        <f t="shared" si="58"/>
        <v>2027</v>
      </c>
      <c r="AN336" s="7" t="str">
        <f t="shared" si="59"/>
        <v>2027 RPM Replacement</v>
      </c>
    </row>
    <row r="337" spans="1:40">
      <c r="A337" s="6">
        <v>60356</v>
      </c>
      <c r="B337" s="6" t="s">
        <v>555</v>
      </c>
      <c r="C337" s="6" t="s">
        <v>998</v>
      </c>
      <c r="D337" s="6">
        <v>22.965807999999999</v>
      </c>
      <c r="E337" s="6">
        <v>24.203279999999999</v>
      </c>
      <c r="F337" s="6" t="s">
        <v>562</v>
      </c>
      <c r="G337" s="6" t="s">
        <v>564</v>
      </c>
      <c r="H337" s="35">
        <v>20594</v>
      </c>
      <c r="I337" s="6" t="s">
        <v>44</v>
      </c>
      <c r="J337" s="6">
        <v>3</v>
      </c>
      <c r="K337" s="6"/>
      <c r="L337" s="6">
        <v>2</v>
      </c>
      <c r="M337" s="6" t="s">
        <v>45</v>
      </c>
      <c r="N337" s="6" t="s">
        <v>250</v>
      </c>
      <c r="O337" s="6" t="s">
        <v>165</v>
      </c>
      <c r="P337" s="6" t="s">
        <v>291</v>
      </c>
      <c r="Q337" s="6" t="s">
        <v>162</v>
      </c>
      <c r="R337" s="35">
        <v>1161</v>
      </c>
      <c r="S337" s="6">
        <v>141</v>
      </c>
      <c r="T337" s="36" t="s">
        <v>50</v>
      </c>
      <c r="U337" s="46">
        <f>IF($L337&lt;=2,
IF($R337&lt;=RpmDesignStandard!$C$2,RpmDesignStandard!$D$2,
IF(AND($R337&gt;RpmDesignStandard!$B$3,$R337&lt;=RpmDesignStandard!$C$3),RpmDesignStandard!$D$3,RpmDesignStandard!$D$4)),
IF($R337&lt;=RpmDesignStandard!$C$5, RpmDesignStandard!$D$5,
IF(AND($R337&gt;RpmDesignStandard!$B$6,$R337&lt;=RpmDesignStandard!$C$6),RpmDesignStandard!$D$6,
IF(AND($R337&gt;RpmDesignStandard!$B$7,$R337&lt;=RpmDesignStandard!$C$7),RpmDesignStandard!$D$7,RpmDesignStandard!$D$8))))</f>
        <v>4</v>
      </c>
      <c r="V337" s="47">
        <f>U337*RpmDesignStandard!$H$1</f>
        <v>8</v>
      </c>
      <c r="W337" s="37" t="str">
        <f>VLOOKUP(A337,RPM_ProjectRecord!A:AB,8,FALSE)</f>
        <v/>
      </c>
      <c r="X337" s="38" t="str">
        <f t="shared" si="50"/>
        <v/>
      </c>
      <c r="Y337" s="38" t="str">
        <f t="shared" si="51"/>
        <v/>
      </c>
      <c r="Z337" s="38" t="str">
        <f t="shared" si="52"/>
        <v/>
      </c>
      <c r="AA337" s="38" t="str">
        <f t="shared" si="53"/>
        <v/>
      </c>
      <c r="AB337" s="38" t="str">
        <f t="shared" si="54"/>
        <v/>
      </c>
      <c r="AC337" s="38" t="str">
        <f>IF(VLOOKUP(A337,'3rdPhaseChipSeal'!A:L,12,FALSE)="","",VLOOKUP(A337,'3rdPhaseChipSeal'!A:L,12,FALSE))</f>
        <v/>
      </c>
      <c r="AD337" s="38">
        <f>IFERROR(IF(VLOOKUP(A337,RpmContracts!A:C,3,FALSE)="","",VLOOKUP(A337,RpmContracts!A:C,3,FALSE)),"")</f>
        <v>2026</v>
      </c>
      <c r="AE337" s="7" t="str">
        <f>IF(VLOOKUP(A337,'20yPlan'!A:B,2,FALSE)="","",VLOOKUP(A337,'20yPlan'!A:B,2,FALSE))</f>
        <v/>
      </c>
      <c r="AF337" s="7" t="str">
        <f>IF(VLOOKUP(A337,'20yPlan'!A:C,3,FALSE)="","",VLOOKUP(A337,'20yPlan'!A:C,3,FALSE))</f>
        <v/>
      </c>
      <c r="AG337" s="7" t="str">
        <f>IF(VLOOKUP(A337,'20yPlan'!A:D,4,FALSE)="","",VLOOKUP(A337,'20yPlan'!A:D,4,FALSE))</f>
        <v/>
      </c>
      <c r="AH337" s="7" t="str">
        <f>IF(VLOOKUP(A337,'20yPlan'!A:E,5,FALSE)="","",VLOOKUP(A337,'20yPlan'!A:E,5,FALSE))</f>
        <v/>
      </c>
      <c r="AI337" s="7" t="str">
        <f>IF(VLOOKUP(A337,'20yPlan'!A:F,6,FALSE)="","",VLOOKUP(A337,'20yPlan'!A:F,6,FALSE))</f>
        <v/>
      </c>
      <c r="AJ337" s="7" t="str">
        <f t="shared" si="55"/>
        <v/>
      </c>
      <c r="AK337" s="7" t="str">
        <f t="shared" si="56"/>
        <v>2026 RPM Replacement</v>
      </c>
      <c r="AL337" s="39">
        <f t="shared" ca="1" si="57"/>
        <v>2025</v>
      </c>
      <c r="AM337" s="7">
        <f t="shared" si="58"/>
        <v>2026</v>
      </c>
      <c r="AN337" s="7" t="str">
        <f t="shared" si="59"/>
        <v>2026 RPM Replacement</v>
      </c>
    </row>
    <row r="338" spans="1:40">
      <c r="A338" s="6">
        <v>60357</v>
      </c>
      <c r="B338" s="6" t="s">
        <v>599</v>
      </c>
      <c r="C338" s="6" t="s">
        <v>999</v>
      </c>
      <c r="D338" s="6">
        <v>36.517510999999999</v>
      </c>
      <c r="E338" s="6">
        <v>37.349060999999999</v>
      </c>
      <c r="F338" s="6" t="s">
        <v>614</v>
      </c>
      <c r="G338" s="6" t="s">
        <v>1000</v>
      </c>
      <c r="H338" s="35">
        <v>21666</v>
      </c>
      <c r="I338" s="6" t="s">
        <v>44</v>
      </c>
      <c r="J338" s="6">
        <v>7</v>
      </c>
      <c r="K338" s="6"/>
      <c r="L338" s="6">
        <v>2</v>
      </c>
      <c r="M338" s="6" t="s">
        <v>45</v>
      </c>
      <c r="N338" s="6" t="s">
        <v>250</v>
      </c>
      <c r="O338" s="6" t="s">
        <v>121</v>
      </c>
      <c r="P338" s="6" t="s">
        <v>122</v>
      </c>
      <c r="Q338" s="6" t="s">
        <v>370</v>
      </c>
      <c r="R338" s="35">
        <v>2367</v>
      </c>
      <c r="S338" s="6">
        <v>312</v>
      </c>
      <c r="T338" s="36" t="s">
        <v>50</v>
      </c>
      <c r="U338" s="46">
        <f>IF($L338&lt;=2,
IF($R338&lt;=RpmDesignStandard!$C$2,RpmDesignStandard!$D$2,
IF(AND($R338&gt;RpmDesignStandard!$B$3,$R338&lt;=RpmDesignStandard!$C$3),RpmDesignStandard!$D$3,RpmDesignStandard!$D$4)),
IF($R338&lt;=RpmDesignStandard!$C$5, RpmDesignStandard!$D$5,
IF(AND($R338&gt;RpmDesignStandard!$B$6,$R338&lt;=RpmDesignStandard!$C$6),RpmDesignStandard!$D$6,
IF(AND($R338&gt;RpmDesignStandard!$B$7,$R338&lt;=RpmDesignStandard!$C$7),RpmDesignStandard!$D$7,RpmDesignStandard!$D$8))))</f>
        <v>4</v>
      </c>
      <c r="V338" s="47">
        <f>U338*RpmDesignStandard!$H$1</f>
        <v>8</v>
      </c>
      <c r="W338" s="37" t="str">
        <f>VLOOKUP(A338,RPM_ProjectRecord!A:AB,8,FALSE)</f>
        <v/>
      </c>
      <c r="X338" s="38" t="str">
        <f t="shared" si="50"/>
        <v/>
      </c>
      <c r="Y338" s="38" t="str">
        <f t="shared" si="51"/>
        <v/>
      </c>
      <c r="Z338" s="38" t="str">
        <f t="shared" si="52"/>
        <v/>
      </c>
      <c r="AA338" s="38" t="str">
        <f t="shared" si="53"/>
        <v/>
      </c>
      <c r="AB338" s="38" t="str">
        <f t="shared" si="54"/>
        <v/>
      </c>
      <c r="AC338" s="38" t="str">
        <f>IF(VLOOKUP(A338,'3rdPhaseChipSeal'!A:L,12,FALSE)="","",VLOOKUP(A338,'3rdPhaseChipSeal'!A:L,12,FALSE))</f>
        <v/>
      </c>
      <c r="AD338" s="38">
        <f>IFERROR(IF(VLOOKUP(A338,RpmContracts!A:C,3,FALSE)="","",VLOOKUP(A338,RpmContracts!A:C,3,FALSE)),"")</f>
        <v>2026</v>
      </c>
      <c r="AE338" s="7" t="str">
        <f>IF(VLOOKUP(A338,'20yPlan'!A:B,2,FALSE)="","",VLOOKUP(A338,'20yPlan'!A:B,2,FALSE))</f>
        <v/>
      </c>
      <c r="AF338" s="7" t="str">
        <f>IF(VLOOKUP(A338,'20yPlan'!A:C,3,FALSE)="","",VLOOKUP(A338,'20yPlan'!A:C,3,FALSE))</f>
        <v/>
      </c>
      <c r="AG338" s="7" t="str">
        <f>IF(VLOOKUP(A338,'20yPlan'!A:D,4,FALSE)="","",VLOOKUP(A338,'20yPlan'!A:D,4,FALSE))</f>
        <v/>
      </c>
      <c r="AH338" s="7" t="str">
        <f>IF(VLOOKUP(A338,'20yPlan'!A:E,5,FALSE)="","",VLOOKUP(A338,'20yPlan'!A:E,5,FALSE))</f>
        <v/>
      </c>
      <c r="AI338" s="7" t="str">
        <f>IF(VLOOKUP(A338,'20yPlan'!A:F,6,FALSE)="","",VLOOKUP(A338,'20yPlan'!A:F,6,FALSE))</f>
        <v/>
      </c>
      <c r="AJ338" s="7" t="str">
        <f t="shared" si="55"/>
        <v/>
      </c>
      <c r="AK338" s="7" t="str">
        <f t="shared" si="56"/>
        <v>2026 RPM Replacement</v>
      </c>
      <c r="AL338" s="39">
        <f t="shared" ca="1" si="57"/>
        <v>2025</v>
      </c>
      <c r="AM338" s="7">
        <f t="shared" si="58"/>
        <v>2026</v>
      </c>
      <c r="AN338" s="7" t="str">
        <f t="shared" si="59"/>
        <v>2026 RPM Replacement</v>
      </c>
    </row>
    <row r="339" spans="1:40">
      <c r="A339" s="6">
        <v>60358</v>
      </c>
      <c r="B339" s="6" t="s">
        <v>599</v>
      </c>
      <c r="C339" s="6" t="s">
        <v>1001</v>
      </c>
      <c r="D339" s="6">
        <v>37.349060999999999</v>
      </c>
      <c r="E339" s="6">
        <v>41.220287999999996</v>
      </c>
      <c r="F339" s="6" t="s">
        <v>1000</v>
      </c>
      <c r="G339" s="6" t="s">
        <v>1002</v>
      </c>
      <c r="H339" s="35">
        <v>66717</v>
      </c>
      <c r="I339" s="6" t="s">
        <v>195</v>
      </c>
      <c r="J339" s="6">
        <v>7</v>
      </c>
      <c r="K339" s="6">
        <v>2025</v>
      </c>
      <c r="L339" s="6">
        <v>2</v>
      </c>
      <c r="M339" s="6" t="s">
        <v>45</v>
      </c>
      <c r="N339" s="6" t="s">
        <v>250</v>
      </c>
      <c r="O339" s="6" t="s">
        <v>121</v>
      </c>
      <c r="P339" s="6" t="s">
        <v>122</v>
      </c>
      <c r="Q339" s="6" t="s">
        <v>123</v>
      </c>
      <c r="R339" s="35">
        <v>3020</v>
      </c>
      <c r="S339" s="6">
        <v>275</v>
      </c>
      <c r="T339" s="36" t="s">
        <v>253</v>
      </c>
      <c r="U339" s="46">
        <f>IF($L339&lt;=2,
IF($R339&lt;=RpmDesignStandard!$C$2,RpmDesignStandard!$D$2,
IF(AND($R339&gt;RpmDesignStandard!$B$3,$R339&lt;=RpmDesignStandard!$C$3),RpmDesignStandard!$D$3,RpmDesignStandard!$D$4)),
IF($R339&lt;=RpmDesignStandard!$C$5, RpmDesignStandard!$D$5,
IF(AND($R339&gt;RpmDesignStandard!$B$6,$R339&lt;=RpmDesignStandard!$C$6),RpmDesignStandard!$D$6,
IF(AND($R339&gt;RpmDesignStandard!$B$7,$R339&lt;=RpmDesignStandard!$C$7),RpmDesignStandard!$D$7,RpmDesignStandard!$D$8))))</f>
        <v>4</v>
      </c>
      <c r="V339" s="47">
        <f>U339*RpmDesignStandard!$H$1</f>
        <v>8</v>
      </c>
      <c r="W339" s="37" t="str">
        <f>VLOOKUP(A339,RPM_ProjectRecord!A:AB,8,FALSE)</f>
        <v/>
      </c>
      <c r="X339" s="38" t="str">
        <f t="shared" si="50"/>
        <v/>
      </c>
      <c r="Y339" s="38" t="str">
        <f t="shared" si="51"/>
        <v/>
      </c>
      <c r="Z339" s="38" t="str">
        <f t="shared" si="52"/>
        <v/>
      </c>
      <c r="AA339" s="38" t="str">
        <f t="shared" si="53"/>
        <v/>
      </c>
      <c r="AB339" s="38" t="str">
        <f t="shared" si="54"/>
        <v/>
      </c>
      <c r="AC339" s="38">
        <f>IF(VLOOKUP(A339,'3rdPhaseChipSeal'!A:L,12,FALSE)="","",VLOOKUP(A339,'3rdPhaseChipSeal'!A:L,12,FALSE))</f>
        <v>2039</v>
      </c>
      <c r="AD339" s="38">
        <f>IFERROR(IF(VLOOKUP(A339,RpmContracts!A:C,3,FALSE)="","",VLOOKUP(A339,RpmContracts!A:C,3,FALSE)),"")</f>
        <v>2026</v>
      </c>
      <c r="AE339" s="7" t="str">
        <f>IF(VLOOKUP(A339,'20yPlan'!A:B,2,FALSE)="","",VLOOKUP(A339,'20yPlan'!A:B,2,FALSE))</f>
        <v/>
      </c>
      <c r="AF339" s="7" t="str">
        <f>IF(VLOOKUP(A339,'20yPlan'!A:C,3,FALSE)="","",VLOOKUP(A339,'20yPlan'!A:C,3,FALSE))</f>
        <v/>
      </c>
      <c r="AG339" s="7" t="str">
        <f>IF(VLOOKUP(A339,'20yPlan'!A:D,4,FALSE)="","",VLOOKUP(A339,'20yPlan'!A:D,4,FALSE))</f>
        <v/>
      </c>
      <c r="AH339" s="7" t="str">
        <f>IF(VLOOKUP(A339,'20yPlan'!A:E,5,FALSE)="","",VLOOKUP(A339,'20yPlan'!A:E,5,FALSE))</f>
        <v/>
      </c>
      <c r="AI339" s="7" t="str">
        <f>IF(VLOOKUP(A339,'20yPlan'!A:F,6,FALSE)="","",VLOOKUP(A339,'20yPlan'!A:F,6,FALSE))</f>
        <v/>
      </c>
      <c r="AJ339" s="7" t="str">
        <f t="shared" si="55"/>
        <v>2039 Chip Seal</v>
      </c>
      <c r="AK339" s="7" t="str">
        <f t="shared" si="56"/>
        <v>2026 RPM Replacement</v>
      </c>
      <c r="AL339" s="39">
        <f t="shared" ca="1" si="57"/>
        <v>2025</v>
      </c>
      <c r="AM339" s="7">
        <f t="shared" si="58"/>
        <v>2026</v>
      </c>
      <c r="AN339" s="7" t="str">
        <f t="shared" si="59"/>
        <v>2026 RPM Replacement</v>
      </c>
    </row>
    <row r="340" spans="1:40">
      <c r="A340" s="6">
        <v>60359</v>
      </c>
      <c r="B340" s="6" t="s">
        <v>288</v>
      </c>
      <c r="C340" s="6" t="s">
        <v>1003</v>
      </c>
      <c r="D340" s="6">
        <v>5.7544370000000002</v>
      </c>
      <c r="E340" s="6">
        <v>6.0836550000000003</v>
      </c>
      <c r="F340" s="6" t="s">
        <v>290</v>
      </c>
      <c r="G340" s="6" t="s">
        <v>1004</v>
      </c>
      <c r="H340" s="35">
        <v>5936</v>
      </c>
      <c r="I340" s="6" t="s">
        <v>44</v>
      </c>
      <c r="J340" s="6">
        <v>18</v>
      </c>
      <c r="K340" s="6"/>
      <c r="L340" s="6">
        <v>2</v>
      </c>
      <c r="M340" s="6" t="s">
        <v>45</v>
      </c>
      <c r="N340" s="6" t="s">
        <v>250</v>
      </c>
      <c r="O340" s="6" t="s">
        <v>165</v>
      </c>
      <c r="P340" s="6" t="s">
        <v>291</v>
      </c>
      <c r="Q340" s="6" t="s">
        <v>162</v>
      </c>
      <c r="R340" s="35">
        <v>1300</v>
      </c>
      <c r="S340" s="6">
        <v>75</v>
      </c>
      <c r="T340" s="36" t="s">
        <v>50</v>
      </c>
      <c r="U340" s="46">
        <f>IF($L340&lt;=2,
IF($R340&lt;=RpmDesignStandard!$C$2,RpmDesignStandard!$D$2,
IF(AND($R340&gt;RpmDesignStandard!$B$3,$R340&lt;=RpmDesignStandard!$C$3),RpmDesignStandard!$D$3,RpmDesignStandard!$D$4)),
IF($R340&lt;=RpmDesignStandard!$C$5, RpmDesignStandard!$D$5,
IF(AND($R340&gt;RpmDesignStandard!$B$6,$R340&lt;=RpmDesignStandard!$C$6),RpmDesignStandard!$D$6,
IF(AND($R340&gt;RpmDesignStandard!$B$7,$R340&lt;=RpmDesignStandard!$C$7),RpmDesignStandard!$D$7,RpmDesignStandard!$D$8))))</f>
        <v>4</v>
      </c>
      <c r="V340" s="47">
        <f>U340*RpmDesignStandard!$H$1</f>
        <v>8</v>
      </c>
      <c r="W340" s="37" t="str">
        <f>VLOOKUP(A340,RPM_ProjectRecord!A:AB,8,FALSE)</f>
        <v/>
      </c>
      <c r="X340" s="38" t="str">
        <f t="shared" si="50"/>
        <v/>
      </c>
      <c r="Y340" s="38" t="str">
        <f t="shared" si="51"/>
        <v/>
      </c>
      <c r="Z340" s="38" t="str">
        <f t="shared" si="52"/>
        <v/>
      </c>
      <c r="AA340" s="38" t="str">
        <f t="shared" si="53"/>
        <v/>
      </c>
      <c r="AB340" s="38" t="str">
        <f t="shared" si="54"/>
        <v/>
      </c>
      <c r="AC340" s="38" t="str">
        <f>IF(VLOOKUP(A340,'3rdPhaseChipSeal'!A:L,12,FALSE)="","",VLOOKUP(A340,'3rdPhaseChipSeal'!A:L,12,FALSE))</f>
        <v/>
      </c>
      <c r="AD340" s="38" t="str">
        <f>IFERROR(IF(VLOOKUP(A340,RpmContracts!A:C,3,FALSE)="","",VLOOKUP(A340,RpmContracts!A:C,3,FALSE)),"")</f>
        <v/>
      </c>
      <c r="AE340" s="7" t="str">
        <f>IF(VLOOKUP(A340,'20yPlan'!A:B,2,FALSE)="","",VLOOKUP(A340,'20yPlan'!A:B,2,FALSE))</f>
        <v/>
      </c>
      <c r="AF340" s="7" t="str">
        <f>IF(VLOOKUP(A340,'20yPlan'!A:C,3,FALSE)="","",VLOOKUP(A340,'20yPlan'!A:C,3,FALSE))</f>
        <v/>
      </c>
      <c r="AG340" s="7" t="str">
        <f>IF(VLOOKUP(A340,'20yPlan'!A:D,4,FALSE)="","",VLOOKUP(A340,'20yPlan'!A:D,4,FALSE))</f>
        <v/>
      </c>
      <c r="AH340" s="7" t="str">
        <f>IF(VLOOKUP(A340,'20yPlan'!A:E,5,FALSE)="","",VLOOKUP(A340,'20yPlan'!A:E,5,FALSE))</f>
        <v/>
      </c>
      <c r="AI340" s="7" t="str">
        <f>IF(VLOOKUP(A340,'20yPlan'!A:F,6,FALSE)="","",VLOOKUP(A340,'20yPlan'!A:F,6,FALSE))</f>
        <v/>
      </c>
      <c r="AJ340" s="7" t="str">
        <f t="shared" si="55"/>
        <v/>
      </c>
      <c r="AK340" s="7" t="str">
        <f t="shared" si="56"/>
        <v/>
      </c>
      <c r="AL340" s="39">
        <f t="shared" ca="1" si="57"/>
        <v>2025</v>
      </c>
      <c r="AM340" s="7" t="str">
        <f t="shared" si="58"/>
        <v/>
      </c>
      <c r="AN340" s="7" t="str">
        <f t="shared" si="59"/>
        <v/>
      </c>
    </row>
    <row r="341" spans="1:40">
      <c r="A341" s="6">
        <v>60360</v>
      </c>
      <c r="B341" s="6" t="s">
        <v>533</v>
      </c>
      <c r="C341" s="6" t="s">
        <v>1005</v>
      </c>
      <c r="D341" s="6">
        <v>56.820135000000001</v>
      </c>
      <c r="E341" s="6">
        <v>57.673239000000002</v>
      </c>
      <c r="F341" s="6" t="s">
        <v>550</v>
      </c>
      <c r="G341" s="6" t="s">
        <v>1006</v>
      </c>
      <c r="H341" s="35">
        <v>21152</v>
      </c>
      <c r="I341" s="6" t="s">
        <v>44</v>
      </c>
      <c r="J341" s="6">
        <v>2</v>
      </c>
      <c r="K341" s="6"/>
      <c r="L341" s="6">
        <v>2</v>
      </c>
      <c r="M341" s="6" t="s">
        <v>45</v>
      </c>
      <c r="N341" s="6" t="s">
        <v>250</v>
      </c>
      <c r="O341" s="6" t="s">
        <v>121</v>
      </c>
      <c r="P341" s="6" t="s">
        <v>551</v>
      </c>
      <c r="Q341" s="6" t="s">
        <v>132</v>
      </c>
      <c r="R341" s="35">
        <v>2481</v>
      </c>
      <c r="S341" s="6">
        <v>544</v>
      </c>
      <c r="T341" s="36" t="s">
        <v>50</v>
      </c>
      <c r="U341" s="46">
        <f>IF($L341&lt;=2,
IF($R341&lt;=RpmDesignStandard!$C$2,RpmDesignStandard!$D$2,
IF(AND($R341&gt;RpmDesignStandard!$B$3,$R341&lt;=RpmDesignStandard!$C$3),RpmDesignStandard!$D$3,RpmDesignStandard!$D$4)),
IF($R341&lt;=RpmDesignStandard!$C$5, RpmDesignStandard!$D$5,
IF(AND($R341&gt;RpmDesignStandard!$B$6,$R341&lt;=RpmDesignStandard!$C$6),RpmDesignStandard!$D$6,
IF(AND($R341&gt;RpmDesignStandard!$B$7,$R341&lt;=RpmDesignStandard!$C$7),RpmDesignStandard!$D$7,RpmDesignStandard!$D$8))))</f>
        <v>4</v>
      </c>
      <c r="V341" s="47">
        <f>U341*RpmDesignStandard!$H$1</f>
        <v>8</v>
      </c>
      <c r="W341" s="37">
        <f>VLOOKUP(A341,RPM_ProjectRecord!A:AB,8,FALSE)</f>
        <v>2021</v>
      </c>
      <c r="X341" s="38" t="str">
        <f t="shared" si="50"/>
        <v/>
      </c>
      <c r="Y341" s="38" t="str">
        <f t="shared" si="51"/>
        <v/>
      </c>
      <c r="Z341" s="38" t="str">
        <f t="shared" si="52"/>
        <v/>
      </c>
      <c r="AA341" s="38" t="str">
        <f t="shared" si="53"/>
        <v/>
      </c>
      <c r="AB341" s="38" t="str">
        <f t="shared" si="54"/>
        <v/>
      </c>
      <c r="AC341" s="38" t="str">
        <f>IF(VLOOKUP(A341,'3rdPhaseChipSeal'!A:L,12,FALSE)="","",VLOOKUP(A341,'3rdPhaseChipSeal'!A:L,12,FALSE))</f>
        <v/>
      </c>
      <c r="AD341" s="38" t="str">
        <f>IFERROR(IF(VLOOKUP(A341,RpmContracts!A:C,3,FALSE)="","",VLOOKUP(A341,RpmContracts!A:C,3,FALSE)),"")</f>
        <v/>
      </c>
      <c r="AE341" s="7" t="str">
        <f>IF(VLOOKUP(A341,'20yPlan'!A:B,2,FALSE)="","",VLOOKUP(A341,'20yPlan'!A:B,2,FALSE))</f>
        <v/>
      </c>
      <c r="AF341" s="7" t="str">
        <f>IF(VLOOKUP(A341,'20yPlan'!A:C,3,FALSE)="","",VLOOKUP(A341,'20yPlan'!A:C,3,FALSE))</f>
        <v/>
      </c>
      <c r="AG341" s="7" t="str">
        <f>IF(VLOOKUP(A341,'20yPlan'!A:D,4,FALSE)="","",VLOOKUP(A341,'20yPlan'!A:D,4,FALSE))</f>
        <v/>
      </c>
      <c r="AH341" s="7" t="str">
        <f>IF(VLOOKUP(A341,'20yPlan'!A:E,5,FALSE)="","",VLOOKUP(A341,'20yPlan'!A:E,5,FALSE))</f>
        <v/>
      </c>
      <c r="AI341" s="7" t="str">
        <f>IF(VLOOKUP(A341,'20yPlan'!A:F,6,FALSE)="","",VLOOKUP(A341,'20yPlan'!A:F,6,FALSE))</f>
        <v/>
      </c>
      <c r="AJ341" s="7" t="str">
        <f t="shared" si="55"/>
        <v/>
      </c>
      <c r="AK341" s="7" t="str">
        <f t="shared" si="56"/>
        <v/>
      </c>
      <c r="AL341" s="39">
        <f t="shared" ca="1" si="57"/>
        <v>2025</v>
      </c>
      <c r="AM341" s="7" t="str">
        <f t="shared" si="58"/>
        <v/>
      </c>
      <c r="AN341" s="7" t="str">
        <f t="shared" si="59"/>
        <v/>
      </c>
    </row>
    <row r="342" spans="1:40">
      <c r="A342" s="6">
        <v>60361</v>
      </c>
      <c r="B342" s="6" t="s">
        <v>533</v>
      </c>
      <c r="C342" s="6" t="s">
        <v>1007</v>
      </c>
      <c r="D342" s="6">
        <v>57.673239000000002</v>
      </c>
      <c r="E342" s="6">
        <v>63.126187999999999</v>
      </c>
      <c r="F342" s="6" t="s">
        <v>1006</v>
      </c>
      <c r="G342" s="6" t="s">
        <v>982</v>
      </c>
      <c r="H342" s="35">
        <v>108413</v>
      </c>
      <c r="I342" s="6" t="s">
        <v>195</v>
      </c>
      <c r="J342" s="6">
        <v>2</v>
      </c>
      <c r="K342" s="6">
        <v>2028</v>
      </c>
      <c r="L342" s="6">
        <v>2</v>
      </c>
      <c r="M342" s="6" t="s">
        <v>45</v>
      </c>
      <c r="N342" s="6" t="s">
        <v>250</v>
      </c>
      <c r="O342" s="6" t="s">
        <v>130</v>
      </c>
      <c r="P342" s="6" t="s">
        <v>1008</v>
      </c>
      <c r="Q342" s="6" t="s">
        <v>132</v>
      </c>
      <c r="R342" s="35">
        <v>1619</v>
      </c>
      <c r="S342" s="6">
        <v>355</v>
      </c>
      <c r="T342" s="36" t="s">
        <v>50</v>
      </c>
      <c r="U342" s="46">
        <f>IF($L342&lt;=2,
IF($R342&lt;=RpmDesignStandard!$C$2,RpmDesignStandard!$D$2,
IF(AND($R342&gt;RpmDesignStandard!$B$3,$R342&lt;=RpmDesignStandard!$C$3),RpmDesignStandard!$D$3,RpmDesignStandard!$D$4)),
IF($R342&lt;=RpmDesignStandard!$C$5, RpmDesignStandard!$D$5,
IF(AND($R342&gt;RpmDesignStandard!$B$6,$R342&lt;=RpmDesignStandard!$C$6),RpmDesignStandard!$D$6,
IF(AND($R342&gt;RpmDesignStandard!$B$7,$R342&lt;=RpmDesignStandard!$C$7),RpmDesignStandard!$D$7,RpmDesignStandard!$D$8))))</f>
        <v>4</v>
      </c>
      <c r="V342" s="47">
        <f>U342*RpmDesignStandard!$H$1</f>
        <v>8</v>
      </c>
      <c r="W342" s="37">
        <f>VLOOKUP(A342,RPM_ProjectRecord!A:AB,8,FALSE)</f>
        <v>2021</v>
      </c>
      <c r="X342" s="38" t="str">
        <f t="shared" si="50"/>
        <v/>
      </c>
      <c r="Y342" s="38" t="str">
        <f t="shared" si="51"/>
        <v/>
      </c>
      <c r="Z342" s="38" t="str">
        <f t="shared" si="52"/>
        <v/>
      </c>
      <c r="AA342" s="38" t="str">
        <f t="shared" si="53"/>
        <v/>
      </c>
      <c r="AB342" s="38" t="str">
        <f t="shared" si="54"/>
        <v/>
      </c>
      <c r="AC342" s="38">
        <f>IF(VLOOKUP(A342,'3rdPhaseChipSeal'!A:L,12,FALSE)="","",VLOOKUP(A342,'3rdPhaseChipSeal'!A:L,12,FALSE))</f>
        <v>2042</v>
      </c>
      <c r="AD342" s="38" t="str">
        <f>IFERROR(IF(VLOOKUP(A342,RpmContracts!A:C,3,FALSE)="","",VLOOKUP(A342,RpmContracts!A:C,3,FALSE)),"")</f>
        <v/>
      </c>
      <c r="AE342" s="7" t="str">
        <f>IF(VLOOKUP(A342,'20yPlan'!A:B,2,FALSE)="","",VLOOKUP(A342,'20yPlan'!A:B,2,FALSE))</f>
        <v/>
      </c>
      <c r="AF342" s="7" t="str">
        <f>IF(VLOOKUP(A342,'20yPlan'!A:C,3,FALSE)="","",VLOOKUP(A342,'20yPlan'!A:C,3,FALSE))</f>
        <v/>
      </c>
      <c r="AG342" s="7" t="str">
        <f>IF(VLOOKUP(A342,'20yPlan'!A:D,4,FALSE)="","",VLOOKUP(A342,'20yPlan'!A:D,4,FALSE))</f>
        <v/>
      </c>
      <c r="AH342" s="7" t="str">
        <f>IF(VLOOKUP(A342,'20yPlan'!A:E,5,FALSE)="","",VLOOKUP(A342,'20yPlan'!A:E,5,FALSE))</f>
        <v/>
      </c>
      <c r="AI342" s="7" t="str">
        <f>IF(VLOOKUP(A342,'20yPlan'!A:F,6,FALSE)="","",VLOOKUP(A342,'20yPlan'!A:F,6,FALSE))</f>
        <v/>
      </c>
      <c r="AJ342" s="7" t="str">
        <f t="shared" si="55"/>
        <v>2042 Chip Seal</v>
      </c>
      <c r="AK342" s="7" t="str">
        <f t="shared" si="56"/>
        <v/>
      </c>
      <c r="AL342" s="39">
        <f t="shared" ca="1" si="57"/>
        <v>2025</v>
      </c>
      <c r="AM342" s="7" t="str">
        <f t="shared" si="58"/>
        <v/>
      </c>
      <c r="AN342" s="7" t="str">
        <f t="shared" si="59"/>
        <v/>
      </c>
    </row>
    <row r="343" spans="1:40">
      <c r="A343" s="6">
        <v>60362</v>
      </c>
      <c r="B343" s="6" t="s">
        <v>493</v>
      </c>
      <c r="C343" s="6" t="s">
        <v>1009</v>
      </c>
      <c r="D343" s="6">
        <v>3.5282490000000002</v>
      </c>
      <c r="E343" s="6">
        <v>4.3437089999999996</v>
      </c>
      <c r="F343" s="6" t="s">
        <v>495</v>
      </c>
      <c r="G343" s="6" t="s">
        <v>497</v>
      </c>
      <c r="H343" s="35">
        <v>13851</v>
      </c>
      <c r="I343" s="6" t="s">
        <v>195</v>
      </c>
      <c r="J343" s="6">
        <v>17</v>
      </c>
      <c r="K343" s="6">
        <v>2031</v>
      </c>
      <c r="L343" s="6">
        <v>2</v>
      </c>
      <c r="M343" s="6" t="s">
        <v>45</v>
      </c>
      <c r="N343" s="6" t="s">
        <v>250</v>
      </c>
      <c r="O343" s="6" t="s">
        <v>130</v>
      </c>
      <c r="P343" s="6" t="s">
        <v>161</v>
      </c>
      <c r="Q343" s="6" t="s">
        <v>162</v>
      </c>
      <c r="R343" s="35">
        <v>1964</v>
      </c>
      <c r="S343" s="6">
        <v>235</v>
      </c>
      <c r="T343" s="36" t="s">
        <v>253</v>
      </c>
      <c r="U343" s="46">
        <f>IF($L343&lt;=2,
IF($R343&lt;=RpmDesignStandard!$C$2,RpmDesignStandard!$D$2,
IF(AND($R343&gt;RpmDesignStandard!$B$3,$R343&lt;=RpmDesignStandard!$C$3),RpmDesignStandard!$D$3,RpmDesignStandard!$D$4)),
IF($R343&lt;=RpmDesignStandard!$C$5, RpmDesignStandard!$D$5,
IF(AND($R343&gt;RpmDesignStandard!$B$6,$R343&lt;=RpmDesignStandard!$C$6),RpmDesignStandard!$D$6,
IF(AND($R343&gt;RpmDesignStandard!$B$7,$R343&lt;=RpmDesignStandard!$C$7),RpmDesignStandard!$D$7,RpmDesignStandard!$D$8))))</f>
        <v>4</v>
      </c>
      <c r="V343" s="47">
        <f>U343*RpmDesignStandard!$H$1</f>
        <v>8</v>
      </c>
      <c r="W343" s="37">
        <f>VLOOKUP(A343,RPM_ProjectRecord!A:AB,8,FALSE)</f>
        <v>2024</v>
      </c>
      <c r="X343" s="38" t="str">
        <f t="shared" si="50"/>
        <v/>
      </c>
      <c r="Y343" s="38" t="str">
        <f t="shared" si="51"/>
        <v/>
      </c>
      <c r="Z343" s="38" t="str">
        <f t="shared" si="52"/>
        <v/>
      </c>
      <c r="AA343" s="38" t="str">
        <f t="shared" si="53"/>
        <v/>
      </c>
      <c r="AB343" s="38" t="str">
        <f t="shared" si="54"/>
        <v/>
      </c>
      <c r="AC343" s="38" t="str">
        <f>IF(VLOOKUP(A343,'3rdPhaseChipSeal'!A:L,12,FALSE)="","",VLOOKUP(A343,'3rdPhaseChipSeal'!A:L,12,FALSE))</f>
        <v/>
      </c>
      <c r="AD343" s="38" t="str">
        <f>IFERROR(IF(VLOOKUP(A343,RpmContracts!A:C,3,FALSE)="","",VLOOKUP(A343,RpmContracts!A:C,3,FALSE)),"")</f>
        <v/>
      </c>
      <c r="AE343" s="7" t="str">
        <f>IF(VLOOKUP(A343,'20yPlan'!A:B,2,FALSE)="","",VLOOKUP(A343,'20yPlan'!A:B,2,FALSE))</f>
        <v/>
      </c>
      <c r="AF343" s="7" t="str">
        <f>IF(VLOOKUP(A343,'20yPlan'!A:C,3,FALSE)="","",VLOOKUP(A343,'20yPlan'!A:C,3,FALSE))</f>
        <v/>
      </c>
      <c r="AG343" s="7" t="str">
        <f>IF(VLOOKUP(A343,'20yPlan'!A:D,4,FALSE)="","",VLOOKUP(A343,'20yPlan'!A:D,4,FALSE))</f>
        <v/>
      </c>
      <c r="AH343" s="7" t="str">
        <f>IF(VLOOKUP(A343,'20yPlan'!A:E,5,FALSE)="","",VLOOKUP(A343,'20yPlan'!A:E,5,FALSE))</f>
        <v/>
      </c>
      <c r="AI343" s="7" t="str">
        <f>IF(VLOOKUP(A343,'20yPlan'!A:F,6,FALSE)="","",VLOOKUP(A343,'20yPlan'!A:F,6,FALSE))</f>
        <v/>
      </c>
      <c r="AJ343" s="7" t="str">
        <f t="shared" si="55"/>
        <v/>
      </c>
      <c r="AK343" s="7" t="str">
        <f t="shared" si="56"/>
        <v/>
      </c>
      <c r="AL343" s="39">
        <f t="shared" ca="1" si="57"/>
        <v>2028</v>
      </c>
      <c r="AM343" s="7" t="str">
        <f t="shared" si="58"/>
        <v/>
      </c>
      <c r="AN343" s="7" t="str">
        <f t="shared" si="59"/>
        <v/>
      </c>
    </row>
    <row r="344" spans="1:40">
      <c r="A344" s="6">
        <v>60363</v>
      </c>
      <c r="B344" s="6" t="s">
        <v>493</v>
      </c>
      <c r="C344" s="6" t="s">
        <v>1010</v>
      </c>
      <c r="D344" s="6">
        <v>13.873225</v>
      </c>
      <c r="E344" s="6">
        <v>14.340882000000001</v>
      </c>
      <c r="F344" s="6" t="s">
        <v>1011</v>
      </c>
      <c r="G344" s="6" t="s">
        <v>500</v>
      </c>
      <c r="H344" s="35">
        <v>6583</v>
      </c>
      <c r="I344" s="6" t="s">
        <v>195</v>
      </c>
      <c r="J344" s="6">
        <v>29</v>
      </c>
      <c r="K344" s="6"/>
      <c r="L344" s="6">
        <v>2</v>
      </c>
      <c r="M344" s="6" t="s">
        <v>45</v>
      </c>
      <c r="N344" s="6" t="s">
        <v>250</v>
      </c>
      <c r="O344" s="6" t="s">
        <v>130</v>
      </c>
      <c r="P344" s="6" t="s">
        <v>131</v>
      </c>
      <c r="Q344" s="6" t="s">
        <v>192</v>
      </c>
      <c r="R344" s="35">
        <v>1455</v>
      </c>
      <c r="S344" s="6">
        <v>50</v>
      </c>
      <c r="T344" s="36" t="s">
        <v>50</v>
      </c>
      <c r="U344" s="46">
        <f>IF($L344&lt;=2,
IF($R344&lt;=RpmDesignStandard!$C$2,RpmDesignStandard!$D$2,
IF(AND($R344&gt;RpmDesignStandard!$B$3,$R344&lt;=RpmDesignStandard!$C$3),RpmDesignStandard!$D$3,RpmDesignStandard!$D$4)),
IF($R344&lt;=RpmDesignStandard!$C$5, RpmDesignStandard!$D$5,
IF(AND($R344&gt;RpmDesignStandard!$B$6,$R344&lt;=RpmDesignStandard!$C$6),RpmDesignStandard!$D$6,
IF(AND($R344&gt;RpmDesignStandard!$B$7,$R344&lt;=RpmDesignStandard!$C$7),RpmDesignStandard!$D$7,RpmDesignStandard!$D$8))))</f>
        <v>4</v>
      </c>
      <c r="V344" s="47">
        <f>U344*RpmDesignStandard!$H$1</f>
        <v>8</v>
      </c>
      <c r="W344" s="37">
        <f>VLOOKUP(A344,RPM_ProjectRecord!A:AB,8,FALSE)</f>
        <v>2024</v>
      </c>
      <c r="X344" s="38" t="str">
        <f t="shared" si="50"/>
        <v/>
      </c>
      <c r="Y344" s="38" t="str">
        <f t="shared" si="51"/>
        <v/>
      </c>
      <c r="Z344" s="38" t="str">
        <f t="shared" si="52"/>
        <v/>
      </c>
      <c r="AA344" s="38" t="str">
        <f t="shared" si="53"/>
        <v/>
      </c>
      <c r="AB344" s="38" t="str">
        <f t="shared" si="54"/>
        <v/>
      </c>
      <c r="AC344" s="38" t="str">
        <f>IF(VLOOKUP(A344,'3rdPhaseChipSeal'!A:L,12,FALSE)="","",VLOOKUP(A344,'3rdPhaseChipSeal'!A:L,12,FALSE))</f>
        <v/>
      </c>
      <c r="AD344" s="38" t="str">
        <f>IFERROR(IF(VLOOKUP(A344,RpmContracts!A:C,3,FALSE)="","",VLOOKUP(A344,RpmContracts!A:C,3,FALSE)),"")</f>
        <v/>
      </c>
      <c r="AE344" s="7" t="str">
        <f>IF(VLOOKUP(A344,'20yPlan'!A:B,2,FALSE)="","",VLOOKUP(A344,'20yPlan'!A:B,2,FALSE))</f>
        <v/>
      </c>
      <c r="AF344" s="7" t="str">
        <f>IF(VLOOKUP(A344,'20yPlan'!A:C,3,FALSE)="","",VLOOKUP(A344,'20yPlan'!A:C,3,FALSE))</f>
        <v/>
      </c>
      <c r="AG344" s="7" t="str">
        <f>IF(VLOOKUP(A344,'20yPlan'!A:D,4,FALSE)="","",VLOOKUP(A344,'20yPlan'!A:D,4,FALSE))</f>
        <v/>
      </c>
      <c r="AH344" s="7" t="str">
        <f>IF(VLOOKUP(A344,'20yPlan'!A:E,5,FALSE)="","",VLOOKUP(A344,'20yPlan'!A:E,5,FALSE))</f>
        <v/>
      </c>
      <c r="AI344" s="7" t="str">
        <f>IF(VLOOKUP(A344,'20yPlan'!A:F,6,FALSE)="","",VLOOKUP(A344,'20yPlan'!A:F,6,FALSE))</f>
        <v/>
      </c>
      <c r="AJ344" s="7" t="str">
        <f t="shared" si="55"/>
        <v/>
      </c>
      <c r="AK344" s="7" t="str">
        <f t="shared" si="56"/>
        <v/>
      </c>
      <c r="AL344" s="39">
        <f t="shared" ca="1" si="57"/>
        <v>2028</v>
      </c>
      <c r="AM344" s="7" t="str">
        <f t="shared" si="58"/>
        <v/>
      </c>
      <c r="AN344" s="7" t="str">
        <f t="shared" si="59"/>
        <v/>
      </c>
    </row>
    <row r="345" spans="1:40">
      <c r="A345" s="6">
        <v>60364</v>
      </c>
      <c r="B345" s="6" t="s">
        <v>410</v>
      </c>
      <c r="C345" s="6" t="s">
        <v>1012</v>
      </c>
      <c r="D345" s="6">
        <v>53.345289999999999</v>
      </c>
      <c r="E345" s="6">
        <v>54.589633999999997</v>
      </c>
      <c r="F345" s="6" t="s">
        <v>420</v>
      </c>
      <c r="G345" s="6" t="s">
        <v>1013</v>
      </c>
      <c r="H345" s="35">
        <v>26798</v>
      </c>
      <c r="I345" s="6" t="s">
        <v>44</v>
      </c>
      <c r="J345" s="6">
        <v>4</v>
      </c>
      <c r="K345" s="6"/>
      <c r="L345" s="6">
        <v>2</v>
      </c>
      <c r="M345" s="6" t="s">
        <v>45</v>
      </c>
      <c r="N345" s="6" t="s">
        <v>250</v>
      </c>
      <c r="O345" s="6" t="s">
        <v>196</v>
      </c>
      <c r="P345" s="6" t="s">
        <v>251</v>
      </c>
      <c r="Q345" s="6" t="s">
        <v>256</v>
      </c>
      <c r="R345" s="35">
        <v>2804</v>
      </c>
      <c r="S345" s="6">
        <v>239</v>
      </c>
      <c r="T345" s="36" t="s">
        <v>50</v>
      </c>
      <c r="U345" s="46">
        <f>IF($L345&lt;=2,
IF($R345&lt;=RpmDesignStandard!$C$2,RpmDesignStandard!$D$2,
IF(AND($R345&gt;RpmDesignStandard!$B$3,$R345&lt;=RpmDesignStandard!$C$3),RpmDesignStandard!$D$3,RpmDesignStandard!$D$4)),
IF($R345&lt;=RpmDesignStandard!$C$5, RpmDesignStandard!$D$5,
IF(AND($R345&gt;RpmDesignStandard!$B$6,$R345&lt;=RpmDesignStandard!$C$6),RpmDesignStandard!$D$6,
IF(AND($R345&gt;RpmDesignStandard!$B$7,$R345&lt;=RpmDesignStandard!$C$7),RpmDesignStandard!$D$7,RpmDesignStandard!$D$8))))</f>
        <v>4</v>
      </c>
      <c r="V345" s="47">
        <f>U345*RpmDesignStandard!$H$1</f>
        <v>8</v>
      </c>
      <c r="W345" s="37" t="str">
        <f>VLOOKUP(A345,RPM_ProjectRecord!A:AB,8,FALSE)</f>
        <v/>
      </c>
      <c r="X345" s="38" t="str">
        <f t="shared" si="50"/>
        <v/>
      </c>
      <c r="Y345" s="38" t="str">
        <f t="shared" si="51"/>
        <v/>
      </c>
      <c r="Z345" s="38" t="str">
        <f t="shared" si="52"/>
        <v/>
      </c>
      <c r="AA345" s="38" t="str">
        <f t="shared" si="53"/>
        <v/>
      </c>
      <c r="AB345" s="38" t="str">
        <f t="shared" si="54"/>
        <v/>
      </c>
      <c r="AC345" s="38" t="str">
        <f>IF(VLOOKUP(A345,'3rdPhaseChipSeal'!A:L,12,FALSE)="","",VLOOKUP(A345,'3rdPhaseChipSeal'!A:L,12,FALSE))</f>
        <v/>
      </c>
      <c r="AD345" s="38" t="str">
        <f>IFERROR(IF(VLOOKUP(A345,RpmContracts!A:C,3,FALSE)="","",VLOOKUP(A345,RpmContracts!A:C,3,FALSE)),"")</f>
        <v/>
      </c>
      <c r="AE345" s="7" t="str">
        <f>IF(VLOOKUP(A345,'20yPlan'!A:B,2,FALSE)="","",VLOOKUP(A345,'20yPlan'!A:B,2,FALSE))</f>
        <v/>
      </c>
      <c r="AF345" s="7" t="str">
        <f>IF(VLOOKUP(A345,'20yPlan'!A:C,3,FALSE)="","",VLOOKUP(A345,'20yPlan'!A:C,3,FALSE))</f>
        <v/>
      </c>
      <c r="AG345" s="7" t="str">
        <f>IF(VLOOKUP(A345,'20yPlan'!A:D,4,FALSE)="","",VLOOKUP(A345,'20yPlan'!A:D,4,FALSE))</f>
        <v/>
      </c>
      <c r="AH345" s="7" t="str">
        <f>IF(VLOOKUP(A345,'20yPlan'!A:E,5,FALSE)="","",VLOOKUP(A345,'20yPlan'!A:E,5,FALSE))</f>
        <v/>
      </c>
      <c r="AI345" s="7" t="str">
        <f>IF(VLOOKUP(A345,'20yPlan'!A:F,6,FALSE)="","",VLOOKUP(A345,'20yPlan'!A:F,6,FALSE))</f>
        <v/>
      </c>
      <c r="AJ345" s="7" t="str">
        <f t="shared" si="55"/>
        <v/>
      </c>
      <c r="AK345" s="7" t="str">
        <f t="shared" si="56"/>
        <v/>
      </c>
      <c r="AL345" s="39">
        <f t="shared" ca="1" si="57"/>
        <v>2025</v>
      </c>
      <c r="AM345" s="7" t="str">
        <f t="shared" si="58"/>
        <v/>
      </c>
      <c r="AN345" s="7" t="str">
        <f t="shared" si="59"/>
        <v/>
      </c>
    </row>
    <row r="346" spans="1:40">
      <c r="A346" s="6">
        <v>60365</v>
      </c>
      <c r="B346" s="6" t="s">
        <v>410</v>
      </c>
      <c r="C346" s="6" t="s">
        <v>1014</v>
      </c>
      <c r="D346" s="6">
        <v>54.590634000000001</v>
      </c>
      <c r="E346" s="6">
        <v>55.731310999999998</v>
      </c>
      <c r="F346" s="6" t="s">
        <v>1015</v>
      </c>
      <c r="G346" s="6" t="s">
        <v>422</v>
      </c>
      <c r="H346" s="35">
        <v>25748</v>
      </c>
      <c r="I346" s="6" t="s">
        <v>44</v>
      </c>
      <c r="J346" s="6">
        <v>7</v>
      </c>
      <c r="K346" s="6"/>
      <c r="L346" s="6">
        <v>2</v>
      </c>
      <c r="M346" s="6" t="s">
        <v>45</v>
      </c>
      <c r="N346" s="6" t="s">
        <v>250</v>
      </c>
      <c r="O346" s="6" t="s">
        <v>196</v>
      </c>
      <c r="P346" s="6" t="s">
        <v>251</v>
      </c>
      <c r="Q346" s="6" t="s">
        <v>256</v>
      </c>
      <c r="R346" s="35">
        <v>7797</v>
      </c>
      <c r="S346" s="6">
        <v>239</v>
      </c>
      <c r="T346" s="36" t="s">
        <v>50</v>
      </c>
      <c r="U346" s="46">
        <f>IF($L346&lt;=2,
IF($R346&lt;=RpmDesignStandard!$C$2,RpmDesignStandard!$D$2,
IF(AND($R346&gt;RpmDesignStandard!$B$3,$R346&lt;=RpmDesignStandard!$C$3),RpmDesignStandard!$D$3,RpmDesignStandard!$D$4)),
IF($R346&lt;=RpmDesignStandard!$C$5, RpmDesignStandard!$D$5,
IF(AND($R346&gt;RpmDesignStandard!$B$6,$R346&lt;=RpmDesignStandard!$C$6),RpmDesignStandard!$D$6,
IF(AND($R346&gt;RpmDesignStandard!$B$7,$R346&lt;=RpmDesignStandard!$C$7),RpmDesignStandard!$D$7,RpmDesignStandard!$D$8))))</f>
        <v>3</v>
      </c>
      <c r="V346" s="47">
        <f>U346*RpmDesignStandard!$H$1</f>
        <v>6</v>
      </c>
      <c r="W346" s="37" t="str">
        <f>VLOOKUP(A346,RPM_ProjectRecord!A:AB,8,FALSE)</f>
        <v/>
      </c>
      <c r="X346" s="38" t="str">
        <f t="shared" si="50"/>
        <v/>
      </c>
      <c r="Y346" s="38" t="str">
        <f t="shared" si="51"/>
        <v/>
      </c>
      <c r="Z346" s="38" t="str">
        <f t="shared" si="52"/>
        <v/>
      </c>
      <c r="AA346" s="38" t="str">
        <f t="shared" si="53"/>
        <v/>
      </c>
      <c r="AB346" s="38" t="str">
        <f t="shared" si="54"/>
        <v/>
      </c>
      <c r="AC346" s="38" t="str">
        <f>IF(VLOOKUP(A346,'3rdPhaseChipSeal'!A:L,12,FALSE)="","",VLOOKUP(A346,'3rdPhaseChipSeal'!A:L,12,FALSE))</f>
        <v/>
      </c>
      <c r="AD346" s="38" t="str">
        <f>IFERROR(IF(VLOOKUP(A346,RpmContracts!A:C,3,FALSE)="","",VLOOKUP(A346,RpmContracts!A:C,3,FALSE)),"")</f>
        <v/>
      </c>
      <c r="AE346" s="7" t="str">
        <f>IF(VLOOKUP(A346,'20yPlan'!A:B,2,FALSE)="","",VLOOKUP(A346,'20yPlan'!A:B,2,FALSE))</f>
        <v/>
      </c>
      <c r="AF346" s="7" t="str">
        <f>IF(VLOOKUP(A346,'20yPlan'!A:C,3,FALSE)="","",VLOOKUP(A346,'20yPlan'!A:C,3,FALSE))</f>
        <v/>
      </c>
      <c r="AG346" s="7" t="str">
        <f>IF(VLOOKUP(A346,'20yPlan'!A:D,4,FALSE)="","",VLOOKUP(A346,'20yPlan'!A:D,4,FALSE))</f>
        <v/>
      </c>
      <c r="AH346" s="7" t="str">
        <f>IF(VLOOKUP(A346,'20yPlan'!A:E,5,FALSE)="","",VLOOKUP(A346,'20yPlan'!A:E,5,FALSE))</f>
        <v/>
      </c>
      <c r="AI346" s="7" t="str">
        <f>IF(VLOOKUP(A346,'20yPlan'!A:F,6,FALSE)="","",VLOOKUP(A346,'20yPlan'!A:F,6,FALSE))</f>
        <v/>
      </c>
      <c r="AJ346" s="7" t="str">
        <f t="shared" si="55"/>
        <v/>
      </c>
      <c r="AK346" s="7" t="str">
        <f t="shared" si="56"/>
        <v/>
      </c>
      <c r="AL346" s="39">
        <f t="shared" ca="1" si="57"/>
        <v>2025</v>
      </c>
      <c r="AM346" s="7" t="str">
        <f t="shared" si="58"/>
        <v/>
      </c>
      <c r="AN346" s="7" t="str">
        <f t="shared" si="59"/>
        <v/>
      </c>
    </row>
    <row r="347" spans="1:40">
      <c r="A347" s="6">
        <v>60366</v>
      </c>
      <c r="B347" s="6" t="s">
        <v>792</v>
      </c>
      <c r="C347" s="6" t="s">
        <v>1016</v>
      </c>
      <c r="D347" s="6">
        <v>48.215367000000001</v>
      </c>
      <c r="E347" s="6">
        <v>51.021337000000003</v>
      </c>
      <c r="F347" s="6" t="s">
        <v>848</v>
      </c>
      <c r="G347" s="6" t="s">
        <v>1017</v>
      </c>
      <c r="H347" s="35">
        <v>48969</v>
      </c>
      <c r="I347" s="6" t="s">
        <v>195</v>
      </c>
      <c r="J347" s="6">
        <v>0</v>
      </c>
      <c r="K347" s="6">
        <v>2031</v>
      </c>
      <c r="L347" s="6">
        <v>2</v>
      </c>
      <c r="M347" s="6" t="s">
        <v>45</v>
      </c>
      <c r="N347" s="6" t="s">
        <v>250</v>
      </c>
      <c r="O347" s="6" t="s">
        <v>79</v>
      </c>
      <c r="P347" s="6" t="s">
        <v>80</v>
      </c>
      <c r="Q347" s="6" t="s">
        <v>81</v>
      </c>
      <c r="R347" s="35">
        <v>1066</v>
      </c>
      <c r="S347" s="6">
        <v>151</v>
      </c>
      <c r="T347" s="36" t="s">
        <v>253</v>
      </c>
      <c r="U347" s="46">
        <f>IF($L347&lt;=2,
IF($R347&lt;=RpmDesignStandard!$C$2,RpmDesignStandard!$D$2,
IF(AND($R347&gt;RpmDesignStandard!$B$3,$R347&lt;=RpmDesignStandard!$C$3),RpmDesignStandard!$D$3,RpmDesignStandard!$D$4)),
IF($R347&lt;=RpmDesignStandard!$C$5, RpmDesignStandard!$D$5,
IF(AND($R347&gt;RpmDesignStandard!$B$6,$R347&lt;=RpmDesignStandard!$C$6),RpmDesignStandard!$D$6,
IF(AND($R347&gt;RpmDesignStandard!$B$7,$R347&lt;=RpmDesignStandard!$C$7),RpmDesignStandard!$D$7,RpmDesignStandard!$D$8))))</f>
        <v>4</v>
      </c>
      <c r="V347" s="47">
        <f>U347*RpmDesignStandard!$H$1</f>
        <v>8</v>
      </c>
      <c r="W347" s="37">
        <f>VLOOKUP(A347,RPM_ProjectRecord!A:AB,8,FALSE)</f>
        <v>2023</v>
      </c>
      <c r="X347" s="38" t="str">
        <f t="shared" si="50"/>
        <v/>
      </c>
      <c r="Y347" s="38" t="str">
        <f t="shared" si="51"/>
        <v/>
      </c>
      <c r="Z347" s="38" t="str">
        <f t="shared" si="52"/>
        <v/>
      </c>
      <c r="AA347" s="38" t="str">
        <f t="shared" si="53"/>
        <v/>
      </c>
      <c r="AB347" s="38" t="str">
        <f t="shared" si="54"/>
        <v/>
      </c>
      <c r="AC347" s="38" t="str">
        <f>IF(VLOOKUP(A347,'3rdPhaseChipSeal'!A:L,12,FALSE)="","",VLOOKUP(A347,'3rdPhaseChipSeal'!A:L,12,FALSE))</f>
        <v/>
      </c>
      <c r="AD347" s="38" t="str">
        <f>IFERROR(IF(VLOOKUP(A347,RpmContracts!A:C,3,FALSE)="","",VLOOKUP(A347,RpmContracts!A:C,3,FALSE)),"")</f>
        <v/>
      </c>
      <c r="AE347" s="7" t="str">
        <f>IF(VLOOKUP(A347,'20yPlan'!A:B,2,FALSE)="","",VLOOKUP(A347,'20yPlan'!A:B,2,FALSE))</f>
        <v/>
      </c>
      <c r="AF347" s="7" t="str">
        <f>IF(VLOOKUP(A347,'20yPlan'!A:C,3,FALSE)="","",VLOOKUP(A347,'20yPlan'!A:C,3,FALSE))</f>
        <v/>
      </c>
      <c r="AG347" s="7" t="str">
        <f>IF(VLOOKUP(A347,'20yPlan'!A:D,4,FALSE)="","",VLOOKUP(A347,'20yPlan'!A:D,4,FALSE))</f>
        <v/>
      </c>
      <c r="AH347" s="7" t="str">
        <f>IF(VLOOKUP(A347,'20yPlan'!A:E,5,FALSE)="","",VLOOKUP(A347,'20yPlan'!A:E,5,FALSE))</f>
        <v/>
      </c>
      <c r="AI347" s="7" t="str">
        <f>IF(VLOOKUP(A347,'20yPlan'!A:F,6,FALSE)="","",VLOOKUP(A347,'20yPlan'!A:F,6,FALSE))</f>
        <v/>
      </c>
      <c r="AJ347" s="7" t="str">
        <f t="shared" si="55"/>
        <v/>
      </c>
      <c r="AK347" s="7" t="str">
        <f t="shared" si="56"/>
        <v/>
      </c>
      <c r="AL347" s="39">
        <f t="shared" ca="1" si="57"/>
        <v>2027</v>
      </c>
      <c r="AM347" s="7" t="str">
        <f t="shared" si="58"/>
        <v/>
      </c>
      <c r="AN347" s="7" t="str">
        <f t="shared" si="59"/>
        <v/>
      </c>
    </row>
    <row r="348" spans="1:40">
      <c r="A348" s="6">
        <v>60367</v>
      </c>
      <c r="B348" s="6" t="s">
        <v>463</v>
      </c>
      <c r="C348" s="6" t="s">
        <v>1018</v>
      </c>
      <c r="D348" s="6">
        <v>15.429895</v>
      </c>
      <c r="E348" s="6">
        <v>17.449052999999999</v>
      </c>
      <c r="F348" s="6" t="s">
        <v>472</v>
      </c>
      <c r="G348" s="6" t="s">
        <v>857</v>
      </c>
      <c r="H348" s="35">
        <v>91238</v>
      </c>
      <c r="I348" s="6" t="s">
        <v>141</v>
      </c>
      <c r="J348" s="6">
        <v>1</v>
      </c>
      <c r="K348" s="6"/>
      <c r="L348" s="6">
        <v>2</v>
      </c>
      <c r="M348" s="6" t="s">
        <v>45</v>
      </c>
      <c r="N348" s="6" t="s">
        <v>250</v>
      </c>
      <c r="O348" s="6" t="s">
        <v>165</v>
      </c>
      <c r="P348" s="6" t="s">
        <v>165</v>
      </c>
      <c r="Q348" s="6" t="s">
        <v>240</v>
      </c>
      <c r="R348" s="35">
        <v>11283</v>
      </c>
      <c r="S348" s="35">
        <v>1646</v>
      </c>
      <c r="T348" s="36" t="s">
        <v>50</v>
      </c>
      <c r="U348" s="46">
        <f>IF($L348&lt;=2,
IF($R348&lt;=RpmDesignStandard!$C$2,RpmDesignStandard!$D$2,
IF(AND($R348&gt;RpmDesignStandard!$B$3,$R348&lt;=RpmDesignStandard!$C$3),RpmDesignStandard!$D$3,RpmDesignStandard!$D$4)),
IF($R348&lt;=RpmDesignStandard!$C$5, RpmDesignStandard!$D$5,
IF(AND($R348&gt;RpmDesignStandard!$B$6,$R348&lt;=RpmDesignStandard!$C$6),RpmDesignStandard!$D$6,
IF(AND($R348&gt;RpmDesignStandard!$B$7,$R348&lt;=RpmDesignStandard!$C$7),RpmDesignStandard!$D$7,RpmDesignStandard!$D$8))))</f>
        <v>3</v>
      </c>
      <c r="V348" s="47">
        <f>U348*RpmDesignStandard!$H$1</f>
        <v>6</v>
      </c>
      <c r="W348" s="37">
        <f>VLOOKUP(A348,RPM_ProjectRecord!A:AB,8,FALSE)</f>
        <v>2022</v>
      </c>
      <c r="X348" s="38">
        <f t="shared" si="50"/>
        <v>2040</v>
      </c>
      <c r="Y348" s="38" t="str">
        <f t="shared" si="51"/>
        <v/>
      </c>
      <c r="Z348" s="38" t="str">
        <f t="shared" si="52"/>
        <v/>
      </c>
      <c r="AA348" s="38" t="str">
        <f t="shared" si="53"/>
        <v/>
      </c>
      <c r="AB348" s="38" t="str">
        <f t="shared" si="54"/>
        <v/>
      </c>
      <c r="AC348" s="38" t="str">
        <f>IF(VLOOKUP(A348,'3rdPhaseChipSeal'!A:L,12,FALSE)="","",VLOOKUP(A348,'3rdPhaseChipSeal'!A:L,12,FALSE))</f>
        <v/>
      </c>
      <c r="AD348" s="38" t="str">
        <f>IFERROR(IF(VLOOKUP(A348,RpmContracts!A:C,3,FALSE)="","",VLOOKUP(A348,RpmContracts!A:C,3,FALSE)),"")</f>
        <v/>
      </c>
      <c r="AE348" s="7" t="str">
        <f>IF(VLOOKUP(A348,'20yPlan'!A:B,2,FALSE)="","",VLOOKUP(A348,'20yPlan'!A:B,2,FALSE))</f>
        <v>2040 Preventive Maintenance</v>
      </c>
      <c r="AF348" s="7" t="str">
        <f>IF(VLOOKUP(A348,'20yPlan'!A:C,3,FALSE)="","",VLOOKUP(A348,'20yPlan'!A:C,3,FALSE))</f>
        <v/>
      </c>
      <c r="AG348" s="7" t="str">
        <f>IF(VLOOKUP(A348,'20yPlan'!A:D,4,FALSE)="","",VLOOKUP(A348,'20yPlan'!A:D,4,FALSE))</f>
        <v/>
      </c>
      <c r="AH348" s="7" t="str">
        <f>IF(VLOOKUP(A348,'20yPlan'!A:E,5,FALSE)="","",VLOOKUP(A348,'20yPlan'!A:E,5,FALSE))</f>
        <v/>
      </c>
      <c r="AI348" s="7" t="str">
        <f>IF(VLOOKUP(A348,'20yPlan'!A:F,6,FALSE)="","",VLOOKUP(A348,'20yPlan'!A:F,6,FALSE))</f>
        <v/>
      </c>
      <c r="AJ348" s="7" t="str">
        <f t="shared" si="55"/>
        <v/>
      </c>
      <c r="AK348" s="7" t="str">
        <f t="shared" si="56"/>
        <v/>
      </c>
      <c r="AL348" s="39">
        <f t="shared" ca="1" si="57"/>
        <v>2025</v>
      </c>
      <c r="AM348" s="7" t="str">
        <f t="shared" si="58"/>
        <v/>
      </c>
      <c r="AN348" s="7" t="str">
        <f t="shared" si="59"/>
        <v/>
      </c>
    </row>
    <row r="349" spans="1:40">
      <c r="A349" s="6">
        <v>60368</v>
      </c>
      <c r="B349" s="6" t="s">
        <v>701</v>
      </c>
      <c r="C349" s="6" t="s">
        <v>1019</v>
      </c>
      <c r="D349" s="6">
        <v>20.241126999999999</v>
      </c>
      <c r="E349" s="6">
        <v>20.907596000000002</v>
      </c>
      <c r="F349" s="6" t="s">
        <v>922</v>
      </c>
      <c r="G349" s="6" t="s">
        <v>747</v>
      </c>
      <c r="H349" s="35">
        <v>16657</v>
      </c>
      <c r="I349" s="6" t="s">
        <v>44</v>
      </c>
      <c r="J349" s="6">
        <v>6</v>
      </c>
      <c r="K349" s="6"/>
      <c r="L349" s="6">
        <v>2</v>
      </c>
      <c r="M349" s="6" t="s">
        <v>45</v>
      </c>
      <c r="N349" s="6" t="s">
        <v>250</v>
      </c>
      <c r="O349" s="6" t="s">
        <v>56</v>
      </c>
      <c r="P349" s="6" t="s">
        <v>57</v>
      </c>
      <c r="Q349" s="6" t="s">
        <v>151</v>
      </c>
      <c r="R349" s="35">
        <v>3767</v>
      </c>
      <c r="S349" s="6">
        <v>412</v>
      </c>
      <c r="T349" s="36" t="s">
        <v>50</v>
      </c>
      <c r="U349" s="46">
        <f>IF($L349&lt;=2,
IF($R349&lt;=RpmDesignStandard!$C$2,RpmDesignStandard!$D$2,
IF(AND($R349&gt;RpmDesignStandard!$B$3,$R349&lt;=RpmDesignStandard!$C$3),RpmDesignStandard!$D$3,RpmDesignStandard!$D$4)),
IF($R349&lt;=RpmDesignStandard!$C$5, RpmDesignStandard!$D$5,
IF(AND($R349&gt;RpmDesignStandard!$B$6,$R349&lt;=RpmDesignStandard!$C$6),RpmDesignStandard!$D$6,
IF(AND($R349&gt;RpmDesignStandard!$B$7,$R349&lt;=RpmDesignStandard!$C$7),RpmDesignStandard!$D$7,RpmDesignStandard!$D$8))))</f>
        <v>4</v>
      </c>
      <c r="V349" s="47">
        <f>U349*RpmDesignStandard!$H$1</f>
        <v>8</v>
      </c>
      <c r="W349" s="37" t="str">
        <f>VLOOKUP(A349,RPM_ProjectRecord!A:AB,8,FALSE)</f>
        <v/>
      </c>
      <c r="X349" s="38" t="str">
        <f t="shared" si="50"/>
        <v/>
      </c>
      <c r="Y349" s="38" t="str">
        <f t="shared" si="51"/>
        <v/>
      </c>
      <c r="Z349" s="38" t="str">
        <f t="shared" si="52"/>
        <v/>
      </c>
      <c r="AA349" s="38" t="str">
        <f t="shared" si="53"/>
        <v/>
      </c>
      <c r="AB349" s="38" t="str">
        <f t="shared" si="54"/>
        <v/>
      </c>
      <c r="AC349" s="38" t="str">
        <f>IF(VLOOKUP(A349,'3rdPhaseChipSeal'!A:L,12,FALSE)="","",VLOOKUP(A349,'3rdPhaseChipSeal'!A:L,12,FALSE))</f>
        <v/>
      </c>
      <c r="AD349" s="38" t="str">
        <f>IFERROR(IF(VLOOKUP(A349,RpmContracts!A:C,3,FALSE)="","",VLOOKUP(A349,RpmContracts!A:C,3,FALSE)),"")</f>
        <v/>
      </c>
      <c r="AE349" s="7" t="str">
        <f>IF(VLOOKUP(A349,'20yPlan'!A:B,2,FALSE)="","",VLOOKUP(A349,'20yPlan'!A:B,2,FALSE))</f>
        <v/>
      </c>
      <c r="AF349" s="7" t="str">
        <f>IF(VLOOKUP(A349,'20yPlan'!A:C,3,FALSE)="","",VLOOKUP(A349,'20yPlan'!A:C,3,FALSE))</f>
        <v/>
      </c>
      <c r="AG349" s="7" t="str">
        <f>IF(VLOOKUP(A349,'20yPlan'!A:D,4,FALSE)="","",VLOOKUP(A349,'20yPlan'!A:D,4,FALSE))</f>
        <v/>
      </c>
      <c r="AH349" s="7" t="str">
        <f>IF(VLOOKUP(A349,'20yPlan'!A:E,5,FALSE)="","",VLOOKUP(A349,'20yPlan'!A:E,5,FALSE))</f>
        <v/>
      </c>
      <c r="AI349" s="7" t="str">
        <f>IF(VLOOKUP(A349,'20yPlan'!A:F,6,FALSE)="","",VLOOKUP(A349,'20yPlan'!A:F,6,FALSE))</f>
        <v/>
      </c>
      <c r="AJ349" s="7" t="str">
        <f t="shared" si="55"/>
        <v/>
      </c>
      <c r="AK349" s="7" t="str">
        <f t="shared" si="56"/>
        <v/>
      </c>
      <c r="AL349" s="39">
        <f t="shared" ca="1" si="57"/>
        <v>2025</v>
      </c>
      <c r="AM349" s="7" t="str">
        <f t="shared" si="58"/>
        <v/>
      </c>
      <c r="AN349" s="7" t="str">
        <f t="shared" si="59"/>
        <v/>
      </c>
    </row>
    <row r="350" spans="1:40">
      <c r="A350" s="6">
        <v>60371</v>
      </c>
      <c r="B350" s="6" t="s">
        <v>40</v>
      </c>
      <c r="C350" s="6" t="s">
        <v>1020</v>
      </c>
      <c r="D350" s="6">
        <v>41.759034</v>
      </c>
      <c r="E350" s="6">
        <v>43.289583</v>
      </c>
      <c r="F350" s="6" t="s">
        <v>190</v>
      </c>
      <c r="G350" s="6" t="s">
        <v>42</v>
      </c>
      <c r="H350" s="35">
        <v>14147</v>
      </c>
      <c r="I350" s="6" t="s">
        <v>154</v>
      </c>
      <c r="J350" s="6">
        <v>4</v>
      </c>
      <c r="K350" s="6"/>
      <c r="L350" s="6">
        <v>3</v>
      </c>
      <c r="M350" s="6" t="s">
        <v>45</v>
      </c>
      <c r="N350" s="6" t="s">
        <v>46</v>
      </c>
      <c r="O350" s="6" t="s">
        <v>47</v>
      </c>
      <c r="P350" s="6" t="s">
        <v>48</v>
      </c>
      <c r="Q350" s="6" t="s">
        <v>192</v>
      </c>
      <c r="R350" s="35">
        <v>6367</v>
      </c>
      <c r="S350" s="35">
        <v>1200</v>
      </c>
      <c r="T350" s="36" t="s">
        <v>50</v>
      </c>
      <c r="U350" s="46">
        <f>IF($L350&lt;=2,
IF($R350&lt;=RpmDesignStandard!$C$2,RpmDesignStandard!$D$2,
IF(AND($R350&gt;RpmDesignStandard!$B$3,$R350&lt;=RpmDesignStandard!$C$3),RpmDesignStandard!$D$3,RpmDesignStandard!$D$4)),
IF($R350&lt;=RpmDesignStandard!$C$5, RpmDesignStandard!$D$5,
IF(AND($R350&gt;RpmDesignStandard!$B$6,$R350&lt;=RpmDesignStandard!$C$6),RpmDesignStandard!$D$6,
IF(AND($R350&gt;RpmDesignStandard!$B$7,$R350&lt;=RpmDesignStandard!$C$7),RpmDesignStandard!$D$7,RpmDesignStandard!$D$8))))</f>
        <v>4</v>
      </c>
      <c r="V350" s="47">
        <f>U350*RpmDesignStandard!$H$1</f>
        <v>8</v>
      </c>
      <c r="W350" s="37" t="str">
        <f>VLOOKUP(A350,RPM_ProjectRecord!A:AB,8,FALSE)</f>
        <v/>
      </c>
      <c r="X350" s="38" t="str">
        <f t="shared" si="50"/>
        <v/>
      </c>
      <c r="Y350" s="38" t="str">
        <f t="shared" si="51"/>
        <v/>
      </c>
      <c r="Z350" s="38" t="str">
        <f t="shared" si="52"/>
        <v/>
      </c>
      <c r="AA350" s="38" t="str">
        <f t="shared" si="53"/>
        <v/>
      </c>
      <c r="AB350" s="38" t="str">
        <f t="shared" si="54"/>
        <v/>
      </c>
      <c r="AC350" s="38" t="str">
        <f>IF(VLOOKUP(A350,'3rdPhaseChipSeal'!A:L,12,FALSE)="","",VLOOKUP(A350,'3rdPhaseChipSeal'!A:L,12,FALSE))</f>
        <v/>
      </c>
      <c r="AD350" s="38" t="str">
        <f>IFERROR(IF(VLOOKUP(A350,RpmContracts!A:C,3,FALSE)="","",VLOOKUP(A350,RpmContracts!A:C,3,FALSE)),"")</f>
        <v/>
      </c>
      <c r="AE350" s="7" t="str">
        <f>IF(VLOOKUP(A350,'20yPlan'!A:B,2,FALSE)="","",VLOOKUP(A350,'20yPlan'!A:B,2,FALSE))</f>
        <v/>
      </c>
      <c r="AF350" s="7" t="str">
        <f>IF(VLOOKUP(A350,'20yPlan'!A:C,3,FALSE)="","",VLOOKUP(A350,'20yPlan'!A:C,3,FALSE))</f>
        <v/>
      </c>
      <c r="AG350" s="7" t="str">
        <f>IF(VLOOKUP(A350,'20yPlan'!A:D,4,FALSE)="","",VLOOKUP(A350,'20yPlan'!A:D,4,FALSE))</f>
        <v/>
      </c>
      <c r="AH350" s="7" t="str">
        <f>IF(VLOOKUP(A350,'20yPlan'!A:E,5,FALSE)="","",VLOOKUP(A350,'20yPlan'!A:E,5,FALSE))</f>
        <v/>
      </c>
      <c r="AI350" s="7" t="str">
        <f>IF(VLOOKUP(A350,'20yPlan'!A:F,6,FALSE)="","",VLOOKUP(A350,'20yPlan'!A:F,6,FALSE))</f>
        <v/>
      </c>
      <c r="AJ350" s="7" t="str">
        <f t="shared" si="55"/>
        <v/>
      </c>
      <c r="AK350" s="7" t="str">
        <f t="shared" si="56"/>
        <v/>
      </c>
      <c r="AL350" s="39">
        <f t="shared" ca="1" si="57"/>
        <v>2025</v>
      </c>
      <c r="AM350" s="7" t="str">
        <f t="shared" si="58"/>
        <v/>
      </c>
      <c r="AN350" s="7" t="str">
        <f t="shared" si="59"/>
        <v/>
      </c>
    </row>
    <row r="351" spans="1:40">
      <c r="A351" s="6">
        <v>60374</v>
      </c>
      <c r="B351" s="6" t="s">
        <v>506</v>
      </c>
      <c r="C351" s="6" t="s">
        <v>1021</v>
      </c>
      <c r="D351" s="6">
        <v>17.780912000000001</v>
      </c>
      <c r="E351" s="6">
        <v>19.216766</v>
      </c>
      <c r="F351" s="6" t="s">
        <v>512</v>
      </c>
      <c r="G351" s="6" t="s">
        <v>1022</v>
      </c>
      <c r="H351" s="35">
        <v>15967</v>
      </c>
      <c r="I351" s="6" t="s">
        <v>44</v>
      </c>
      <c r="J351" s="6">
        <v>0</v>
      </c>
      <c r="K351" s="6"/>
      <c r="L351" s="6">
        <v>2</v>
      </c>
      <c r="M351" s="6" t="s">
        <v>45</v>
      </c>
      <c r="N351" s="6" t="s">
        <v>250</v>
      </c>
      <c r="O351" s="6" t="s">
        <v>121</v>
      </c>
      <c r="P351" s="6" t="s">
        <v>122</v>
      </c>
      <c r="Q351" s="6" t="s">
        <v>123</v>
      </c>
      <c r="R351" s="35">
        <v>4816</v>
      </c>
      <c r="S351" s="6">
        <v>248</v>
      </c>
      <c r="T351" s="36" t="s">
        <v>50</v>
      </c>
      <c r="U351" s="46">
        <f>IF($L351&lt;=2,
IF($R351&lt;=RpmDesignStandard!$C$2,RpmDesignStandard!$D$2,
IF(AND($R351&gt;RpmDesignStandard!$B$3,$R351&lt;=RpmDesignStandard!$C$3),RpmDesignStandard!$D$3,RpmDesignStandard!$D$4)),
IF($R351&lt;=RpmDesignStandard!$C$5, RpmDesignStandard!$D$5,
IF(AND($R351&gt;RpmDesignStandard!$B$6,$R351&lt;=RpmDesignStandard!$C$6),RpmDesignStandard!$D$6,
IF(AND($R351&gt;RpmDesignStandard!$B$7,$R351&lt;=RpmDesignStandard!$C$7),RpmDesignStandard!$D$7,RpmDesignStandard!$D$8))))</f>
        <v>4</v>
      </c>
      <c r="V351" s="47">
        <f>U351*RpmDesignStandard!$H$1</f>
        <v>8</v>
      </c>
      <c r="W351" s="37">
        <f>VLOOKUP(A351,RPM_ProjectRecord!A:AB,8,FALSE)</f>
        <v>2023</v>
      </c>
      <c r="X351" s="38" t="str">
        <f t="shared" si="50"/>
        <v/>
      </c>
      <c r="Y351" s="38" t="str">
        <f t="shared" si="51"/>
        <v/>
      </c>
      <c r="Z351" s="38" t="str">
        <f t="shared" si="52"/>
        <v/>
      </c>
      <c r="AA351" s="38" t="str">
        <f t="shared" si="53"/>
        <v/>
      </c>
      <c r="AB351" s="38" t="str">
        <f t="shared" si="54"/>
        <v/>
      </c>
      <c r="AC351" s="38" t="str">
        <f>IF(VLOOKUP(A351,'3rdPhaseChipSeal'!A:L,12,FALSE)="","",VLOOKUP(A351,'3rdPhaseChipSeal'!A:L,12,FALSE))</f>
        <v/>
      </c>
      <c r="AD351" s="38" t="str">
        <f>IFERROR(IF(VLOOKUP(A351,RpmContracts!A:C,3,FALSE)="","",VLOOKUP(A351,RpmContracts!A:C,3,FALSE)),"")</f>
        <v/>
      </c>
      <c r="AE351" s="7" t="str">
        <f>IF(VLOOKUP(A351,'20yPlan'!A:B,2,FALSE)="","",VLOOKUP(A351,'20yPlan'!A:B,2,FALSE))</f>
        <v/>
      </c>
      <c r="AF351" s="7" t="str">
        <f>IF(VLOOKUP(A351,'20yPlan'!A:C,3,FALSE)="","",VLOOKUP(A351,'20yPlan'!A:C,3,FALSE))</f>
        <v/>
      </c>
      <c r="AG351" s="7" t="str">
        <f>IF(VLOOKUP(A351,'20yPlan'!A:D,4,FALSE)="","",VLOOKUP(A351,'20yPlan'!A:D,4,FALSE))</f>
        <v/>
      </c>
      <c r="AH351" s="7" t="str">
        <f>IF(VLOOKUP(A351,'20yPlan'!A:E,5,FALSE)="","",VLOOKUP(A351,'20yPlan'!A:E,5,FALSE))</f>
        <v/>
      </c>
      <c r="AI351" s="7" t="str">
        <f>IF(VLOOKUP(A351,'20yPlan'!A:F,6,FALSE)="","",VLOOKUP(A351,'20yPlan'!A:F,6,FALSE))</f>
        <v/>
      </c>
      <c r="AJ351" s="7" t="str">
        <f t="shared" si="55"/>
        <v/>
      </c>
      <c r="AK351" s="7" t="str">
        <f t="shared" si="56"/>
        <v/>
      </c>
      <c r="AL351" s="39">
        <f t="shared" ca="1" si="57"/>
        <v>2027</v>
      </c>
      <c r="AM351" s="7" t="str">
        <f t="shared" si="58"/>
        <v/>
      </c>
      <c r="AN351" s="7" t="str">
        <f t="shared" si="59"/>
        <v/>
      </c>
    </row>
    <row r="352" spans="1:40">
      <c r="A352" s="6">
        <v>60375</v>
      </c>
      <c r="B352" s="6" t="s">
        <v>506</v>
      </c>
      <c r="C352" s="6" t="s">
        <v>1023</v>
      </c>
      <c r="D352" s="6">
        <v>19.216766</v>
      </c>
      <c r="E352" s="6">
        <v>20.577988999999999</v>
      </c>
      <c r="F352" s="6" t="s">
        <v>1022</v>
      </c>
      <c r="G352" s="6" t="s">
        <v>514</v>
      </c>
      <c r="H352" s="35">
        <v>26123</v>
      </c>
      <c r="I352" s="6" t="s">
        <v>44</v>
      </c>
      <c r="J352" s="6">
        <v>7</v>
      </c>
      <c r="K352" s="6">
        <v>2031</v>
      </c>
      <c r="L352" s="6">
        <v>2</v>
      </c>
      <c r="M352" s="6" t="s">
        <v>45</v>
      </c>
      <c r="N352" s="6" t="s">
        <v>250</v>
      </c>
      <c r="O352" s="6" t="s">
        <v>121</v>
      </c>
      <c r="P352" s="6" t="s">
        <v>122</v>
      </c>
      <c r="Q352" s="6" t="s">
        <v>123</v>
      </c>
      <c r="R352" s="35">
        <v>5468</v>
      </c>
      <c r="S352" s="6">
        <v>326</v>
      </c>
      <c r="T352" s="36" t="s">
        <v>50</v>
      </c>
      <c r="U352" s="46">
        <f>IF($L352&lt;=2,
IF($R352&lt;=RpmDesignStandard!$C$2,RpmDesignStandard!$D$2,
IF(AND($R352&gt;RpmDesignStandard!$B$3,$R352&lt;=RpmDesignStandard!$C$3),RpmDesignStandard!$D$3,RpmDesignStandard!$D$4)),
IF($R352&lt;=RpmDesignStandard!$C$5, RpmDesignStandard!$D$5,
IF(AND($R352&gt;RpmDesignStandard!$B$6,$R352&lt;=RpmDesignStandard!$C$6),RpmDesignStandard!$D$6,
IF(AND($R352&gt;RpmDesignStandard!$B$7,$R352&lt;=RpmDesignStandard!$C$7),RpmDesignStandard!$D$7,RpmDesignStandard!$D$8))))</f>
        <v>4</v>
      </c>
      <c r="V352" s="47">
        <f>U352*RpmDesignStandard!$H$1</f>
        <v>8</v>
      </c>
      <c r="W352" s="37" t="str">
        <f>VLOOKUP(A352,RPM_ProjectRecord!A:AB,8,FALSE)</f>
        <v/>
      </c>
      <c r="X352" s="38">
        <f t="shared" si="50"/>
        <v>2031</v>
      </c>
      <c r="Y352" s="38" t="str">
        <f t="shared" si="51"/>
        <v/>
      </c>
      <c r="Z352" s="38" t="str">
        <f t="shared" si="52"/>
        <v/>
      </c>
      <c r="AA352" s="38" t="str">
        <f t="shared" si="53"/>
        <v/>
      </c>
      <c r="AB352" s="38" t="str">
        <f t="shared" si="54"/>
        <v/>
      </c>
      <c r="AC352" s="38" t="str">
        <f>IF(VLOOKUP(A352,'3rdPhaseChipSeal'!A:L,12,FALSE)="","",VLOOKUP(A352,'3rdPhaseChipSeal'!A:L,12,FALSE))</f>
        <v/>
      </c>
      <c r="AD352" s="38" t="str">
        <f>IFERROR(IF(VLOOKUP(A352,RpmContracts!A:C,3,FALSE)="","",VLOOKUP(A352,RpmContracts!A:C,3,FALSE)),"")</f>
        <v/>
      </c>
      <c r="AE352" s="7" t="str">
        <f>IF(VLOOKUP(A352,'20yPlan'!A:B,2,FALSE)="","",VLOOKUP(A352,'20yPlan'!A:B,2,FALSE))</f>
        <v>2031 Minor Structural</v>
      </c>
      <c r="AF352" s="7" t="str">
        <f>IF(VLOOKUP(A352,'20yPlan'!A:C,3,FALSE)="","",VLOOKUP(A352,'20yPlan'!A:C,3,FALSE))</f>
        <v/>
      </c>
      <c r="AG352" s="7" t="str">
        <f>IF(VLOOKUP(A352,'20yPlan'!A:D,4,FALSE)="","",VLOOKUP(A352,'20yPlan'!A:D,4,FALSE))</f>
        <v/>
      </c>
      <c r="AH352" s="7" t="str">
        <f>IF(VLOOKUP(A352,'20yPlan'!A:E,5,FALSE)="","",VLOOKUP(A352,'20yPlan'!A:E,5,FALSE))</f>
        <v/>
      </c>
      <c r="AI352" s="7" t="str">
        <f>IF(VLOOKUP(A352,'20yPlan'!A:F,6,FALSE)="","",VLOOKUP(A352,'20yPlan'!A:F,6,FALSE))</f>
        <v/>
      </c>
      <c r="AJ352" s="7" t="str">
        <f t="shared" si="55"/>
        <v/>
      </c>
      <c r="AK352" s="7" t="str">
        <f t="shared" si="56"/>
        <v/>
      </c>
      <c r="AL352" s="39">
        <f t="shared" ca="1" si="57"/>
        <v>2025</v>
      </c>
      <c r="AM352" s="7" t="str">
        <f t="shared" si="58"/>
        <v/>
      </c>
      <c r="AN352" s="7" t="str">
        <f t="shared" si="59"/>
        <v/>
      </c>
    </row>
    <row r="353" spans="1:40">
      <c r="A353" s="6">
        <v>60376</v>
      </c>
      <c r="B353" s="6" t="s">
        <v>206</v>
      </c>
      <c r="C353" s="6" t="s">
        <v>1024</v>
      </c>
      <c r="D353" s="6">
        <v>90.941411000000002</v>
      </c>
      <c r="E353" s="6">
        <v>92.259727999999996</v>
      </c>
      <c r="F353" s="6" t="s">
        <v>949</v>
      </c>
      <c r="G353" s="6" t="s">
        <v>1025</v>
      </c>
      <c r="H353" s="35">
        <v>34041</v>
      </c>
      <c r="I353" s="6" t="s">
        <v>44</v>
      </c>
      <c r="J353" s="6">
        <v>4</v>
      </c>
      <c r="K353" s="6"/>
      <c r="L353" s="6">
        <v>2</v>
      </c>
      <c r="M353" s="6" t="s">
        <v>45</v>
      </c>
      <c r="N353" s="6" t="s">
        <v>46</v>
      </c>
      <c r="O353" s="6" t="s">
        <v>165</v>
      </c>
      <c r="P353" s="6" t="s">
        <v>165</v>
      </c>
      <c r="Q353" s="6" t="s">
        <v>240</v>
      </c>
      <c r="R353" s="35">
        <v>4503</v>
      </c>
      <c r="S353" s="6">
        <v>602</v>
      </c>
      <c r="T353" s="36" t="s">
        <v>50</v>
      </c>
      <c r="U353" s="46">
        <f>IF($L353&lt;=2,
IF($R353&lt;=RpmDesignStandard!$C$2,RpmDesignStandard!$D$2,
IF(AND($R353&gt;RpmDesignStandard!$B$3,$R353&lt;=RpmDesignStandard!$C$3),RpmDesignStandard!$D$3,RpmDesignStandard!$D$4)),
IF($R353&lt;=RpmDesignStandard!$C$5, RpmDesignStandard!$D$5,
IF(AND($R353&gt;RpmDesignStandard!$B$6,$R353&lt;=RpmDesignStandard!$C$6),RpmDesignStandard!$D$6,
IF(AND($R353&gt;RpmDesignStandard!$B$7,$R353&lt;=RpmDesignStandard!$C$7),RpmDesignStandard!$D$7,RpmDesignStandard!$D$8))))</f>
        <v>4</v>
      </c>
      <c r="V353" s="47">
        <f>U353*RpmDesignStandard!$H$1</f>
        <v>8</v>
      </c>
      <c r="W353" s="37" t="str">
        <f>VLOOKUP(A353,RPM_ProjectRecord!A:AB,8,FALSE)</f>
        <v/>
      </c>
      <c r="X353" s="38" t="str">
        <f t="shared" si="50"/>
        <v/>
      </c>
      <c r="Y353" s="38" t="str">
        <f t="shared" si="51"/>
        <v/>
      </c>
      <c r="Z353" s="38" t="str">
        <f t="shared" si="52"/>
        <v/>
      </c>
      <c r="AA353" s="38" t="str">
        <f t="shared" si="53"/>
        <v/>
      </c>
      <c r="AB353" s="38" t="str">
        <f t="shared" si="54"/>
        <v/>
      </c>
      <c r="AC353" s="38" t="str">
        <f>IF(VLOOKUP(A353,'3rdPhaseChipSeal'!A:L,12,FALSE)="","",VLOOKUP(A353,'3rdPhaseChipSeal'!A:L,12,FALSE))</f>
        <v/>
      </c>
      <c r="AD353" s="38" t="str">
        <f>IFERROR(IF(VLOOKUP(A353,RpmContracts!A:C,3,FALSE)="","",VLOOKUP(A353,RpmContracts!A:C,3,FALSE)),"")</f>
        <v/>
      </c>
      <c r="AE353" s="7" t="str">
        <f>IF(VLOOKUP(A353,'20yPlan'!A:B,2,FALSE)="","",VLOOKUP(A353,'20yPlan'!A:B,2,FALSE))</f>
        <v/>
      </c>
      <c r="AF353" s="7" t="str">
        <f>IF(VLOOKUP(A353,'20yPlan'!A:C,3,FALSE)="","",VLOOKUP(A353,'20yPlan'!A:C,3,FALSE))</f>
        <v/>
      </c>
      <c r="AG353" s="7" t="str">
        <f>IF(VLOOKUP(A353,'20yPlan'!A:D,4,FALSE)="","",VLOOKUP(A353,'20yPlan'!A:D,4,FALSE))</f>
        <v/>
      </c>
      <c r="AH353" s="7" t="str">
        <f>IF(VLOOKUP(A353,'20yPlan'!A:E,5,FALSE)="","",VLOOKUP(A353,'20yPlan'!A:E,5,FALSE))</f>
        <v/>
      </c>
      <c r="AI353" s="7" t="str">
        <f>IF(VLOOKUP(A353,'20yPlan'!A:F,6,FALSE)="","",VLOOKUP(A353,'20yPlan'!A:F,6,FALSE))</f>
        <v/>
      </c>
      <c r="AJ353" s="7" t="str">
        <f t="shared" si="55"/>
        <v/>
      </c>
      <c r="AK353" s="7" t="str">
        <f t="shared" si="56"/>
        <v/>
      </c>
      <c r="AL353" s="39">
        <f t="shared" ca="1" si="57"/>
        <v>2025</v>
      </c>
      <c r="AM353" s="7" t="str">
        <f t="shared" si="58"/>
        <v/>
      </c>
      <c r="AN353" s="7" t="str">
        <f t="shared" si="59"/>
        <v/>
      </c>
    </row>
    <row r="354" spans="1:40">
      <c r="A354" s="6">
        <v>60377</v>
      </c>
      <c r="B354" s="6" t="s">
        <v>206</v>
      </c>
      <c r="C354" s="6" t="s">
        <v>1026</v>
      </c>
      <c r="D354" s="6">
        <v>92.259727999999996</v>
      </c>
      <c r="E354" s="6">
        <v>100.79160899999999</v>
      </c>
      <c r="F354" s="6" t="s">
        <v>1025</v>
      </c>
      <c r="G354" s="6" t="s">
        <v>1027</v>
      </c>
      <c r="H354" s="35">
        <v>240691</v>
      </c>
      <c r="I354" s="6" t="s">
        <v>195</v>
      </c>
      <c r="J354" s="6">
        <v>4</v>
      </c>
      <c r="K354" s="6">
        <v>2028</v>
      </c>
      <c r="L354" s="6">
        <v>2</v>
      </c>
      <c r="M354" s="6" t="s">
        <v>45</v>
      </c>
      <c r="N354" s="6" t="s">
        <v>46</v>
      </c>
      <c r="O354" s="6" t="s">
        <v>165</v>
      </c>
      <c r="P354" s="6" t="s">
        <v>236</v>
      </c>
      <c r="Q354" s="6" t="s">
        <v>1028</v>
      </c>
      <c r="R354" s="35">
        <v>3826</v>
      </c>
      <c r="S354" s="6">
        <v>510</v>
      </c>
      <c r="T354" s="36" t="s">
        <v>253</v>
      </c>
      <c r="U354" s="46">
        <f>IF($L354&lt;=2,
IF($R354&lt;=RpmDesignStandard!$C$2,RpmDesignStandard!$D$2,
IF(AND($R354&gt;RpmDesignStandard!$B$3,$R354&lt;=RpmDesignStandard!$C$3),RpmDesignStandard!$D$3,RpmDesignStandard!$D$4)),
IF($R354&lt;=RpmDesignStandard!$C$5, RpmDesignStandard!$D$5,
IF(AND($R354&gt;RpmDesignStandard!$B$6,$R354&lt;=RpmDesignStandard!$C$6),RpmDesignStandard!$D$6,
IF(AND($R354&gt;RpmDesignStandard!$B$7,$R354&lt;=RpmDesignStandard!$C$7),RpmDesignStandard!$D$7,RpmDesignStandard!$D$8))))</f>
        <v>4</v>
      </c>
      <c r="V354" s="47">
        <f>U354*RpmDesignStandard!$H$1</f>
        <v>8</v>
      </c>
      <c r="W354" s="37" t="str">
        <f>VLOOKUP(A354,RPM_ProjectRecord!A:AB,8,FALSE)</f>
        <v/>
      </c>
      <c r="X354" s="38" t="str">
        <f t="shared" si="50"/>
        <v/>
      </c>
      <c r="Y354" s="38" t="str">
        <f t="shared" si="51"/>
        <v/>
      </c>
      <c r="Z354" s="38" t="str">
        <f t="shared" si="52"/>
        <v/>
      </c>
      <c r="AA354" s="38" t="str">
        <f t="shared" si="53"/>
        <v/>
      </c>
      <c r="AB354" s="38" t="str">
        <f t="shared" si="54"/>
        <v/>
      </c>
      <c r="AC354" s="38">
        <f>IF(VLOOKUP(A354,'3rdPhaseChipSeal'!A:L,12,FALSE)="","",VLOOKUP(A354,'3rdPhaseChipSeal'!A:L,12,FALSE))</f>
        <v>2042</v>
      </c>
      <c r="AD354" s="38" t="str">
        <f>IFERROR(IF(VLOOKUP(A354,RpmContracts!A:C,3,FALSE)="","",VLOOKUP(A354,RpmContracts!A:C,3,FALSE)),"")</f>
        <v/>
      </c>
      <c r="AE354" s="7" t="str">
        <f>IF(VLOOKUP(A354,'20yPlan'!A:B,2,FALSE)="","",VLOOKUP(A354,'20yPlan'!A:B,2,FALSE))</f>
        <v/>
      </c>
      <c r="AF354" s="7" t="str">
        <f>IF(VLOOKUP(A354,'20yPlan'!A:C,3,FALSE)="","",VLOOKUP(A354,'20yPlan'!A:C,3,FALSE))</f>
        <v/>
      </c>
      <c r="AG354" s="7" t="str">
        <f>IF(VLOOKUP(A354,'20yPlan'!A:D,4,FALSE)="","",VLOOKUP(A354,'20yPlan'!A:D,4,FALSE))</f>
        <v/>
      </c>
      <c r="AH354" s="7" t="str">
        <f>IF(VLOOKUP(A354,'20yPlan'!A:E,5,FALSE)="","",VLOOKUP(A354,'20yPlan'!A:E,5,FALSE))</f>
        <v/>
      </c>
      <c r="AI354" s="7" t="str">
        <f>IF(VLOOKUP(A354,'20yPlan'!A:F,6,FALSE)="","",VLOOKUP(A354,'20yPlan'!A:F,6,FALSE))</f>
        <v/>
      </c>
      <c r="AJ354" s="7" t="str">
        <f t="shared" si="55"/>
        <v>2042 Chip Seal</v>
      </c>
      <c r="AK354" s="7" t="str">
        <f t="shared" si="56"/>
        <v/>
      </c>
      <c r="AL354" s="39">
        <f t="shared" ca="1" si="57"/>
        <v>2025</v>
      </c>
      <c r="AM354" s="7" t="str">
        <f t="shared" si="58"/>
        <v/>
      </c>
      <c r="AN354" s="7" t="str">
        <f t="shared" si="59"/>
        <v/>
      </c>
    </row>
    <row r="355" spans="1:40">
      <c r="A355" s="6">
        <v>60378</v>
      </c>
      <c r="B355" s="6" t="s">
        <v>830</v>
      </c>
      <c r="C355" s="6" t="s">
        <v>1029</v>
      </c>
      <c r="D355" s="6">
        <v>0</v>
      </c>
      <c r="E355" s="6">
        <v>0.40513100000000002</v>
      </c>
      <c r="F355" s="6" t="s">
        <v>53</v>
      </c>
      <c r="G355" s="6" t="s">
        <v>1030</v>
      </c>
      <c r="H355" s="35">
        <v>9949</v>
      </c>
      <c r="I355" s="6" t="s">
        <v>44</v>
      </c>
      <c r="J355" s="6">
        <v>37</v>
      </c>
      <c r="K355" s="6"/>
      <c r="L355" s="6">
        <v>2</v>
      </c>
      <c r="M355" s="6" t="s">
        <v>111</v>
      </c>
      <c r="N355" s="6" t="s">
        <v>250</v>
      </c>
      <c r="O355" s="6" t="s">
        <v>79</v>
      </c>
      <c r="P355" s="6" t="s">
        <v>346</v>
      </c>
      <c r="Q355" s="6" t="s">
        <v>347</v>
      </c>
      <c r="R355" s="35">
        <v>8705</v>
      </c>
      <c r="S355" s="6">
        <v>675</v>
      </c>
      <c r="T355" s="36" t="s">
        <v>50</v>
      </c>
      <c r="U355" s="46">
        <f>IF($L355&lt;=2,
IF($R355&lt;=RpmDesignStandard!$C$2,RpmDesignStandard!$D$2,
IF(AND($R355&gt;RpmDesignStandard!$B$3,$R355&lt;=RpmDesignStandard!$C$3),RpmDesignStandard!$D$3,RpmDesignStandard!$D$4)),
IF($R355&lt;=RpmDesignStandard!$C$5, RpmDesignStandard!$D$5,
IF(AND($R355&gt;RpmDesignStandard!$B$6,$R355&lt;=RpmDesignStandard!$C$6),RpmDesignStandard!$D$6,
IF(AND($R355&gt;RpmDesignStandard!$B$7,$R355&lt;=RpmDesignStandard!$C$7),RpmDesignStandard!$D$7,RpmDesignStandard!$D$8))))</f>
        <v>3</v>
      </c>
      <c r="V355" s="47">
        <f>U355*RpmDesignStandard!$H$1</f>
        <v>6</v>
      </c>
      <c r="W355" s="37" t="str">
        <f>VLOOKUP(A355,RPM_ProjectRecord!A:AB,8,FALSE)</f>
        <v/>
      </c>
      <c r="X355" s="38" t="str">
        <f t="shared" si="50"/>
        <v/>
      </c>
      <c r="Y355" s="38" t="str">
        <f t="shared" si="51"/>
        <v/>
      </c>
      <c r="Z355" s="38" t="str">
        <f t="shared" si="52"/>
        <v/>
      </c>
      <c r="AA355" s="38" t="str">
        <f t="shared" si="53"/>
        <v/>
      </c>
      <c r="AB355" s="38" t="str">
        <f t="shared" si="54"/>
        <v/>
      </c>
      <c r="AC355" s="38" t="str">
        <f>IF(VLOOKUP(A355,'3rdPhaseChipSeal'!A:L,12,FALSE)="","",VLOOKUP(A355,'3rdPhaseChipSeal'!A:L,12,FALSE))</f>
        <v/>
      </c>
      <c r="AD355" s="38" t="str">
        <f>IFERROR(IF(VLOOKUP(A355,RpmContracts!A:C,3,FALSE)="","",VLOOKUP(A355,RpmContracts!A:C,3,FALSE)),"")</f>
        <v/>
      </c>
      <c r="AE355" s="7" t="str">
        <f>IF(VLOOKUP(A355,'20yPlan'!A:B,2,FALSE)="","",VLOOKUP(A355,'20yPlan'!A:B,2,FALSE))</f>
        <v/>
      </c>
      <c r="AF355" s="7" t="str">
        <f>IF(VLOOKUP(A355,'20yPlan'!A:C,3,FALSE)="","",VLOOKUP(A355,'20yPlan'!A:C,3,FALSE))</f>
        <v/>
      </c>
      <c r="AG355" s="7" t="str">
        <f>IF(VLOOKUP(A355,'20yPlan'!A:D,4,FALSE)="","",VLOOKUP(A355,'20yPlan'!A:D,4,FALSE))</f>
        <v/>
      </c>
      <c r="AH355" s="7" t="str">
        <f>IF(VLOOKUP(A355,'20yPlan'!A:E,5,FALSE)="","",VLOOKUP(A355,'20yPlan'!A:E,5,FALSE))</f>
        <v/>
      </c>
      <c r="AI355" s="7" t="str">
        <f>IF(VLOOKUP(A355,'20yPlan'!A:F,6,FALSE)="","",VLOOKUP(A355,'20yPlan'!A:F,6,FALSE))</f>
        <v/>
      </c>
      <c r="AJ355" s="7" t="str">
        <f t="shared" si="55"/>
        <v/>
      </c>
      <c r="AK355" s="7" t="str">
        <f t="shared" si="56"/>
        <v/>
      </c>
      <c r="AL355" s="39">
        <f t="shared" ca="1" si="57"/>
        <v>2025</v>
      </c>
      <c r="AM355" s="7" t="str">
        <f t="shared" si="58"/>
        <v/>
      </c>
      <c r="AN355" s="7" t="str">
        <f t="shared" si="59"/>
        <v/>
      </c>
    </row>
    <row r="356" spans="1:40">
      <c r="A356" s="6">
        <v>60379</v>
      </c>
      <c r="B356" s="6" t="s">
        <v>830</v>
      </c>
      <c r="C356" s="6" t="s">
        <v>1031</v>
      </c>
      <c r="D356" s="6">
        <v>0.40513100000000002</v>
      </c>
      <c r="E356" s="6">
        <v>5.369847</v>
      </c>
      <c r="F356" s="6" t="s">
        <v>1030</v>
      </c>
      <c r="G356" s="6" t="s">
        <v>1032</v>
      </c>
      <c r="H356" s="35">
        <v>145815</v>
      </c>
      <c r="I356" s="6" t="s">
        <v>195</v>
      </c>
      <c r="J356" s="6">
        <v>6</v>
      </c>
      <c r="K356" s="6">
        <v>2026</v>
      </c>
      <c r="L356" s="6">
        <v>2</v>
      </c>
      <c r="M356" s="6" t="s">
        <v>45</v>
      </c>
      <c r="N356" s="6" t="s">
        <v>250</v>
      </c>
      <c r="O356" s="6" t="s">
        <v>79</v>
      </c>
      <c r="P356" s="6" t="s">
        <v>346</v>
      </c>
      <c r="Q356" s="6" t="s">
        <v>347</v>
      </c>
      <c r="R356" s="35">
        <v>2786</v>
      </c>
      <c r="S356" s="6">
        <v>431</v>
      </c>
      <c r="T356" s="36" t="s">
        <v>253</v>
      </c>
      <c r="U356" s="46">
        <f>IF($L356&lt;=2,
IF($R356&lt;=RpmDesignStandard!$C$2,RpmDesignStandard!$D$2,
IF(AND($R356&gt;RpmDesignStandard!$B$3,$R356&lt;=RpmDesignStandard!$C$3),RpmDesignStandard!$D$3,RpmDesignStandard!$D$4)),
IF($R356&lt;=RpmDesignStandard!$C$5, RpmDesignStandard!$D$5,
IF(AND($R356&gt;RpmDesignStandard!$B$6,$R356&lt;=RpmDesignStandard!$C$6),RpmDesignStandard!$D$6,
IF(AND($R356&gt;RpmDesignStandard!$B$7,$R356&lt;=RpmDesignStandard!$C$7),RpmDesignStandard!$D$7,RpmDesignStandard!$D$8))))</f>
        <v>4</v>
      </c>
      <c r="V356" s="47">
        <f>U356*RpmDesignStandard!$H$1</f>
        <v>8</v>
      </c>
      <c r="W356" s="37" t="str">
        <f>VLOOKUP(A356,RPM_ProjectRecord!A:AB,8,FALSE)</f>
        <v/>
      </c>
      <c r="X356" s="38" t="str">
        <f t="shared" si="50"/>
        <v/>
      </c>
      <c r="Y356" s="38" t="str">
        <f t="shared" si="51"/>
        <v/>
      </c>
      <c r="Z356" s="38" t="str">
        <f t="shared" si="52"/>
        <v/>
      </c>
      <c r="AA356" s="38" t="str">
        <f t="shared" si="53"/>
        <v/>
      </c>
      <c r="AB356" s="38" t="str">
        <f t="shared" si="54"/>
        <v/>
      </c>
      <c r="AC356" s="38">
        <f>IF(VLOOKUP(A356,'3rdPhaseChipSeal'!A:L,12,FALSE)="","",VLOOKUP(A356,'3rdPhaseChipSeal'!A:L,12,FALSE))</f>
        <v>2039</v>
      </c>
      <c r="AD356" s="38" t="str">
        <f>IFERROR(IF(VLOOKUP(A356,RpmContracts!A:C,3,FALSE)="","",VLOOKUP(A356,RpmContracts!A:C,3,FALSE)),"")</f>
        <v/>
      </c>
      <c r="AE356" s="7" t="str">
        <f>IF(VLOOKUP(A356,'20yPlan'!A:B,2,FALSE)="","",VLOOKUP(A356,'20yPlan'!A:B,2,FALSE))</f>
        <v/>
      </c>
      <c r="AF356" s="7" t="str">
        <f>IF(VLOOKUP(A356,'20yPlan'!A:C,3,FALSE)="","",VLOOKUP(A356,'20yPlan'!A:C,3,FALSE))</f>
        <v/>
      </c>
      <c r="AG356" s="7" t="str">
        <f>IF(VLOOKUP(A356,'20yPlan'!A:D,4,FALSE)="","",VLOOKUP(A356,'20yPlan'!A:D,4,FALSE))</f>
        <v/>
      </c>
      <c r="AH356" s="7" t="str">
        <f>IF(VLOOKUP(A356,'20yPlan'!A:E,5,FALSE)="","",VLOOKUP(A356,'20yPlan'!A:E,5,FALSE))</f>
        <v/>
      </c>
      <c r="AI356" s="7" t="str">
        <f>IF(VLOOKUP(A356,'20yPlan'!A:F,6,FALSE)="","",VLOOKUP(A356,'20yPlan'!A:F,6,FALSE))</f>
        <v/>
      </c>
      <c r="AJ356" s="7" t="str">
        <f t="shared" si="55"/>
        <v>2039 Chip Seal</v>
      </c>
      <c r="AK356" s="7" t="str">
        <f t="shared" si="56"/>
        <v/>
      </c>
      <c r="AL356" s="39">
        <f t="shared" ca="1" si="57"/>
        <v>2025</v>
      </c>
      <c r="AM356" s="7" t="str">
        <f t="shared" si="58"/>
        <v/>
      </c>
      <c r="AN356" s="7" t="str">
        <f t="shared" si="59"/>
        <v/>
      </c>
    </row>
    <row r="357" spans="1:40">
      <c r="A357" s="6">
        <v>60380</v>
      </c>
      <c r="B357" s="6" t="s">
        <v>410</v>
      </c>
      <c r="C357" s="6" t="s">
        <v>1033</v>
      </c>
      <c r="D357" s="6">
        <v>0</v>
      </c>
      <c r="E357" s="6">
        <v>2.2787000000000002</v>
      </c>
      <c r="F357" s="6" t="s">
        <v>53</v>
      </c>
      <c r="G357" s="6" t="s">
        <v>1034</v>
      </c>
      <c r="H357" s="35">
        <v>86146</v>
      </c>
      <c r="I357" s="6" t="s">
        <v>44</v>
      </c>
      <c r="J357" s="6">
        <v>7</v>
      </c>
      <c r="K357" s="6"/>
      <c r="L357" s="6">
        <v>2</v>
      </c>
      <c r="M357" s="6" t="s">
        <v>45</v>
      </c>
      <c r="N357" s="6" t="s">
        <v>250</v>
      </c>
      <c r="O357" s="6" t="s">
        <v>79</v>
      </c>
      <c r="P357" s="6" t="s">
        <v>346</v>
      </c>
      <c r="Q357" s="6" t="s">
        <v>489</v>
      </c>
      <c r="R357" s="35">
        <v>7069</v>
      </c>
      <c r="S357" s="6">
        <v>570</v>
      </c>
      <c r="T357" s="36" t="s">
        <v>50</v>
      </c>
      <c r="U357" s="46">
        <f>IF($L357&lt;=2,
IF($R357&lt;=RpmDesignStandard!$C$2,RpmDesignStandard!$D$2,
IF(AND($R357&gt;RpmDesignStandard!$B$3,$R357&lt;=RpmDesignStandard!$C$3),RpmDesignStandard!$D$3,RpmDesignStandard!$D$4)),
IF($R357&lt;=RpmDesignStandard!$C$5, RpmDesignStandard!$D$5,
IF(AND($R357&gt;RpmDesignStandard!$B$6,$R357&lt;=RpmDesignStandard!$C$6),RpmDesignStandard!$D$6,
IF(AND($R357&gt;RpmDesignStandard!$B$7,$R357&lt;=RpmDesignStandard!$C$7),RpmDesignStandard!$D$7,RpmDesignStandard!$D$8))))</f>
        <v>3</v>
      </c>
      <c r="V357" s="47">
        <f>U357*RpmDesignStandard!$H$1</f>
        <v>6</v>
      </c>
      <c r="W357" s="37" t="str">
        <f>VLOOKUP(A357,RPM_ProjectRecord!A:AB,8,FALSE)</f>
        <v/>
      </c>
      <c r="X357" s="38" t="str">
        <f t="shared" si="50"/>
        <v/>
      </c>
      <c r="Y357" s="38" t="str">
        <f t="shared" si="51"/>
        <v/>
      </c>
      <c r="Z357" s="38" t="str">
        <f t="shared" si="52"/>
        <v/>
      </c>
      <c r="AA357" s="38" t="str">
        <f t="shared" si="53"/>
        <v/>
      </c>
      <c r="AB357" s="38" t="str">
        <f t="shared" si="54"/>
        <v/>
      </c>
      <c r="AC357" s="38" t="str">
        <f>IF(VLOOKUP(A357,'3rdPhaseChipSeal'!A:L,12,FALSE)="","",VLOOKUP(A357,'3rdPhaseChipSeal'!A:L,12,FALSE))</f>
        <v/>
      </c>
      <c r="AD357" s="38" t="str">
        <f>IFERROR(IF(VLOOKUP(A357,RpmContracts!A:C,3,FALSE)="","",VLOOKUP(A357,RpmContracts!A:C,3,FALSE)),"")</f>
        <v/>
      </c>
      <c r="AE357" s="7" t="str">
        <f>IF(VLOOKUP(A357,'20yPlan'!A:B,2,FALSE)="","",VLOOKUP(A357,'20yPlan'!A:B,2,FALSE))</f>
        <v/>
      </c>
      <c r="AF357" s="7" t="str">
        <f>IF(VLOOKUP(A357,'20yPlan'!A:C,3,FALSE)="","",VLOOKUP(A357,'20yPlan'!A:C,3,FALSE))</f>
        <v/>
      </c>
      <c r="AG357" s="7" t="str">
        <f>IF(VLOOKUP(A357,'20yPlan'!A:D,4,FALSE)="","",VLOOKUP(A357,'20yPlan'!A:D,4,FALSE))</f>
        <v/>
      </c>
      <c r="AH357" s="7" t="str">
        <f>IF(VLOOKUP(A357,'20yPlan'!A:E,5,FALSE)="","",VLOOKUP(A357,'20yPlan'!A:E,5,FALSE))</f>
        <v/>
      </c>
      <c r="AI357" s="7" t="str">
        <f>IF(VLOOKUP(A357,'20yPlan'!A:F,6,FALSE)="","",VLOOKUP(A357,'20yPlan'!A:F,6,FALSE))</f>
        <v/>
      </c>
      <c r="AJ357" s="7" t="str">
        <f t="shared" si="55"/>
        <v/>
      </c>
      <c r="AK357" s="7" t="str">
        <f t="shared" si="56"/>
        <v/>
      </c>
      <c r="AL357" s="39">
        <f t="shared" ca="1" si="57"/>
        <v>2025</v>
      </c>
      <c r="AM357" s="7" t="str">
        <f t="shared" si="58"/>
        <v/>
      </c>
      <c r="AN357" s="7" t="str">
        <f t="shared" si="59"/>
        <v/>
      </c>
    </row>
    <row r="358" spans="1:40">
      <c r="A358" s="6">
        <v>60381</v>
      </c>
      <c r="B358" s="6" t="s">
        <v>410</v>
      </c>
      <c r="C358" s="6" t="s">
        <v>1035</v>
      </c>
      <c r="D358" s="6">
        <v>2.2787000000000002</v>
      </c>
      <c r="E358" s="6">
        <v>10.915065</v>
      </c>
      <c r="F358" s="6" t="s">
        <v>1034</v>
      </c>
      <c r="G358" s="6" t="s">
        <v>412</v>
      </c>
      <c r="H358" s="35">
        <v>222816</v>
      </c>
      <c r="I358" s="6" t="s">
        <v>44</v>
      </c>
      <c r="J358" s="6">
        <v>10</v>
      </c>
      <c r="K358" s="6">
        <v>2032</v>
      </c>
      <c r="L358" s="6">
        <v>2</v>
      </c>
      <c r="M358" s="6" t="s">
        <v>45</v>
      </c>
      <c r="N358" s="6" t="s">
        <v>250</v>
      </c>
      <c r="O358" s="6" t="s">
        <v>79</v>
      </c>
      <c r="P358" s="6" t="s">
        <v>346</v>
      </c>
      <c r="Q358" s="6" t="s">
        <v>347</v>
      </c>
      <c r="R358" s="35">
        <v>4189</v>
      </c>
      <c r="S358" s="6">
        <v>825</v>
      </c>
      <c r="T358" s="36" t="s">
        <v>50</v>
      </c>
      <c r="U358" s="46">
        <f>IF($L358&lt;=2,
IF($R358&lt;=RpmDesignStandard!$C$2,RpmDesignStandard!$D$2,
IF(AND($R358&gt;RpmDesignStandard!$B$3,$R358&lt;=RpmDesignStandard!$C$3),RpmDesignStandard!$D$3,RpmDesignStandard!$D$4)),
IF($R358&lt;=RpmDesignStandard!$C$5, RpmDesignStandard!$D$5,
IF(AND($R358&gt;RpmDesignStandard!$B$6,$R358&lt;=RpmDesignStandard!$C$6),RpmDesignStandard!$D$6,
IF(AND($R358&gt;RpmDesignStandard!$B$7,$R358&lt;=RpmDesignStandard!$C$7),RpmDesignStandard!$D$7,RpmDesignStandard!$D$8))))</f>
        <v>4</v>
      </c>
      <c r="V358" s="47">
        <f>U358*RpmDesignStandard!$H$1</f>
        <v>8</v>
      </c>
      <c r="W358" s="37">
        <f>VLOOKUP(A358,RPM_ProjectRecord!A:AB,8,FALSE)</f>
        <v>2021</v>
      </c>
      <c r="X358" s="38">
        <f t="shared" si="50"/>
        <v>2032</v>
      </c>
      <c r="Y358" s="38" t="str">
        <f t="shared" si="51"/>
        <v/>
      </c>
      <c r="Z358" s="38" t="str">
        <f t="shared" si="52"/>
        <v/>
      </c>
      <c r="AA358" s="38" t="str">
        <f t="shared" si="53"/>
        <v/>
      </c>
      <c r="AB358" s="38" t="str">
        <f t="shared" si="54"/>
        <v/>
      </c>
      <c r="AC358" s="38" t="str">
        <f>IF(VLOOKUP(A358,'3rdPhaseChipSeal'!A:L,12,FALSE)="","",VLOOKUP(A358,'3rdPhaseChipSeal'!A:L,12,FALSE))</f>
        <v/>
      </c>
      <c r="AD358" s="38" t="str">
        <f>IFERROR(IF(VLOOKUP(A358,RpmContracts!A:C,3,FALSE)="","",VLOOKUP(A358,RpmContracts!A:C,3,FALSE)),"")</f>
        <v/>
      </c>
      <c r="AE358" s="7" t="str">
        <f>IF(VLOOKUP(A358,'20yPlan'!A:B,2,FALSE)="","",VLOOKUP(A358,'20yPlan'!A:B,2,FALSE))</f>
        <v>2032 Preventive Maintenance</v>
      </c>
      <c r="AF358" s="7" t="str">
        <f>IF(VLOOKUP(A358,'20yPlan'!A:C,3,FALSE)="","",VLOOKUP(A358,'20yPlan'!A:C,3,FALSE))</f>
        <v/>
      </c>
      <c r="AG358" s="7" t="str">
        <f>IF(VLOOKUP(A358,'20yPlan'!A:D,4,FALSE)="","",VLOOKUP(A358,'20yPlan'!A:D,4,FALSE))</f>
        <v/>
      </c>
      <c r="AH358" s="7" t="str">
        <f>IF(VLOOKUP(A358,'20yPlan'!A:E,5,FALSE)="","",VLOOKUP(A358,'20yPlan'!A:E,5,FALSE))</f>
        <v/>
      </c>
      <c r="AI358" s="7" t="str">
        <f>IF(VLOOKUP(A358,'20yPlan'!A:F,6,FALSE)="","",VLOOKUP(A358,'20yPlan'!A:F,6,FALSE))</f>
        <v/>
      </c>
      <c r="AJ358" s="7" t="str">
        <f t="shared" si="55"/>
        <v/>
      </c>
      <c r="AK358" s="7" t="str">
        <f t="shared" si="56"/>
        <v/>
      </c>
      <c r="AL358" s="39">
        <f t="shared" ca="1" si="57"/>
        <v>2025</v>
      </c>
      <c r="AM358" s="7" t="str">
        <f t="shared" si="58"/>
        <v/>
      </c>
      <c r="AN358" s="7" t="str">
        <f t="shared" si="59"/>
        <v/>
      </c>
    </row>
    <row r="359" spans="1:40">
      <c r="A359" s="6">
        <v>60382</v>
      </c>
      <c r="B359" s="6" t="s">
        <v>533</v>
      </c>
      <c r="C359" s="6" t="s">
        <v>1036</v>
      </c>
      <c r="D359" s="6">
        <v>64.107231999999996</v>
      </c>
      <c r="E359" s="6">
        <v>69.012060000000005</v>
      </c>
      <c r="F359" s="6" t="s">
        <v>983</v>
      </c>
      <c r="G359" s="6" t="s">
        <v>1037</v>
      </c>
      <c r="H359" s="35">
        <v>94698</v>
      </c>
      <c r="I359" s="6" t="s">
        <v>195</v>
      </c>
      <c r="J359" s="6">
        <v>2</v>
      </c>
      <c r="K359" s="6">
        <v>2028</v>
      </c>
      <c r="L359" s="6">
        <v>2</v>
      </c>
      <c r="M359" s="6" t="s">
        <v>45</v>
      </c>
      <c r="N359" s="6" t="s">
        <v>250</v>
      </c>
      <c r="O359" s="6" t="s">
        <v>165</v>
      </c>
      <c r="P359" s="6" t="s">
        <v>236</v>
      </c>
      <c r="Q359" s="6" t="s">
        <v>1038</v>
      </c>
      <c r="R359" s="35">
        <v>1403</v>
      </c>
      <c r="S359" s="6">
        <v>308</v>
      </c>
      <c r="T359" s="36" t="s">
        <v>253</v>
      </c>
      <c r="U359" s="46">
        <f>IF($L359&lt;=2,
IF($R359&lt;=RpmDesignStandard!$C$2,RpmDesignStandard!$D$2,
IF(AND($R359&gt;RpmDesignStandard!$B$3,$R359&lt;=RpmDesignStandard!$C$3),RpmDesignStandard!$D$3,RpmDesignStandard!$D$4)),
IF($R359&lt;=RpmDesignStandard!$C$5, RpmDesignStandard!$D$5,
IF(AND($R359&gt;RpmDesignStandard!$B$6,$R359&lt;=RpmDesignStandard!$C$6),RpmDesignStandard!$D$6,
IF(AND($R359&gt;RpmDesignStandard!$B$7,$R359&lt;=RpmDesignStandard!$C$7),RpmDesignStandard!$D$7,RpmDesignStandard!$D$8))))</f>
        <v>4</v>
      </c>
      <c r="V359" s="47">
        <f>U359*RpmDesignStandard!$H$1</f>
        <v>8</v>
      </c>
      <c r="W359" s="37">
        <f>VLOOKUP(A359,RPM_ProjectRecord!A:AB,8,FALSE)</f>
        <v>2021</v>
      </c>
      <c r="X359" s="38" t="str">
        <f t="shared" si="50"/>
        <v/>
      </c>
      <c r="Y359" s="38" t="str">
        <f t="shared" si="51"/>
        <v/>
      </c>
      <c r="Z359" s="38" t="str">
        <f t="shared" si="52"/>
        <v/>
      </c>
      <c r="AA359" s="38" t="str">
        <f t="shared" si="53"/>
        <v/>
      </c>
      <c r="AB359" s="38" t="str">
        <f t="shared" si="54"/>
        <v/>
      </c>
      <c r="AC359" s="38">
        <f>IF(VLOOKUP(A359,'3rdPhaseChipSeal'!A:L,12,FALSE)="","",VLOOKUP(A359,'3rdPhaseChipSeal'!A:L,12,FALSE))</f>
        <v>2042</v>
      </c>
      <c r="AD359" s="38" t="str">
        <f>IFERROR(IF(VLOOKUP(A359,RpmContracts!A:C,3,FALSE)="","",VLOOKUP(A359,RpmContracts!A:C,3,FALSE)),"")</f>
        <v/>
      </c>
      <c r="AE359" s="7" t="str">
        <f>IF(VLOOKUP(A359,'20yPlan'!A:B,2,FALSE)="","",VLOOKUP(A359,'20yPlan'!A:B,2,FALSE))</f>
        <v/>
      </c>
      <c r="AF359" s="7" t="str">
        <f>IF(VLOOKUP(A359,'20yPlan'!A:C,3,FALSE)="","",VLOOKUP(A359,'20yPlan'!A:C,3,FALSE))</f>
        <v/>
      </c>
      <c r="AG359" s="7" t="str">
        <f>IF(VLOOKUP(A359,'20yPlan'!A:D,4,FALSE)="","",VLOOKUP(A359,'20yPlan'!A:D,4,FALSE))</f>
        <v/>
      </c>
      <c r="AH359" s="7" t="str">
        <f>IF(VLOOKUP(A359,'20yPlan'!A:E,5,FALSE)="","",VLOOKUP(A359,'20yPlan'!A:E,5,FALSE))</f>
        <v/>
      </c>
      <c r="AI359" s="7" t="str">
        <f>IF(VLOOKUP(A359,'20yPlan'!A:F,6,FALSE)="","",VLOOKUP(A359,'20yPlan'!A:F,6,FALSE))</f>
        <v/>
      </c>
      <c r="AJ359" s="7" t="str">
        <f t="shared" si="55"/>
        <v>2042 Chip Seal</v>
      </c>
      <c r="AK359" s="7" t="str">
        <f t="shared" si="56"/>
        <v/>
      </c>
      <c r="AL359" s="39">
        <f t="shared" ca="1" si="57"/>
        <v>2025</v>
      </c>
      <c r="AM359" s="7" t="str">
        <f t="shared" si="58"/>
        <v/>
      </c>
      <c r="AN359" s="7" t="str">
        <f t="shared" si="59"/>
        <v/>
      </c>
    </row>
    <row r="360" spans="1:40">
      <c r="A360" s="6">
        <v>60383</v>
      </c>
      <c r="B360" s="6" t="s">
        <v>533</v>
      </c>
      <c r="C360" s="6" t="s">
        <v>1039</v>
      </c>
      <c r="D360" s="6">
        <v>69.012060000000005</v>
      </c>
      <c r="E360" s="6">
        <v>69.415009999999995</v>
      </c>
      <c r="F360" s="6" t="s">
        <v>1037</v>
      </c>
      <c r="G360" s="6" t="s">
        <v>553</v>
      </c>
      <c r="H360" s="35">
        <v>8456</v>
      </c>
      <c r="I360" s="6" t="s">
        <v>44</v>
      </c>
      <c r="J360" s="6">
        <v>2</v>
      </c>
      <c r="K360" s="6"/>
      <c r="L360" s="6">
        <v>2</v>
      </c>
      <c r="M360" s="6" t="s">
        <v>45</v>
      </c>
      <c r="N360" s="6" t="s">
        <v>250</v>
      </c>
      <c r="O360" s="6" t="s">
        <v>165</v>
      </c>
      <c r="P360" s="6" t="s">
        <v>236</v>
      </c>
      <c r="Q360" s="6" t="s">
        <v>240</v>
      </c>
      <c r="R360" s="35">
        <v>1897</v>
      </c>
      <c r="S360" s="6">
        <v>417</v>
      </c>
      <c r="T360" s="36" t="s">
        <v>50</v>
      </c>
      <c r="U360" s="46">
        <f>IF($L360&lt;=2,
IF($R360&lt;=RpmDesignStandard!$C$2,RpmDesignStandard!$D$2,
IF(AND($R360&gt;RpmDesignStandard!$B$3,$R360&lt;=RpmDesignStandard!$C$3),RpmDesignStandard!$D$3,RpmDesignStandard!$D$4)),
IF($R360&lt;=RpmDesignStandard!$C$5, RpmDesignStandard!$D$5,
IF(AND($R360&gt;RpmDesignStandard!$B$6,$R360&lt;=RpmDesignStandard!$C$6),RpmDesignStandard!$D$6,
IF(AND($R360&gt;RpmDesignStandard!$B$7,$R360&lt;=RpmDesignStandard!$C$7),RpmDesignStandard!$D$7,RpmDesignStandard!$D$8))))</f>
        <v>4</v>
      </c>
      <c r="V360" s="47">
        <f>U360*RpmDesignStandard!$H$1</f>
        <v>8</v>
      </c>
      <c r="W360" s="37">
        <f>VLOOKUP(A360,RPM_ProjectRecord!A:AB,8,FALSE)</f>
        <v>2021</v>
      </c>
      <c r="X360" s="38" t="str">
        <f t="shared" si="50"/>
        <v/>
      </c>
      <c r="Y360" s="38" t="str">
        <f t="shared" si="51"/>
        <v/>
      </c>
      <c r="Z360" s="38" t="str">
        <f t="shared" si="52"/>
        <v/>
      </c>
      <c r="AA360" s="38" t="str">
        <f t="shared" si="53"/>
        <v/>
      </c>
      <c r="AB360" s="38" t="str">
        <f t="shared" si="54"/>
        <v/>
      </c>
      <c r="AC360" s="38" t="str">
        <f>IF(VLOOKUP(A360,'3rdPhaseChipSeal'!A:L,12,FALSE)="","",VLOOKUP(A360,'3rdPhaseChipSeal'!A:L,12,FALSE))</f>
        <v/>
      </c>
      <c r="AD360" s="38" t="str">
        <f>IFERROR(IF(VLOOKUP(A360,RpmContracts!A:C,3,FALSE)="","",VLOOKUP(A360,RpmContracts!A:C,3,FALSE)),"")</f>
        <v/>
      </c>
      <c r="AE360" s="7" t="str">
        <f>IF(VLOOKUP(A360,'20yPlan'!A:B,2,FALSE)="","",VLOOKUP(A360,'20yPlan'!A:B,2,FALSE))</f>
        <v/>
      </c>
      <c r="AF360" s="7" t="str">
        <f>IF(VLOOKUP(A360,'20yPlan'!A:C,3,FALSE)="","",VLOOKUP(A360,'20yPlan'!A:C,3,FALSE))</f>
        <v/>
      </c>
      <c r="AG360" s="7" t="str">
        <f>IF(VLOOKUP(A360,'20yPlan'!A:D,4,FALSE)="","",VLOOKUP(A360,'20yPlan'!A:D,4,FALSE))</f>
        <v/>
      </c>
      <c r="AH360" s="7" t="str">
        <f>IF(VLOOKUP(A360,'20yPlan'!A:E,5,FALSE)="","",VLOOKUP(A360,'20yPlan'!A:E,5,FALSE))</f>
        <v/>
      </c>
      <c r="AI360" s="7" t="str">
        <f>IF(VLOOKUP(A360,'20yPlan'!A:F,6,FALSE)="","",VLOOKUP(A360,'20yPlan'!A:F,6,FALSE))</f>
        <v/>
      </c>
      <c r="AJ360" s="7" t="str">
        <f t="shared" si="55"/>
        <v/>
      </c>
      <c r="AK360" s="7" t="str">
        <f t="shared" si="56"/>
        <v/>
      </c>
      <c r="AL360" s="39">
        <f t="shared" ca="1" si="57"/>
        <v>2025</v>
      </c>
      <c r="AM360" s="7" t="str">
        <f t="shared" si="58"/>
        <v/>
      </c>
      <c r="AN360" s="7" t="str">
        <f t="shared" si="59"/>
        <v/>
      </c>
    </row>
    <row r="361" spans="1:40">
      <c r="A361" s="6">
        <v>60384</v>
      </c>
      <c r="B361" s="6" t="s">
        <v>621</v>
      </c>
      <c r="C361" s="6" t="s">
        <v>1040</v>
      </c>
      <c r="D361" s="6">
        <v>71.324960000000004</v>
      </c>
      <c r="E361" s="6">
        <v>74.799539999999993</v>
      </c>
      <c r="F361" s="6" t="s">
        <v>648</v>
      </c>
      <c r="G361" s="6" t="s">
        <v>1041</v>
      </c>
      <c r="H361" s="35">
        <v>61732</v>
      </c>
      <c r="I361" s="6" t="s">
        <v>195</v>
      </c>
      <c r="J361" s="6">
        <v>18</v>
      </c>
      <c r="K361" s="6">
        <v>2028</v>
      </c>
      <c r="L361" s="6">
        <v>2</v>
      </c>
      <c r="M361" s="6" t="s">
        <v>45</v>
      </c>
      <c r="N361" s="6" t="s">
        <v>250</v>
      </c>
      <c r="O361" s="6" t="s">
        <v>79</v>
      </c>
      <c r="P361" s="6" t="s">
        <v>320</v>
      </c>
      <c r="Q361" s="6" t="s">
        <v>321</v>
      </c>
      <c r="R361" s="35">
        <v>1942</v>
      </c>
      <c r="S361" s="6">
        <v>156</v>
      </c>
      <c r="T361" s="36" t="s">
        <v>253</v>
      </c>
      <c r="U361" s="46">
        <f>IF($L361&lt;=2,
IF($R361&lt;=RpmDesignStandard!$C$2,RpmDesignStandard!$D$2,
IF(AND($R361&gt;RpmDesignStandard!$B$3,$R361&lt;=RpmDesignStandard!$C$3),RpmDesignStandard!$D$3,RpmDesignStandard!$D$4)),
IF($R361&lt;=RpmDesignStandard!$C$5, RpmDesignStandard!$D$5,
IF(AND($R361&gt;RpmDesignStandard!$B$6,$R361&lt;=RpmDesignStandard!$C$6),RpmDesignStandard!$D$6,
IF(AND($R361&gt;RpmDesignStandard!$B$7,$R361&lt;=RpmDesignStandard!$C$7),RpmDesignStandard!$D$7,RpmDesignStandard!$D$8))))</f>
        <v>4</v>
      </c>
      <c r="V361" s="47">
        <f>U361*RpmDesignStandard!$H$1</f>
        <v>8</v>
      </c>
      <c r="W361" s="37" t="str">
        <f>VLOOKUP(A361,RPM_ProjectRecord!A:AB,8,FALSE)</f>
        <v/>
      </c>
      <c r="X361" s="38" t="str">
        <f t="shared" si="50"/>
        <v/>
      </c>
      <c r="Y361" s="38" t="str">
        <f t="shared" si="51"/>
        <v/>
      </c>
      <c r="Z361" s="38" t="str">
        <f t="shared" si="52"/>
        <v/>
      </c>
      <c r="AA361" s="38" t="str">
        <f t="shared" si="53"/>
        <v/>
      </c>
      <c r="AB361" s="38" t="str">
        <f t="shared" si="54"/>
        <v/>
      </c>
      <c r="AC361" s="38">
        <f>IF(VLOOKUP(A361,'3rdPhaseChipSeal'!A:L,12,FALSE)="","",VLOOKUP(A361,'3rdPhaseChipSeal'!A:L,12,FALSE))</f>
        <v>2028</v>
      </c>
      <c r="AD361" s="38" t="str">
        <f>IFERROR(IF(VLOOKUP(A361,RpmContracts!A:C,3,FALSE)="","",VLOOKUP(A361,RpmContracts!A:C,3,FALSE)),"")</f>
        <v/>
      </c>
      <c r="AE361" s="7" t="str">
        <f>IF(VLOOKUP(A361,'20yPlan'!A:B,2,FALSE)="","",VLOOKUP(A361,'20yPlan'!A:B,2,FALSE))</f>
        <v/>
      </c>
      <c r="AF361" s="7" t="str">
        <f>IF(VLOOKUP(A361,'20yPlan'!A:C,3,FALSE)="","",VLOOKUP(A361,'20yPlan'!A:C,3,FALSE))</f>
        <v/>
      </c>
      <c r="AG361" s="7" t="str">
        <f>IF(VLOOKUP(A361,'20yPlan'!A:D,4,FALSE)="","",VLOOKUP(A361,'20yPlan'!A:D,4,FALSE))</f>
        <v/>
      </c>
      <c r="AH361" s="7" t="str">
        <f>IF(VLOOKUP(A361,'20yPlan'!A:E,5,FALSE)="","",VLOOKUP(A361,'20yPlan'!A:E,5,FALSE))</f>
        <v/>
      </c>
      <c r="AI361" s="7" t="str">
        <f>IF(VLOOKUP(A361,'20yPlan'!A:F,6,FALSE)="","",VLOOKUP(A361,'20yPlan'!A:F,6,FALSE))</f>
        <v/>
      </c>
      <c r="AJ361" s="7" t="str">
        <f t="shared" si="55"/>
        <v>2028 Chip Seal</v>
      </c>
      <c r="AK361" s="7" t="str">
        <f t="shared" si="56"/>
        <v/>
      </c>
      <c r="AL361" s="39">
        <f t="shared" ca="1" si="57"/>
        <v>2025</v>
      </c>
      <c r="AM361" s="7" t="str">
        <f t="shared" si="58"/>
        <v/>
      </c>
      <c r="AN361" s="7" t="str">
        <f t="shared" si="59"/>
        <v/>
      </c>
    </row>
    <row r="362" spans="1:40">
      <c r="A362" s="6">
        <v>60385</v>
      </c>
      <c r="B362" s="6" t="s">
        <v>621</v>
      </c>
      <c r="C362" s="6" t="s">
        <v>1042</v>
      </c>
      <c r="D362" s="6">
        <v>74.799539999999993</v>
      </c>
      <c r="E362" s="6">
        <v>75.842928999999998</v>
      </c>
      <c r="F362" s="6" t="s">
        <v>1041</v>
      </c>
      <c r="G362" s="6" t="s">
        <v>1043</v>
      </c>
      <c r="H362" s="35">
        <v>18600</v>
      </c>
      <c r="I362" s="6" t="s">
        <v>44</v>
      </c>
      <c r="J362" s="6">
        <v>18</v>
      </c>
      <c r="K362" s="6"/>
      <c r="L362" s="6">
        <v>2</v>
      </c>
      <c r="M362" s="6" t="s">
        <v>45</v>
      </c>
      <c r="N362" s="6" t="s">
        <v>250</v>
      </c>
      <c r="O362" s="6" t="s">
        <v>79</v>
      </c>
      <c r="P362" s="6" t="s">
        <v>99</v>
      </c>
      <c r="Q362" s="6" t="s">
        <v>489</v>
      </c>
      <c r="R362" s="35">
        <v>1196</v>
      </c>
      <c r="S362" s="6">
        <v>95</v>
      </c>
      <c r="T362" s="36" t="s">
        <v>50</v>
      </c>
      <c r="U362" s="46">
        <f>IF($L362&lt;=2,
IF($R362&lt;=RpmDesignStandard!$C$2,RpmDesignStandard!$D$2,
IF(AND($R362&gt;RpmDesignStandard!$B$3,$R362&lt;=RpmDesignStandard!$C$3),RpmDesignStandard!$D$3,RpmDesignStandard!$D$4)),
IF($R362&lt;=RpmDesignStandard!$C$5, RpmDesignStandard!$D$5,
IF(AND($R362&gt;RpmDesignStandard!$B$6,$R362&lt;=RpmDesignStandard!$C$6),RpmDesignStandard!$D$6,
IF(AND($R362&gt;RpmDesignStandard!$B$7,$R362&lt;=RpmDesignStandard!$C$7),RpmDesignStandard!$D$7,RpmDesignStandard!$D$8))))</f>
        <v>4</v>
      </c>
      <c r="V362" s="47">
        <f>U362*RpmDesignStandard!$H$1</f>
        <v>8</v>
      </c>
      <c r="W362" s="37" t="str">
        <f>VLOOKUP(A362,RPM_ProjectRecord!A:AB,8,FALSE)</f>
        <v/>
      </c>
      <c r="X362" s="38" t="str">
        <f t="shared" si="50"/>
        <v/>
      </c>
      <c r="Y362" s="38" t="str">
        <f t="shared" si="51"/>
        <v/>
      </c>
      <c r="Z362" s="38" t="str">
        <f t="shared" si="52"/>
        <v/>
      </c>
      <c r="AA362" s="38" t="str">
        <f t="shared" si="53"/>
        <v/>
      </c>
      <c r="AB362" s="38" t="str">
        <f t="shared" si="54"/>
        <v/>
      </c>
      <c r="AC362" s="38" t="str">
        <f>IF(VLOOKUP(A362,'3rdPhaseChipSeal'!A:L,12,FALSE)="","",VLOOKUP(A362,'3rdPhaseChipSeal'!A:L,12,FALSE))</f>
        <v/>
      </c>
      <c r="AD362" s="38" t="str">
        <f>IFERROR(IF(VLOOKUP(A362,RpmContracts!A:C,3,FALSE)="","",VLOOKUP(A362,RpmContracts!A:C,3,FALSE)),"")</f>
        <v/>
      </c>
      <c r="AE362" s="7" t="str">
        <f>IF(VLOOKUP(A362,'20yPlan'!A:B,2,FALSE)="","",VLOOKUP(A362,'20yPlan'!A:B,2,FALSE))</f>
        <v/>
      </c>
      <c r="AF362" s="7" t="str">
        <f>IF(VLOOKUP(A362,'20yPlan'!A:C,3,FALSE)="","",VLOOKUP(A362,'20yPlan'!A:C,3,FALSE))</f>
        <v/>
      </c>
      <c r="AG362" s="7" t="str">
        <f>IF(VLOOKUP(A362,'20yPlan'!A:D,4,FALSE)="","",VLOOKUP(A362,'20yPlan'!A:D,4,FALSE))</f>
        <v/>
      </c>
      <c r="AH362" s="7" t="str">
        <f>IF(VLOOKUP(A362,'20yPlan'!A:E,5,FALSE)="","",VLOOKUP(A362,'20yPlan'!A:E,5,FALSE))</f>
        <v/>
      </c>
      <c r="AI362" s="7" t="str">
        <f>IF(VLOOKUP(A362,'20yPlan'!A:F,6,FALSE)="","",VLOOKUP(A362,'20yPlan'!A:F,6,FALSE))</f>
        <v/>
      </c>
      <c r="AJ362" s="7" t="str">
        <f t="shared" si="55"/>
        <v/>
      </c>
      <c r="AK362" s="7" t="str">
        <f t="shared" si="56"/>
        <v/>
      </c>
      <c r="AL362" s="39">
        <f t="shared" ca="1" si="57"/>
        <v>2025</v>
      </c>
      <c r="AM362" s="7" t="str">
        <f t="shared" si="58"/>
        <v/>
      </c>
      <c r="AN362" s="7" t="str">
        <f t="shared" si="59"/>
        <v/>
      </c>
    </row>
    <row r="363" spans="1:40">
      <c r="A363" s="6">
        <v>60386</v>
      </c>
      <c r="B363" s="6" t="s">
        <v>621</v>
      </c>
      <c r="C363" s="6" t="s">
        <v>1044</v>
      </c>
      <c r="D363" s="6">
        <v>75.842928999999998</v>
      </c>
      <c r="E363" s="6">
        <v>84.008572999999998</v>
      </c>
      <c r="F363" s="6" t="s">
        <v>1043</v>
      </c>
      <c r="G363" s="6" t="s">
        <v>650</v>
      </c>
      <c r="H363" s="35">
        <v>128686</v>
      </c>
      <c r="I363" s="6" t="s">
        <v>195</v>
      </c>
      <c r="J363" s="6">
        <v>4</v>
      </c>
      <c r="K363" s="6">
        <v>2027</v>
      </c>
      <c r="L363" s="6">
        <v>2</v>
      </c>
      <c r="M363" s="6" t="s">
        <v>45</v>
      </c>
      <c r="N363" s="6" t="s">
        <v>250</v>
      </c>
      <c r="O363" s="6" t="s">
        <v>79</v>
      </c>
      <c r="P363" s="6" t="s">
        <v>92</v>
      </c>
      <c r="Q363" s="6" t="s">
        <v>93</v>
      </c>
      <c r="R363" s="6">
        <v>422</v>
      </c>
      <c r="S363" s="6">
        <v>66</v>
      </c>
      <c r="T363" s="36" t="s">
        <v>253</v>
      </c>
      <c r="U363" s="46">
        <f>IF($L363&lt;=2,
IF($R363&lt;=RpmDesignStandard!$C$2,RpmDesignStandard!$D$2,
IF(AND($R363&gt;RpmDesignStandard!$B$3,$R363&lt;=RpmDesignStandard!$C$3),RpmDesignStandard!$D$3,RpmDesignStandard!$D$4)),
IF($R363&lt;=RpmDesignStandard!$C$5, RpmDesignStandard!$D$5,
IF(AND($R363&gt;RpmDesignStandard!$B$6,$R363&lt;=RpmDesignStandard!$C$6),RpmDesignStandard!$D$6,
IF(AND($R363&gt;RpmDesignStandard!$B$7,$R363&lt;=RpmDesignStandard!$C$7),RpmDesignStandard!$D$7,RpmDesignStandard!$D$8))))</f>
        <v>4</v>
      </c>
      <c r="V363" s="47">
        <f>U363*RpmDesignStandard!$H$1</f>
        <v>8</v>
      </c>
      <c r="W363" s="37" t="str">
        <f>VLOOKUP(A363,RPM_ProjectRecord!A:AB,8,FALSE)</f>
        <v/>
      </c>
      <c r="X363" s="38" t="str">
        <f t="shared" si="50"/>
        <v/>
      </c>
      <c r="Y363" s="38" t="str">
        <f t="shared" si="51"/>
        <v/>
      </c>
      <c r="Z363" s="38" t="str">
        <f t="shared" si="52"/>
        <v/>
      </c>
      <c r="AA363" s="38" t="str">
        <f t="shared" si="53"/>
        <v/>
      </c>
      <c r="AB363" s="38" t="str">
        <f t="shared" si="54"/>
        <v/>
      </c>
      <c r="AC363" s="38">
        <f>IF(VLOOKUP(A363,'3rdPhaseChipSeal'!A:L,12,FALSE)="","",VLOOKUP(A363,'3rdPhaseChipSeal'!A:L,12,FALSE))</f>
        <v>2041</v>
      </c>
      <c r="AD363" s="38" t="str">
        <f>IFERROR(IF(VLOOKUP(A363,RpmContracts!A:C,3,FALSE)="","",VLOOKUP(A363,RpmContracts!A:C,3,FALSE)),"")</f>
        <v/>
      </c>
      <c r="AE363" s="7" t="str">
        <f>IF(VLOOKUP(A363,'20yPlan'!A:B,2,FALSE)="","",VLOOKUP(A363,'20yPlan'!A:B,2,FALSE))</f>
        <v/>
      </c>
      <c r="AF363" s="7" t="str">
        <f>IF(VLOOKUP(A363,'20yPlan'!A:C,3,FALSE)="","",VLOOKUP(A363,'20yPlan'!A:C,3,FALSE))</f>
        <v/>
      </c>
      <c r="AG363" s="7" t="str">
        <f>IF(VLOOKUP(A363,'20yPlan'!A:D,4,FALSE)="","",VLOOKUP(A363,'20yPlan'!A:D,4,FALSE))</f>
        <v/>
      </c>
      <c r="AH363" s="7" t="str">
        <f>IF(VLOOKUP(A363,'20yPlan'!A:E,5,FALSE)="","",VLOOKUP(A363,'20yPlan'!A:E,5,FALSE))</f>
        <v/>
      </c>
      <c r="AI363" s="7" t="str">
        <f>IF(VLOOKUP(A363,'20yPlan'!A:F,6,FALSE)="","",VLOOKUP(A363,'20yPlan'!A:F,6,FALSE))</f>
        <v/>
      </c>
      <c r="AJ363" s="7" t="str">
        <f t="shared" si="55"/>
        <v>2041 Chip Seal</v>
      </c>
      <c r="AK363" s="7" t="str">
        <f t="shared" si="56"/>
        <v/>
      </c>
      <c r="AL363" s="39">
        <f t="shared" ca="1" si="57"/>
        <v>2025</v>
      </c>
      <c r="AM363" s="7" t="str">
        <f t="shared" si="58"/>
        <v/>
      </c>
      <c r="AN363" s="7" t="str">
        <f t="shared" si="59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C2CC-E717-4D9B-AACA-1AFBB6B88B87}">
  <sheetPr>
    <tabColor rgb="FF92D050"/>
  </sheetPr>
  <dimension ref="A1:AB363"/>
  <sheetViews>
    <sheetView workbookViewId="0">
      <pane ySplit="1" topLeftCell="A112" activePane="bottomLeft" state="frozen"/>
      <selection pane="bottomLeft" activeCell="D6" sqref="D6"/>
    </sheetView>
  </sheetViews>
  <sheetFormatPr defaultRowHeight="15"/>
  <cols>
    <col min="7" max="7" width="10.140625" customWidth="1"/>
  </cols>
  <sheetData>
    <row r="1" spans="1:28" ht="54.75" customHeight="1">
      <c r="A1" s="9" t="s">
        <v>0</v>
      </c>
      <c r="B1" s="9" t="s">
        <v>11</v>
      </c>
      <c r="C1" s="9" t="s">
        <v>17</v>
      </c>
      <c r="D1" s="9" t="s">
        <v>18</v>
      </c>
      <c r="E1" s="9" t="s">
        <v>1045</v>
      </c>
      <c r="F1" s="9" t="s">
        <v>1046</v>
      </c>
      <c r="G1" s="9" t="s">
        <v>1047</v>
      </c>
      <c r="H1" s="9" t="s">
        <v>1048</v>
      </c>
      <c r="I1" s="21" t="s">
        <v>1049</v>
      </c>
      <c r="J1" s="22">
        <v>2026</v>
      </c>
      <c r="K1" s="22">
        <v>2027</v>
      </c>
      <c r="L1" s="22">
        <v>2028</v>
      </c>
      <c r="M1" s="22">
        <v>2029</v>
      </c>
      <c r="N1" s="22">
        <v>2030</v>
      </c>
      <c r="O1" s="22">
        <v>2031</v>
      </c>
      <c r="P1" s="22">
        <v>2032</v>
      </c>
      <c r="Q1" s="22">
        <v>2033</v>
      </c>
      <c r="R1" s="22">
        <v>2034</v>
      </c>
      <c r="S1" s="22">
        <v>2035</v>
      </c>
      <c r="T1" s="22">
        <v>2036</v>
      </c>
      <c r="U1" s="22">
        <v>2037</v>
      </c>
      <c r="V1" s="22">
        <v>2038</v>
      </c>
      <c r="W1" s="22">
        <v>2039</v>
      </c>
      <c r="X1" s="22">
        <v>2040</v>
      </c>
      <c r="Y1" s="22">
        <v>2041</v>
      </c>
      <c r="Z1" s="22">
        <v>2042</v>
      </c>
      <c r="AA1" s="22">
        <v>2042</v>
      </c>
      <c r="AB1" s="22">
        <v>2042</v>
      </c>
    </row>
    <row r="2" spans="1:28">
      <c r="A2" s="23">
        <v>60000</v>
      </c>
      <c r="B2" s="23">
        <v>2</v>
      </c>
      <c r="C2" s="24">
        <v>3656</v>
      </c>
      <c r="D2" s="23">
        <v>986</v>
      </c>
      <c r="E2" s="23">
        <v>4</v>
      </c>
      <c r="F2" s="23"/>
      <c r="G2" s="23"/>
      <c r="H2" s="25" t="str">
        <f>IF(MAX(I2:AB2)=0,"",MAX(I2:AB2))</f>
        <v/>
      </c>
      <c r="I2" s="2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>
      <c r="A3" s="26">
        <v>60001</v>
      </c>
      <c r="B3" s="26">
        <v>4</v>
      </c>
      <c r="C3" s="27">
        <v>14526</v>
      </c>
      <c r="D3" s="27">
        <v>6148</v>
      </c>
      <c r="E3" s="26">
        <v>3</v>
      </c>
      <c r="F3" s="26"/>
      <c r="G3" s="26"/>
      <c r="H3" s="28" t="str">
        <f t="shared" ref="H3:H66" si="0">IF(MAX(I3:AB3)=0,"",MAX(I3:AB3))</f>
        <v/>
      </c>
      <c r="I3" s="26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>
      <c r="A4" s="26">
        <v>60002</v>
      </c>
      <c r="B4" s="26">
        <v>4</v>
      </c>
      <c r="C4" s="27">
        <v>15003</v>
      </c>
      <c r="D4" s="27">
        <v>4991</v>
      </c>
      <c r="E4" s="26">
        <v>3</v>
      </c>
      <c r="F4" s="26"/>
      <c r="G4" s="26"/>
      <c r="H4" s="28" t="str">
        <f t="shared" si="0"/>
        <v/>
      </c>
      <c r="I4" s="26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>
      <c r="A5" s="26">
        <v>60003</v>
      </c>
      <c r="B5" s="26">
        <v>4</v>
      </c>
      <c r="C5" s="27">
        <v>15539</v>
      </c>
      <c r="D5" s="27">
        <v>6135</v>
      </c>
      <c r="E5" s="26">
        <v>3</v>
      </c>
      <c r="F5" s="26"/>
      <c r="G5" s="26"/>
      <c r="H5" s="28" t="str">
        <f t="shared" si="0"/>
        <v/>
      </c>
      <c r="I5" s="26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>
      <c r="A6" s="26">
        <v>60004</v>
      </c>
      <c r="B6" s="26">
        <v>4</v>
      </c>
      <c r="C6" s="27">
        <v>19060</v>
      </c>
      <c r="D6" s="27">
        <v>12948</v>
      </c>
      <c r="E6" s="26">
        <v>3</v>
      </c>
      <c r="F6" s="26"/>
      <c r="G6" s="26"/>
      <c r="H6" s="28" t="str">
        <f t="shared" si="0"/>
        <v/>
      </c>
      <c r="I6" s="26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>
      <c r="A7" s="26">
        <v>60005</v>
      </c>
      <c r="B7" s="26">
        <v>4</v>
      </c>
      <c r="C7" s="27">
        <v>17394</v>
      </c>
      <c r="D7" s="27">
        <v>6116</v>
      </c>
      <c r="E7" s="26">
        <v>3</v>
      </c>
      <c r="F7" s="26"/>
      <c r="G7" s="26"/>
      <c r="H7" s="28" t="str">
        <f t="shared" si="0"/>
        <v/>
      </c>
      <c r="I7" s="26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>
      <c r="A8" s="26">
        <v>60006</v>
      </c>
      <c r="B8" s="26">
        <v>4</v>
      </c>
      <c r="C8" s="27">
        <v>17458</v>
      </c>
      <c r="D8" s="27">
        <v>6486</v>
      </c>
      <c r="E8" s="26">
        <v>3</v>
      </c>
      <c r="F8" s="26"/>
      <c r="G8" s="26">
        <v>2022</v>
      </c>
      <c r="H8" s="28">
        <f t="shared" si="0"/>
        <v>2022</v>
      </c>
      <c r="I8" s="26">
        <v>2022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>
      <c r="A9" s="26">
        <v>60007</v>
      </c>
      <c r="B9" s="26">
        <v>4</v>
      </c>
      <c r="C9" s="27">
        <v>16956</v>
      </c>
      <c r="D9" s="27">
        <v>5780</v>
      </c>
      <c r="E9" s="26">
        <v>3</v>
      </c>
      <c r="F9" s="26"/>
      <c r="G9" s="26"/>
      <c r="H9" s="28" t="str">
        <f t="shared" si="0"/>
        <v/>
      </c>
      <c r="I9" s="26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>
      <c r="A10" s="26">
        <v>60008</v>
      </c>
      <c r="B10" s="26">
        <v>4</v>
      </c>
      <c r="C10" s="27">
        <v>16523</v>
      </c>
      <c r="D10" s="27">
        <v>6112</v>
      </c>
      <c r="E10" s="26">
        <v>3</v>
      </c>
      <c r="F10" s="26"/>
      <c r="G10" s="26"/>
      <c r="H10" s="28" t="str">
        <f t="shared" si="0"/>
        <v/>
      </c>
      <c r="I10" s="26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>
      <c r="A11" s="26">
        <v>60009</v>
      </c>
      <c r="B11" s="26">
        <v>4</v>
      </c>
      <c r="C11" s="27">
        <v>17112</v>
      </c>
      <c r="D11" s="27">
        <v>5662</v>
      </c>
      <c r="E11" s="26">
        <v>3</v>
      </c>
      <c r="F11" s="26"/>
      <c r="G11" s="26"/>
      <c r="H11" s="28" t="str">
        <f t="shared" si="0"/>
        <v/>
      </c>
      <c r="I11" s="26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>
      <c r="A12" s="26">
        <v>60010</v>
      </c>
      <c r="B12" s="26">
        <v>4</v>
      </c>
      <c r="C12" s="27">
        <v>16328</v>
      </c>
      <c r="D12" s="27">
        <v>6350</v>
      </c>
      <c r="E12" s="26">
        <v>3</v>
      </c>
      <c r="F12" s="26"/>
      <c r="G12" s="26"/>
      <c r="H12" s="28" t="str">
        <f t="shared" si="0"/>
        <v/>
      </c>
      <c r="I12" s="26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>
      <c r="A13" s="26">
        <v>60011</v>
      </c>
      <c r="B13" s="26">
        <v>4</v>
      </c>
      <c r="C13" s="27">
        <v>16917</v>
      </c>
      <c r="D13" s="27">
        <v>6712</v>
      </c>
      <c r="E13" s="26">
        <v>3</v>
      </c>
      <c r="F13" s="26"/>
      <c r="G13" s="26"/>
      <c r="H13" s="28" t="str">
        <f t="shared" si="0"/>
        <v/>
      </c>
      <c r="I13" s="26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>
      <c r="A14" s="26">
        <v>60012</v>
      </c>
      <c r="B14" s="26">
        <v>4</v>
      </c>
      <c r="C14" s="27">
        <v>18617</v>
      </c>
      <c r="D14" s="27">
        <v>5005</v>
      </c>
      <c r="E14" s="26">
        <v>3</v>
      </c>
      <c r="F14" s="26"/>
      <c r="G14" s="26"/>
      <c r="H14" s="28" t="str">
        <f t="shared" si="0"/>
        <v/>
      </c>
      <c r="I14" s="26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>
      <c r="A15" s="26">
        <v>60013</v>
      </c>
      <c r="B15" s="26">
        <v>4</v>
      </c>
      <c r="C15" s="27">
        <v>29956</v>
      </c>
      <c r="D15" s="27">
        <v>3336</v>
      </c>
      <c r="E15" s="26">
        <v>3</v>
      </c>
      <c r="F15" s="26"/>
      <c r="G15" s="26"/>
      <c r="H15" s="28" t="str">
        <f t="shared" si="0"/>
        <v/>
      </c>
      <c r="I15" s="26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>
      <c r="A16" s="26">
        <v>60014</v>
      </c>
      <c r="B16" s="26">
        <v>4</v>
      </c>
      <c r="C16" s="27">
        <v>29775</v>
      </c>
      <c r="D16" s="27">
        <v>3802</v>
      </c>
      <c r="E16" s="26">
        <v>3</v>
      </c>
      <c r="F16" s="26"/>
      <c r="G16" s="26"/>
      <c r="H16" s="28" t="str">
        <f t="shared" si="0"/>
        <v/>
      </c>
      <c r="I16" s="26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>
      <c r="A17" s="26">
        <v>60015</v>
      </c>
      <c r="B17" s="26">
        <v>4</v>
      </c>
      <c r="C17" s="27">
        <v>16435</v>
      </c>
      <c r="D17" s="27">
        <v>2679</v>
      </c>
      <c r="E17" s="26">
        <v>3</v>
      </c>
      <c r="F17" s="26"/>
      <c r="G17" s="26"/>
      <c r="H17" s="28" t="str">
        <f t="shared" si="0"/>
        <v/>
      </c>
      <c r="I17" s="26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>
      <c r="A18" s="26">
        <v>60016</v>
      </c>
      <c r="B18" s="26">
        <v>4</v>
      </c>
      <c r="C18" s="27">
        <v>11096</v>
      </c>
      <c r="D18" s="27">
        <v>2596</v>
      </c>
      <c r="E18" s="26">
        <v>3</v>
      </c>
      <c r="F18" s="26"/>
      <c r="G18" s="26"/>
      <c r="H18" s="28" t="str">
        <f t="shared" si="0"/>
        <v/>
      </c>
      <c r="I18" s="26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>
      <c r="A19" s="26">
        <v>60017</v>
      </c>
      <c r="B19" s="26">
        <v>4</v>
      </c>
      <c r="C19" s="27">
        <v>9900</v>
      </c>
      <c r="D19" s="27">
        <v>2252</v>
      </c>
      <c r="E19" s="26">
        <v>4</v>
      </c>
      <c r="F19" s="26"/>
      <c r="G19" s="26"/>
      <c r="H19" s="28" t="str">
        <f t="shared" si="0"/>
        <v/>
      </c>
      <c r="I19" s="26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>
      <c r="A20" s="26">
        <v>60018</v>
      </c>
      <c r="B20" s="26">
        <v>4</v>
      </c>
      <c r="C20" s="27">
        <v>9034</v>
      </c>
      <c r="D20" s="27">
        <v>1637</v>
      </c>
      <c r="E20" s="26">
        <v>4</v>
      </c>
      <c r="F20" s="26"/>
      <c r="G20" s="26"/>
      <c r="H20" s="28" t="str">
        <f t="shared" si="0"/>
        <v/>
      </c>
      <c r="I20" s="26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>
      <c r="A21" s="26">
        <v>60019</v>
      </c>
      <c r="B21" s="26">
        <v>4</v>
      </c>
      <c r="C21" s="27">
        <v>8895</v>
      </c>
      <c r="D21" s="27">
        <v>2383</v>
      </c>
      <c r="E21" s="26">
        <v>4</v>
      </c>
      <c r="F21" s="26"/>
      <c r="G21" s="26"/>
      <c r="H21" s="28" t="str">
        <f t="shared" si="0"/>
        <v/>
      </c>
      <c r="I21" s="26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>
      <c r="A22" s="26">
        <v>60020</v>
      </c>
      <c r="B22" s="26">
        <v>4</v>
      </c>
      <c r="C22" s="27">
        <v>8895</v>
      </c>
      <c r="D22" s="27">
        <v>2383</v>
      </c>
      <c r="E22" s="26">
        <v>4</v>
      </c>
      <c r="F22" s="26"/>
      <c r="G22" s="26"/>
      <c r="H22" s="28" t="str">
        <f t="shared" si="0"/>
        <v/>
      </c>
      <c r="I22" s="26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>
      <c r="A23" s="26">
        <v>60021</v>
      </c>
      <c r="B23" s="26">
        <v>4</v>
      </c>
      <c r="C23" s="27">
        <v>38467</v>
      </c>
      <c r="D23" s="27">
        <v>5122</v>
      </c>
      <c r="E23" s="26">
        <v>2</v>
      </c>
      <c r="F23" s="26"/>
      <c r="G23" s="26"/>
      <c r="H23" s="28" t="str">
        <f t="shared" si="0"/>
        <v/>
      </c>
      <c r="I23" s="26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>
      <c r="A24" s="26">
        <v>60022</v>
      </c>
      <c r="B24" s="26">
        <v>4</v>
      </c>
      <c r="C24" s="27">
        <v>25274</v>
      </c>
      <c r="D24" s="27">
        <v>3433</v>
      </c>
      <c r="E24" s="26">
        <v>3</v>
      </c>
      <c r="F24" s="26">
        <v>2025</v>
      </c>
      <c r="G24" s="26"/>
      <c r="H24" s="28">
        <f t="shared" si="0"/>
        <v>2025</v>
      </c>
      <c r="I24" s="26">
        <v>2025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8">
      <c r="A25" s="26">
        <v>60023</v>
      </c>
      <c r="B25" s="26">
        <v>4</v>
      </c>
      <c r="C25" s="27">
        <v>23678</v>
      </c>
      <c r="D25" s="27">
        <v>3386</v>
      </c>
      <c r="E25" s="26">
        <v>3</v>
      </c>
      <c r="F25" s="26"/>
      <c r="G25" s="26"/>
      <c r="H25" s="28" t="str">
        <f t="shared" si="0"/>
        <v/>
      </c>
      <c r="I25" s="26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>
      <c r="A26" s="26">
        <v>60024</v>
      </c>
      <c r="B26" s="26">
        <v>4</v>
      </c>
      <c r="C26" s="27">
        <v>19159</v>
      </c>
      <c r="D26" s="27">
        <v>2941</v>
      </c>
      <c r="E26" s="26">
        <v>3</v>
      </c>
      <c r="F26" s="26">
        <v>2021</v>
      </c>
      <c r="G26" s="26"/>
      <c r="H26" s="28">
        <f t="shared" si="0"/>
        <v>2021</v>
      </c>
      <c r="I26" s="26">
        <v>2021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>
      <c r="A27" s="26">
        <v>60025</v>
      </c>
      <c r="B27" s="26">
        <v>4</v>
      </c>
      <c r="C27" s="27">
        <v>11679</v>
      </c>
      <c r="D27" s="27">
        <v>1791</v>
      </c>
      <c r="E27" s="26">
        <v>3</v>
      </c>
      <c r="F27" s="26">
        <v>2025</v>
      </c>
      <c r="G27" s="26"/>
      <c r="H27" s="28">
        <f t="shared" si="0"/>
        <v>2025</v>
      </c>
      <c r="I27" s="26">
        <v>2025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>
      <c r="A28" s="26">
        <v>60026</v>
      </c>
      <c r="B28" s="26">
        <v>4</v>
      </c>
      <c r="C28" s="27">
        <v>13676</v>
      </c>
      <c r="D28" s="27">
        <v>2097</v>
      </c>
      <c r="E28" s="26">
        <v>3</v>
      </c>
      <c r="F28" s="26"/>
      <c r="G28" s="26"/>
      <c r="H28" s="28" t="str">
        <f t="shared" si="0"/>
        <v/>
      </c>
      <c r="I28" s="26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>
      <c r="A29" s="26">
        <v>60027</v>
      </c>
      <c r="B29" s="26">
        <v>4</v>
      </c>
      <c r="C29" s="27">
        <v>10183</v>
      </c>
      <c r="D29" s="27">
        <v>1562</v>
      </c>
      <c r="E29" s="26">
        <v>3</v>
      </c>
      <c r="F29" s="26">
        <v>2025</v>
      </c>
      <c r="G29" s="26"/>
      <c r="H29" s="28">
        <f t="shared" si="0"/>
        <v>2025</v>
      </c>
      <c r="I29" s="26">
        <v>2025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>
      <c r="A30" s="26">
        <v>60028</v>
      </c>
      <c r="B30" s="26">
        <v>4</v>
      </c>
      <c r="C30" s="27">
        <v>9109</v>
      </c>
      <c r="D30" s="27">
        <v>1397</v>
      </c>
      <c r="E30" s="26">
        <v>4</v>
      </c>
      <c r="F30" s="26">
        <v>2025</v>
      </c>
      <c r="G30" s="26"/>
      <c r="H30" s="28">
        <f t="shared" si="0"/>
        <v>2025</v>
      </c>
      <c r="I30" s="26">
        <v>2025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>
      <c r="A31" s="26">
        <v>60029</v>
      </c>
      <c r="B31" s="26">
        <v>4</v>
      </c>
      <c r="C31" s="27">
        <v>8302</v>
      </c>
      <c r="D31" s="27">
        <v>1274</v>
      </c>
      <c r="E31" s="26">
        <v>4</v>
      </c>
      <c r="F31" s="26"/>
      <c r="G31" s="26">
        <v>2022</v>
      </c>
      <c r="H31" s="28">
        <f t="shared" si="0"/>
        <v>2022</v>
      </c>
      <c r="I31" s="26">
        <v>2022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>
      <c r="A32" s="26">
        <v>60030</v>
      </c>
      <c r="B32" s="26">
        <v>4</v>
      </c>
      <c r="C32" s="27">
        <v>9801</v>
      </c>
      <c r="D32" s="27">
        <v>1503</v>
      </c>
      <c r="E32" s="26">
        <v>4</v>
      </c>
      <c r="F32" s="26"/>
      <c r="G32" s="26"/>
      <c r="H32" s="28" t="str">
        <f t="shared" si="0"/>
        <v/>
      </c>
      <c r="I32" s="26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>
      <c r="A33" s="26">
        <v>60031</v>
      </c>
      <c r="B33" s="26">
        <v>4</v>
      </c>
      <c r="C33" s="27">
        <v>12706</v>
      </c>
      <c r="D33" s="27">
        <v>1948</v>
      </c>
      <c r="E33" s="26">
        <v>3</v>
      </c>
      <c r="F33" s="26"/>
      <c r="G33" s="26"/>
      <c r="H33" s="28" t="str">
        <f t="shared" si="0"/>
        <v/>
      </c>
      <c r="I33" s="26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>
      <c r="A34" s="26">
        <v>60032</v>
      </c>
      <c r="B34" s="26">
        <v>4</v>
      </c>
      <c r="C34" s="27">
        <v>15749</v>
      </c>
      <c r="D34" s="27">
        <v>2415</v>
      </c>
      <c r="E34" s="26">
        <v>3</v>
      </c>
      <c r="F34" s="26"/>
      <c r="G34" s="26"/>
      <c r="H34" s="28" t="str">
        <f t="shared" si="0"/>
        <v/>
      </c>
      <c r="I34" s="26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>
      <c r="A35" s="26">
        <v>60033</v>
      </c>
      <c r="B35" s="26">
        <v>4</v>
      </c>
      <c r="C35" s="27">
        <v>6107</v>
      </c>
      <c r="D35" s="27">
        <v>1020</v>
      </c>
      <c r="E35" s="26">
        <v>4</v>
      </c>
      <c r="F35" s="26"/>
      <c r="G35" s="26">
        <v>2022</v>
      </c>
      <c r="H35" s="28">
        <f t="shared" si="0"/>
        <v>2022</v>
      </c>
      <c r="I35" s="26">
        <v>2022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>
      <c r="A36" s="26">
        <v>60034</v>
      </c>
      <c r="B36" s="26">
        <v>4</v>
      </c>
      <c r="C36" s="27">
        <v>8395</v>
      </c>
      <c r="D36" s="27">
        <v>1413</v>
      </c>
      <c r="E36" s="26">
        <v>4</v>
      </c>
      <c r="F36" s="26"/>
      <c r="G36" s="26"/>
      <c r="H36" s="28" t="str">
        <f t="shared" si="0"/>
        <v/>
      </c>
      <c r="I36" s="26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>
      <c r="A37" s="26">
        <v>60035</v>
      </c>
      <c r="B37" s="26">
        <v>2</v>
      </c>
      <c r="C37" s="27">
        <v>7306</v>
      </c>
      <c r="D37" s="27">
        <v>2412</v>
      </c>
      <c r="E37" s="26">
        <v>3</v>
      </c>
      <c r="F37" s="26"/>
      <c r="G37" s="26">
        <v>2024</v>
      </c>
      <c r="H37" s="28">
        <f t="shared" si="0"/>
        <v>2024</v>
      </c>
      <c r="I37" s="26">
        <v>2024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>
      <c r="A38" s="26">
        <v>60036</v>
      </c>
      <c r="B38" s="26">
        <v>2</v>
      </c>
      <c r="C38" s="27">
        <v>5511</v>
      </c>
      <c r="D38" s="26">
        <v>961</v>
      </c>
      <c r="E38" s="26">
        <v>4</v>
      </c>
      <c r="F38" s="26"/>
      <c r="G38" s="26"/>
      <c r="H38" s="28" t="str">
        <f t="shared" si="0"/>
        <v/>
      </c>
      <c r="I38" s="26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>
      <c r="A39" s="26">
        <v>60038</v>
      </c>
      <c r="B39" s="26">
        <v>2</v>
      </c>
      <c r="C39" s="27">
        <v>3199</v>
      </c>
      <c r="D39" s="26">
        <v>959</v>
      </c>
      <c r="E39" s="26">
        <v>4</v>
      </c>
      <c r="F39" s="26"/>
      <c r="G39" s="26"/>
      <c r="H39" s="28" t="str">
        <f t="shared" si="0"/>
        <v/>
      </c>
      <c r="I39" s="26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>
      <c r="A40" s="26">
        <v>60039</v>
      </c>
      <c r="B40" s="26">
        <v>4</v>
      </c>
      <c r="C40" s="27">
        <v>20057</v>
      </c>
      <c r="D40" s="27">
        <v>6012</v>
      </c>
      <c r="E40" s="26">
        <v>3</v>
      </c>
      <c r="F40" s="26">
        <v>2024</v>
      </c>
      <c r="G40" s="26"/>
      <c r="H40" s="28">
        <f t="shared" si="0"/>
        <v>2024</v>
      </c>
      <c r="I40" s="26">
        <v>2024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>
      <c r="A41" s="26">
        <v>60040</v>
      </c>
      <c r="B41" s="26">
        <v>4</v>
      </c>
      <c r="C41" s="27">
        <v>12486</v>
      </c>
      <c r="D41" s="27">
        <v>1281</v>
      </c>
      <c r="E41" s="26">
        <v>3</v>
      </c>
      <c r="F41" s="26"/>
      <c r="G41" s="26">
        <v>2024</v>
      </c>
      <c r="H41" s="28">
        <f t="shared" si="0"/>
        <v>2024</v>
      </c>
      <c r="I41" s="26">
        <v>2024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>
      <c r="A42" s="26">
        <v>60041</v>
      </c>
      <c r="B42" s="26">
        <v>2</v>
      </c>
      <c r="C42" s="27">
        <v>6037</v>
      </c>
      <c r="D42" s="26">
        <v>165</v>
      </c>
      <c r="E42" s="26">
        <v>3</v>
      </c>
      <c r="F42" s="26"/>
      <c r="G42" s="26"/>
      <c r="H42" s="28" t="str">
        <f t="shared" si="0"/>
        <v/>
      </c>
      <c r="I42" s="26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>
      <c r="A43" s="26">
        <v>60042</v>
      </c>
      <c r="B43" s="26">
        <v>4</v>
      </c>
      <c r="C43" s="27">
        <v>4883</v>
      </c>
      <c r="D43" s="27">
        <v>2027</v>
      </c>
      <c r="E43" s="26">
        <v>4</v>
      </c>
      <c r="F43" s="26"/>
      <c r="G43" s="26"/>
      <c r="H43" s="28" t="str">
        <f t="shared" si="0"/>
        <v/>
      </c>
      <c r="I43" s="26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>
      <c r="A44" s="26">
        <v>60043</v>
      </c>
      <c r="B44" s="26">
        <v>4</v>
      </c>
      <c r="C44" s="27">
        <v>6124</v>
      </c>
      <c r="D44" s="27">
        <v>2283</v>
      </c>
      <c r="E44" s="26">
        <v>4</v>
      </c>
      <c r="F44" s="26"/>
      <c r="G44" s="26"/>
      <c r="H44" s="28" t="str">
        <f t="shared" si="0"/>
        <v/>
      </c>
      <c r="I44" s="26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>
      <c r="A45" s="26">
        <v>60044</v>
      </c>
      <c r="B45" s="26">
        <v>2</v>
      </c>
      <c r="C45" s="27">
        <v>7316</v>
      </c>
      <c r="D45" s="26">
        <v>938</v>
      </c>
      <c r="E45" s="26">
        <v>3</v>
      </c>
      <c r="F45" s="26"/>
      <c r="G45" s="26"/>
      <c r="H45" s="28" t="str">
        <f t="shared" si="0"/>
        <v/>
      </c>
      <c r="I45" s="26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>
      <c r="A46" s="26">
        <v>60045</v>
      </c>
      <c r="B46" s="26">
        <v>2</v>
      </c>
      <c r="C46" s="27">
        <v>10325</v>
      </c>
      <c r="D46" s="26">
        <v>992</v>
      </c>
      <c r="E46" s="26">
        <v>3</v>
      </c>
      <c r="F46" s="26"/>
      <c r="G46" s="26">
        <v>2021</v>
      </c>
      <c r="H46" s="28">
        <f t="shared" si="0"/>
        <v>2021</v>
      </c>
      <c r="I46" s="26">
        <v>2021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>
      <c r="A47" s="26">
        <v>60046</v>
      </c>
      <c r="B47" s="26">
        <v>2</v>
      </c>
      <c r="C47" s="27">
        <v>13898</v>
      </c>
      <c r="D47" s="27">
        <v>1274</v>
      </c>
      <c r="E47" s="26">
        <v>3</v>
      </c>
      <c r="F47" s="26"/>
      <c r="G47" s="26"/>
      <c r="H47" s="28" t="str">
        <f t="shared" si="0"/>
        <v/>
      </c>
      <c r="I47" s="26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>
      <c r="A48" s="26">
        <v>60047</v>
      </c>
      <c r="B48" s="26">
        <v>2</v>
      </c>
      <c r="C48" s="27">
        <v>14892</v>
      </c>
      <c r="D48" s="27">
        <v>1236</v>
      </c>
      <c r="E48" s="26">
        <v>3</v>
      </c>
      <c r="F48" s="26"/>
      <c r="G48" s="26">
        <v>2021</v>
      </c>
      <c r="H48" s="28">
        <f t="shared" si="0"/>
        <v>2021</v>
      </c>
      <c r="I48" s="26">
        <v>2021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>
      <c r="A49" s="26">
        <v>60048</v>
      </c>
      <c r="B49" s="26">
        <v>2</v>
      </c>
      <c r="C49" s="27">
        <v>16747</v>
      </c>
      <c r="D49" s="27">
        <v>1008</v>
      </c>
      <c r="E49" s="26">
        <v>3</v>
      </c>
      <c r="F49" s="26"/>
      <c r="G49" s="26">
        <v>2021</v>
      </c>
      <c r="H49" s="28">
        <f t="shared" si="0"/>
        <v>2021</v>
      </c>
      <c r="I49" s="26">
        <v>2021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>
      <c r="A50" s="26">
        <v>60049</v>
      </c>
      <c r="B50" s="26">
        <v>2</v>
      </c>
      <c r="C50" s="27">
        <v>6797</v>
      </c>
      <c r="D50" s="26">
        <v>810</v>
      </c>
      <c r="E50" s="26">
        <v>3</v>
      </c>
      <c r="F50" s="26">
        <v>2025</v>
      </c>
      <c r="G50" s="26"/>
      <c r="H50" s="28">
        <f t="shared" si="0"/>
        <v>2025</v>
      </c>
      <c r="I50" s="26">
        <v>2025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>
      <c r="A51" s="26">
        <v>60050</v>
      </c>
      <c r="B51" s="26">
        <v>2</v>
      </c>
      <c r="C51" s="27">
        <v>6450</v>
      </c>
      <c r="D51" s="26">
        <v>844</v>
      </c>
      <c r="E51" s="26">
        <v>3</v>
      </c>
      <c r="F51" s="26"/>
      <c r="G51" s="26"/>
      <c r="H51" s="28" t="str">
        <f t="shared" si="0"/>
        <v/>
      </c>
      <c r="I51" s="26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>
      <c r="A52" s="26">
        <v>60051</v>
      </c>
      <c r="B52" s="26">
        <v>2</v>
      </c>
      <c r="C52" s="27">
        <v>5706</v>
      </c>
      <c r="D52" s="26">
        <v>703</v>
      </c>
      <c r="E52" s="26">
        <v>4</v>
      </c>
      <c r="F52" s="26"/>
      <c r="G52" s="26"/>
      <c r="H52" s="28" t="str">
        <f t="shared" si="0"/>
        <v/>
      </c>
      <c r="I52" s="23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>
      <c r="A53" s="26">
        <v>60052</v>
      </c>
      <c r="B53" s="26">
        <v>2</v>
      </c>
      <c r="C53" s="27">
        <v>4760</v>
      </c>
      <c r="D53" s="26">
        <v>635</v>
      </c>
      <c r="E53" s="26">
        <v>4</v>
      </c>
      <c r="F53" s="26"/>
      <c r="G53" s="26"/>
      <c r="H53" s="28" t="str">
        <f t="shared" si="0"/>
        <v/>
      </c>
      <c r="I53" s="26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>
      <c r="A54" s="26">
        <v>60053</v>
      </c>
      <c r="B54" s="26">
        <v>2</v>
      </c>
      <c r="C54" s="27">
        <v>7959</v>
      </c>
      <c r="D54" s="27">
        <v>1063</v>
      </c>
      <c r="E54" s="26">
        <v>3</v>
      </c>
      <c r="F54" s="26"/>
      <c r="G54" s="26"/>
      <c r="H54" s="28" t="str">
        <f t="shared" si="0"/>
        <v/>
      </c>
      <c r="I54" s="26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>
      <c r="A55" s="26">
        <v>60054</v>
      </c>
      <c r="B55" s="26">
        <v>2</v>
      </c>
      <c r="C55" s="27">
        <v>2259</v>
      </c>
      <c r="D55" s="26">
        <v>302</v>
      </c>
      <c r="E55" s="26">
        <v>4</v>
      </c>
      <c r="F55" s="26"/>
      <c r="G55" s="26"/>
      <c r="H55" s="28" t="str">
        <f t="shared" si="0"/>
        <v/>
      </c>
      <c r="I55" s="26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>
      <c r="A56" s="26">
        <v>60056</v>
      </c>
      <c r="B56" s="26">
        <v>2</v>
      </c>
      <c r="C56" s="27">
        <v>1496</v>
      </c>
      <c r="D56" s="26">
        <v>214</v>
      </c>
      <c r="E56" s="26">
        <v>4</v>
      </c>
      <c r="F56" s="26"/>
      <c r="G56" s="26"/>
      <c r="H56" s="28" t="str">
        <f t="shared" si="0"/>
        <v/>
      </c>
      <c r="I56" s="26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>
      <c r="A57" s="26">
        <v>60057</v>
      </c>
      <c r="B57" s="26">
        <v>2</v>
      </c>
      <c r="C57" s="27">
        <v>4796</v>
      </c>
      <c r="D57" s="26">
        <v>707</v>
      </c>
      <c r="E57" s="26">
        <v>4</v>
      </c>
      <c r="F57" s="26"/>
      <c r="G57" s="26"/>
      <c r="H57" s="28" t="str">
        <f t="shared" si="0"/>
        <v/>
      </c>
      <c r="I57" s="26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>
      <c r="A58" s="26">
        <v>60058</v>
      </c>
      <c r="B58" s="26">
        <v>2</v>
      </c>
      <c r="C58" s="27">
        <v>2760</v>
      </c>
      <c r="D58" s="26">
        <v>183</v>
      </c>
      <c r="E58" s="26">
        <v>4</v>
      </c>
      <c r="F58" s="26"/>
      <c r="G58" s="26"/>
      <c r="H58" s="28" t="str">
        <f t="shared" si="0"/>
        <v/>
      </c>
      <c r="I58" s="26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>
      <c r="A59" s="26">
        <v>60059</v>
      </c>
      <c r="B59" s="26">
        <v>2</v>
      </c>
      <c r="C59" s="26">
        <v>425</v>
      </c>
      <c r="D59" s="26">
        <v>30</v>
      </c>
      <c r="E59" s="26">
        <v>4</v>
      </c>
      <c r="F59" s="26"/>
      <c r="G59" s="26"/>
      <c r="H59" s="28" t="str">
        <f t="shared" si="0"/>
        <v/>
      </c>
      <c r="I59" s="26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>
      <c r="A60" s="26">
        <v>60060</v>
      </c>
      <c r="B60" s="26">
        <v>2</v>
      </c>
      <c r="C60" s="26">
        <v>202</v>
      </c>
      <c r="D60" s="26">
        <v>19</v>
      </c>
      <c r="E60" s="26">
        <v>4</v>
      </c>
      <c r="F60" s="26"/>
      <c r="G60" s="26"/>
      <c r="H60" s="28" t="str">
        <f t="shared" si="0"/>
        <v/>
      </c>
      <c r="I60" s="26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>
      <c r="A61" s="26">
        <v>60061</v>
      </c>
      <c r="B61" s="26">
        <v>2</v>
      </c>
      <c r="C61" s="26">
        <v>375</v>
      </c>
      <c r="D61" s="26">
        <v>30</v>
      </c>
      <c r="E61" s="26">
        <v>4</v>
      </c>
      <c r="F61" s="26"/>
      <c r="G61" s="26"/>
      <c r="H61" s="28" t="str">
        <f t="shared" si="0"/>
        <v/>
      </c>
      <c r="I61" s="26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>
      <c r="A62" s="26">
        <v>60062</v>
      </c>
      <c r="B62" s="26">
        <v>2</v>
      </c>
      <c r="C62" s="27">
        <v>2806</v>
      </c>
      <c r="D62" s="26">
        <v>417</v>
      </c>
      <c r="E62" s="26">
        <v>4</v>
      </c>
      <c r="F62" s="26"/>
      <c r="G62" s="26"/>
      <c r="H62" s="28" t="str">
        <f t="shared" si="0"/>
        <v/>
      </c>
      <c r="I62" s="26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>
      <c r="A63" s="26">
        <v>60063</v>
      </c>
      <c r="B63" s="26">
        <v>2</v>
      </c>
      <c r="C63" s="27">
        <v>2313</v>
      </c>
      <c r="D63" s="26">
        <v>275</v>
      </c>
      <c r="E63" s="26">
        <v>4</v>
      </c>
      <c r="F63" s="26"/>
      <c r="G63" s="26"/>
      <c r="H63" s="28" t="str">
        <f t="shared" si="0"/>
        <v/>
      </c>
      <c r="I63" s="26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>
      <c r="A64" s="26">
        <v>60064</v>
      </c>
      <c r="B64" s="26">
        <v>2</v>
      </c>
      <c r="C64" s="27">
        <v>3685</v>
      </c>
      <c r="D64" s="26">
        <v>370</v>
      </c>
      <c r="E64" s="26">
        <v>4</v>
      </c>
      <c r="F64" s="26"/>
      <c r="G64" s="26">
        <v>2022</v>
      </c>
      <c r="H64" s="28">
        <f t="shared" si="0"/>
        <v>2022</v>
      </c>
      <c r="I64" s="26">
        <v>2022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>
      <c r="A65" s="26">
        <v>60065</v>
      </c>
      <c r="B65" s="26">
        <v>2</v>
      </c>
      <c r="C65" s="27">
        <v>1666</v>
      </c>
      <c r="D65" s="26">
        <v>201</v>
      </c>
      <c r="E65" s="26">
        <v>4</v>
      </c>
      <c r="F65" s="26"/>
      <c r="G65" s="26"/>
      <c r="H65" s="28" t="str">
        <f t="shared" si="0"/>
        <v/>
      </c>
      <c r="I65" s="26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>
      <c r="A66" s="26">
        <v>60066</v>
      </c>
      <c r="B66" s="26">
        <v>2</v>
      </c>
      <c r="C66" s="27">
        <v>1922</v>
      </c>
      <c r="D66" s="26">
        <v>231</v>
      </c>
      <c r="E66" s="26">
        <v>4</v>
      </c>
      <c r="F66" s="26"/>
      <c r="G66" s="26"/>
      <c r="H66" s="28" t="str">
        <f t="shared" si="0"/>
        <v/>
      </c>
      <c r="I66" s="26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>
      <c r="A67" s="26">
        <v>60067</v>
      </c>
      <c r="B67" s="26">
        <v>2</v>
      </c>
      <c r="C67" s="26">
        <v>951</v>
      </c>
      <c r="D67" s="26">
        <v>113</v>
      </c>
      <c r="E67" s="26">
        <v>4</v>
      </c>
      <c r="F67" s="26"/>
      <c r="G67" s="26"/>
      <c r="H67" s="28" t="str">
        <f t="shared" ref="H67:H130" si="1">IF(MAX(I67:AB67)=0,"",MAX(I67:AB67))</f>
        <v/>
      </c>
      <c r="I67" s="26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>
      <c r="A68" s="26">
        <v>60068</v>
      </c>
      <c r="B68" s="26">
        <v>2</v>
      </c>
      <c r="C68" s="27">
        <v>7932</v>
      </c>
      <c r="D68" s="27">
        <v>1051</v>
      </c>
      <c r="E68" s="26">
        <v>3</v>
      </c>
      <c r="F68" s="26"/>
      <c r="G68" s="26"/>
      <c r="H68" s="28" t="str">
        <f t="shared" si="1"/>
        <v/>
      </c>
      <c r="I68" s="26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>
      <c r="A69" s="26">
        <v>60069</v>
      </c>
      <c r="B69" s="26">
        <v>2</v>
      </c>
      <c r="C69" s="26">
        <v>942</v>
      </c>
      <c r="D69" s="26">
        <v>54</v>
      </c>
      <c r="E69" s="26">
        <v>4</v>
      </c>
      <c r="F69" s="26"/>
      <c r="G69" s="26"/>
      <c r="H69" s="28" t="str">
        <f t="shared" si="1"/>
        <v/>
      </c>
      <c r="I69" s="26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>
      <c r="A70" s="26">
        <v>60070</v>
      </c>
      <c r="B70" s="26">
        <v>2</v>
      </c>
      <c r="C70" s="26">
        <v>432</v>
      </c>
      <c r="D70" s="26">
        <v>26</v>
      </c>
      <c r="E70" s="26">
        <v>4</v>
      </c>
      <c r="F70" s="26"/>
      <c r="G70" s="26">
        <v>2021</v>
      </c>
      <c r="H70" s="28">
        <f t="shared" si="1"/>
        <v>2021</v>
      </c>
      <c r="I70" s="26">
        <v>2021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>
      <c r="A71" s="26">
        <v>60071</v>
      </c>
      <c r="B71" s="26">
        <v>2</v>
      </c>
      <c r="C71" s="27">
        <v>2678</v>
      </c>
      <c r="D71" s="26">
        <v>352</v>
      </c>
      <c r="E71" s="26">
        <v>4</v>
      </c>
      <c r="F71" s="26"/>
      <c r="G71" s="26"/>
      <c r="H71" s="28" t="str">
        <f t="shared" si="1"/>
        <v/>
      </c>
      <c r="I71" s="26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>
      <c r="A72" s="26">
        <v>60072</v>
      </c>
      <c r="B72" s="26">
        <v>2</v>
      </c>
      <c r="C72" s="27">
        <v>4014</v>
      </c>
      <c r="D72" s="26">
        <v>434</v>
      </c>
      <c r="E72" s="26">
        <v>4</v>
      </c>
      <c r="F72" s="26">
        <v>2025</v>
      </c>
      <c r="G72" s="26"/>
      <c r="H72" s="28">
        <f t="shared" si="1"/>
        <v>2025</v>
      </c>
      <c r="I72" s="26">
        <v>2025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>
      <c r="A73" s="26">
        <v>60073</v>
      </c>
      <c r="B73" s="26">
        <v>2</v>
      </c>
      <c r="C73" s="27">
        <v>2899</v>
      </c>
      <c r="D73" s="26">
        <v>226</v>
      </c>
      <c r="E73" s="26">
        <v>4</v>
      </c>
      <c r="F73" s="26"/>
      <c r="G73" s="26"/>
      <c r="H73" s="28" t="str">
        <f t="shared" si="1"/>
        <v/>
      </c>
      <c r="I73" s="26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>
      <c r="A74" s="26">
        <v>60074</v>
      </c>
      <c r="B74" s="26">
        <v>2</v>
      </c>
      <c r="C74" s="27">
        <v>3864</v>
      </c>
      <c r="D74" s="26">
        <v>350</v>
      </c>
      <c r="E74" s="26">
        <v>4</v>
      </c>
      <c r="F74" s="26"/>
      <c r="G74" s="26">
        <v>2021</v>
      </c>
      <c r="H74" s="28">
        <f t="shared" si="1"/>
        <v>2021</v>
      </c>
      <c r="I74" s="26">
        <v>2021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>
      <c r="A75" s="26">
        <v>60075</v>
      </c>
      <c r="B75" s="26">
        <v>2</v>
      </c>
      <c r="C75" s="27">
        <v>8311</v>
      </c>
      <c r="D75" s="26">
        <v>639</v>
      </c>
      <c r="E75" s="26">
        <v>3</v>
      </c>
      <c r="F75" s="26"/>
      <c r="G75" s="26">
        <v>2022</v>
      </c>
      <c r="H75" s="28">
        <f t="shared" si="1"/>
        <v>2022</v>
      </c>
      <c r="I75" s="26">
        <v>2022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>
      <c r="A76" s="26">
        <v>60076</v>
      </c>
      <c r="B76" s="26">
        <v>2</v>
      </c>
      <c r="C76" s="27">
        <v>8168</v>
      </c>
      <c r="D76" s="26">
        <v>573</v>
      </c>
      <c r="E76" s="26">
        <v>3</v>
      </c>
      <c r="F76" s="26"/>
      <c r="G76" s="26"/>
      <c r="H76" s="28" t="str">
        <f t="shared" si="1"/>
        <v/>
      </c>
      <c r="I76" s="2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>
      <c r="A77" s="26">
        <v>60077</v>
      </c>
      <c r="B77" s="26">
        <v>2</v>
      </c>
      <c r="C77" s="27">
        <v>3615</v>
      </c>
      <c r="D77" s="26">
        <v>188</v>
      </c>
      <c r="E77" s="26">
        <v>4</v>
      </c>
      <c r="F77" s="26"/>
      <c r="G77" s="26"/>
      <c r="H77" s="28" t="str">
        <f t="shared" si="1"/>
        <v/>
      </c>
      <c r="I77" s="26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>
      <c r="A78" s="26">
        <v>60078</v>
      </c>
      <c r="B78" s="26">
        <v>2</v>
      </c>
      <c r="C78" s="27">
        <v>1739</v>
      </c>
      <c r="D78" s="26">
        <v>190</v>
      </c>
      <c r="E78" s="26">
        <v>4</v>
      </c>
      <c r="F78" s="26"/>
      <c r="G78" s="26"/>
      <c r="H78" s="28" t="str">
        <f t="shared" si="1"/>
        <v/>
      </c>
      <c r="I78" s="26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>
      <c r="A79" s="26">
        <v>60079</v>
      </c>
      <c r="B79" s="26">
        <v>2</v>
      </c>
      <c r="C79" s="27">
        <v>3250</v>
      </c>
      <c r="D79" s="26">
        <v>174</v>
      </c>
      <c r="E79" s="26">
        <v>4</v>
      </c>
      <c r="F79" s="26"/>
      <c r="G79" s="26"/>
      <c r="H79" s="28" t="str">
        <f t="shared" si="1"/>
        <v/>
      </c>
      <c r="I79" s="26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>
      <c r="A80" s="26">
        <v>60080</v>
      </c>
      <c r="B80" s="26">
        <v>2</v>
      </c>
      <c r="C80" s="27">
        <v>1890</v>
      </c>
      <c r="D80" s="26">
        <v>217</v>
      </c>
      <c r="E80" s="26">
        <v>4</v>
      </c>
      <c r="F80" s="26"/>
      <c r="G80" s="26"/>
      <c r="H80" s="28" t="str">
        <f t="shared" si="1"/>
        <v/>
      </c>
      <c r="I80" s="26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>
      <c r="A81" s="26">
        <v>60081</v>
      </c>
      <c r="B81" s="26">
        <v>2</v>
      </c>
      <c r="C81" s="26">
        <v>308</v>
      </c>
      <c r="D81" s="26">
        <v>29</v>
      </c>
      <c r="E81" s="26">
        <v>4</v>
      </c>
      <c r="F81" s="26"/>
      <c r="G81" s="26"/>
      <c r="H81" s="28" t="str">
        <f t="shared" si="1"/>
        <v/>
      </c>
      <c r="I81" s="26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>
      <c r="A82" s="26">
        <v>60082</v>
      </c>
      <c r="B82" s="26">
        <v>2</v>
      </c>
      <c r="C82" s="27">
        <v>3812</v>
      </c>
      <c r="D82" s="26">
        <v>458</v>
      </c>
      <c r="E82" s="26">
        <v>4</v>
      </c>
      <c r="F82" s="26">
        <v>2024</v>
      </c>
      <c r="G82" s="26"/>
      <c r="H82" s="28">
        <f t="shared" si="1"/>
        <v>2024</v>
      </c>
      <c r="I82" s="26">
        <v>2024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>
      <c r="A83" s="26">
        <v>60083</v>
      </c>
      <c r="B83" s="26">
        <v>2</v>
      </c>
      <c r="C83" s="27">
        <v>4677</v>
      </c>
      <c r="D83" s="26">
        <v>563</v>
      </c>
      <c r="E83" s="26">
        <v>4</v>
      </c>
      <c r="F83" s="26"/>
      <c r="G83" s="26"/>
      <c r="H83" s="28" t="str">
        <f t="shared" si="1"/>
        <v/>
      </c>
      <c r="I83" s="26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>
      <c r="A84" s="26">
        <v>60085</v>
      </c>
      <c r="B84" s="26">
        <v>2</v>
      </c>
      <c r="C84" s="26">
        <v>289</v>
      </c>
      <c r="D84" s="26">
        <v>34</v>
      </c>
      <c r="E84" s="26">
        <v>4</v>
      </c>
      <c r="F84" s="26"/>
      <c r="G84" s="26"/>
      <c r="H84" s="28" t="str">
        <f t="shared" si="1"/>
        <v/>
      </c>
      <c r="I84" s="26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>
      <c r="A85" s="26">
        <v>60086</v>
      </c>
      <c r="B85" s="26">
        <v>2</v>
      </c>
      <c r="C85" s="27">
        <v>1432</v>
      </c>
      <c r="D85" s="26">
        <v>171</v>
      </c>
      <c r="E85" s="26">
        <v>4</v>
      </c>
      <c r="F85" s="26"/>
      <c r="G85" s="26"/>
      <c r="H85" s="28" t="str">
        <f t="shared" si="1"/>
        <v/>
      </c>
      <c r="I85" s="26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>
      <c r="A86" s="26">
        <v>60087</v>
      </c>
      <c r="B86" s="26">
        <v>2</v>
      </c>
      <c r="C86" s="27">
        <v>1781</v>
      </c>
      <c r="D86" s="26">
        <v>193</v>
      </c>
      <c r="E86" s="26">
        <v>4</v>
      </c>
      <c r="F86" s="26"/>
      <c r="G86" s="26"/>
      <c r="H86" s="28" t="str">
        <f t="shared" si="1"/>
        <v/>
      </c>
      <c r="I86" s="26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>
      <c r="A87" s="26">
        <v>60088</v>
      </c>
      <c r="B87" s="26">
        <v>2</v>
      </c>
      <c r="C87" s="26">
        <v>743</v>
      </c>
      <c r="D87" s="26">
        <v>40</v>
      </c>
      <c r="E87" s="26">
        <v>4</v>
      </c>
      <c r="F87" s="26"/>
      <c r="G87" s="26"/>
      <c r="H87" s="28" t="str">
        <f t="shared" si="1"/>
        <v/>
      </c>
      <c r="I87" s="26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>
      <c r="A88" s="26">
        <v>60089</v>
      </c>
      <c r="B88" s="26">
        <v>2</v>
      </c>
      <c r="C88" s="26">
        <v>167</v>
      </c>
      <c r="D88" s="26">
        <v>13</v>
      </c>
      <c r="E88" s="26">
        <v>4</v>
      </c>
      <c r="F88" s="26">
        <v>2022</v>
      </c>
      <c r="G88" s="26"/>
      <c r="H88" s="28">
        <f t="shared" si="1"/>
        <v>2022</v>
      </c>
      <c r="I88" s="26">
        <v>2022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>
      <c r="A89" s="26">
        <v>60090</v>
      </c>
      <c r="B89" s="26">
        <v>2</v>
      </c>
      <c r="C89" s="27">
        <v>1021</v>
      </c>
      <c r="D89" s="26">
        <v>123</v>
      </c>
      <c r="E89" s="26">
        <v>4</v>
      </c>
      <c r="F89" s="26"/>
      <c r="G89" s="26">
        <v>2024</v>
      </c>
      <c r="H89" s="28">
        <f t="shared" si="1"/>
        <v>2024</v>
      </c>
      <c r="I89" s="26">
        <v>2024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>
      <c r="A90" s="26">
        <v>60091</v>
      </c>
      <c r="B90" s="26">
        <v>2</v>
      </c>
      <c r="C90" s="27">
        <v>3585</v>
      </c>
      <c r="D90" s="26">
        <v>554</v>
      </c>
      <c r="E90" s="26">
        <v>4</v>
      </c>
      <c r="F90" s="26"/>
      <c r="G90" s="26"/>
      <c r="H90" s="28" t="str">
        <f t="shared" si="1"/>
        <v/>
      </c>
      <c r="I90" s="26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>
      <c r="A91" s="26">
        <v>60092</v>
      </c>
      <c r="B91" s="26">
        <v>2</v>
      </c>
      <c r="C91" s="27">
        <v>12797</v>
      </c>
      <c r="D91" s="26">
        <v>973</v>
      </c>
      <c r="E91" s="26">
        <v>3</v>
      </c>
      <c r="F91" s="26"/>
      <c r="G91" s="26"/>
      <c r="H91" s="28" t="str">
        <f t="shared" si="1"/>
        <v/>
      </c>
      <c r="I91" s="26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>
      <c r="A92" s="26">
        <v>60093</v>
      </c>
      <c r="B92" s="26">
        <v>2</v>
      </c>
      <c r="C92" s="26">
        <v>802</v>
      </c>
      <c r="D92" s="26">
        <v>25</v>
      </c>
      <c r="E92" s="26">
        <v>4</v>
      </c>
      <c r="F92" s="26"/>
      <c r="G92" s="26"/>
      <c r="H92" s="28" t="str">
        <f t="shared" si="1"/>
        <v/>
      </c>
      <c r="I92" s="26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>
      <c r="A93" s="26">
        <v>60094</v>
      </c>
      <c r="B93" s="26">
        <v>2</v>
      </c>
      <c r="C93" s="26">
        <v>105</v>
      </c>
      <c r="D93" s="26">
        <v>5</v>
      </c>
      <c r="E93" s="26">
        <v>4</v>
      </c>
      <c r="F93" s="26"/>
      <c r="G93" s="26"/>
      <c r="H93" s="28" t="str">
        <f t="shared" si="1"/>
        <v/>
      </c>
      <c r="I93" s="26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>
      <c r="A94" s="26">
        <v>60095</v>
      </c>
      <c r="B94" s="26">
        <v>2</v>
      </c>
      <c r="C94" s="26">
        <v>763</v>
      </c>
      <c r="D94" s="26">
        <v>46</v>
      </c>
      <c r="E94" s="26">
        <v>4</v>
      </c>
      <c r="F94" s="26"/>
      <c r="G94" s="26">
        <v>2021</v>
      </c>
      <c r="H94" s="28">
        <f t="shared" si="1"/>
        <v>2021</v>
      </c>
      <c r="I94" s="26">
        <v>2021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>
      <c r="A95" s="26">
        <v>60096</v>
      </c>
      <c r="B95" s="26">
        <v>2</v>
      </c>
      <c r="C95" s="27">
        <v>1699</v>
      </c>
      <c r="D95" s="26">
        <v>185</v>
      </c>
      <c r="E95" s="26">
        <v>4</v>
      </c>
      <c r="F95" s="26">
        <v>2022</v>
      </c>
      <c r="G95" s="26"/>
      <c r="H95" s="28">
        <f t="shared" si="1"/>
        <v>2022</v>
      </c>
      <c r="I95" s="26">
        <v>2022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>
      <c r="A96" s="26">
        <v>60097</v>
      </c>
      <c r="B96" s="26">
        <v>2</v>
      </c>
      <c r="C96" s="27">
        <v>1020</v>
      </c>
      <c r="D96" s="26">
        <v>121</v>
      </c>
      <c r="E96" s="26">
        <v>4</v>
      </c>
      <c r="F96" s="26"/>
      <c r="G96" s="26"/>
      <c r="H96" s="28" t="str">
        <f t="shared" si="1"/>
        <v/>
      </c>
      <c r="I96" s="26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>
      <c r="A97" s="26">
        <v>60098</v>
      </c>
      <c r="B97" s="26">
        <v>2</v>
      </c>
      <c r="C97" s="27">
        <v>1365</v>
      </c>
      <c r="D97" s="26">
        <v>164</v>
      </c>
      <c r="E97" s="26">
        <v>4</v>
      </c>
      <c r="F97" s="26"/>
      <c r="G97" s="26"/>
      <c r="H97" s="28" t="str">
        <f t="shared" si="1"/>
        <v/>
      </c>
      <c r="I97" s="26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>
      <c r="A98" s="26">
        <v>60099</v>
      </c>
      <c r="B98" s="26">
        <v>2</v>
      </c>
      <c r="C98" s="27">
        <v>1243</v>
      </c>
      <c r="D98" s="26">
        <v>149</v>
      </c>
      <c r="E98" s="26">
        <v>4</v>
      </c>
      <c r="F98" s="26"/>
      <c r="G98" s="26">
        <v>2024</v>
      </c>
      <c r="H98" s="28">
        <f t="shared" si="1"/>
        <v>2024</v>
      </c>
      <c r="I98" s="26">
        <v>2024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>
      <c r="A99" s="26">
        <v>60100</v>
      </c>
      <c r="B99" s="26">
        <v>2</v>
      </c>
      <c r="C99" s="26">
        <v>115</v>
      </c>
      <c r="D99" s="26">
        <v>15</v>
      </c>
      <c r="E99" s="26">
        <v>4</v>
      </c>
      <c r="F99" s="26"/>
      <c r="G99" s="26"/>
      <c r="H99" s="28" t="str">
        <f t="shared" si="1"/>
        <v/>
      </c>
      <c r="I99" s="26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>
      <c r="A100" s="26">
        <v>60102</v>
      </c>
      <c r="B100" s="26">
        <v>2</v>
      </c>
      <c r="C100" s="27">
        <v>3161</v>
      </c>
      <c r="D100" s="26">
        <v>852</v>
      </c>
      <c r="E100" s="26">
        <v>4</v>
      </c>
      <c r="F100" s="26"/>
      <c r="G100" s="26"/>
      <c r="H100" s="28" t="str">
        <f t="shared" si="1"/>
        <v/>
      </c>
      <c r="I100" s="26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>
      <c r="A101" s="26">
        <v>60103</v>
      </c>
      <c r="B101" s="26">
        <v>2</v>
      </c>
      <c r="C101" s="27">
        <v>2450</v>
      </c>
      <c r="D101" s="26">
        <v>560</v>
      </c>
      <c r="E101" s="26">
        <v>4</v>
      </c>
      <c r="F101" s="26"/>
      <c r="G101" s="26">
        <v>2021</v>
      </c>
      <c r="H101" s="28">
        <f t="shared" si="1"/>
        <v>2021</v>
      </c>
      <c r="I101" s="26">
        <v>2021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>
      <c r="A102" s="26">
        <v>60104</v>
      </c>
      <c r="B102" s="26">
        <v>2</v>
      </c>
      <c r="C102" s="27">
        <v>2611</v>
      </c>
      <c r="D102" s="26">
        <v>549</v>
      </c>
      <c r="E102" s="26">
        <v>4</v>
      </c>
      <c r="F102" s="26"/>
      <c r="G102" s="26">
        <v>2021</v>
      </c>
      <c r="H102" s="28">
        <f t="shared" si="1"/>
        <v>2021</v>
      </c>
      <c r="I102" s="26">
        <v>2021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>
      <c r="A103" s="26">
        <v>60105</v>
      </c>
      <c r="B103" s="26">
        <v>2</v>
      </c>
      <c r="C103" s="27">
        <v>1333</v>
      </c>
      <c r="D103" s="26">
        <v>114</v>
      </c>
      <c r="E103" s="26">
        <v>4</v>
      </c>
      <c r="F103" s="26"/>
      <c r="G103" s="26"/>
      <c r="H103" s="28" t="str">
        <f t="shared" si="1"/>
        <v/>
      </c>
      <c r="I103" s="26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>
      <c r="A104" s="26">
        <v>60106</v>
      </c>
      <c r="B104" s="26">
        <v>2</v>
      </c>
      <c r="C104" s="27">
        <v>7339</v>
      </c>
      <c r="D104" s="26">
        <v>225</v>
      </c>
      <c r="E104" s="26">
        <v>3</v>
      </c>
      <c r="F104" s="26"/>
      <c r="G104" s="26"/>
      <c r="H104" s="28" t="str">
        <f t="shared" si="1"/>
        <v/>
      </c>
      <c r="I104" s="26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>
      <c r="A105" s="26">
        <v>60107</v>
      </c>
      <c r="B105" s="26">
        <v>4</v>
      </c>
      <c r="C105" s="27">
        <v>15403</v>
      </c>
      <c r="D105" s="27">
        <v>1025</v>
      </c>
      <c r="E105" s="26">
        <v>3</v>
      </c>
      <c r="F105" s="26">
        <v>2024</v>
      </c>
      <c r="G105" s="26"/>
      <c r="H105" s="28">
        <f t="shared" si="1"/>
        <v>2024</v>
      </c>
      <c r="I105" s="26">
        <v>2024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>
      <c r="A106" s="26">
        <v>60108</v>
      </c>
      <c r="B106" s="26">
        <v>4</v>
      </c>
      <c r="C106" s="27">
        <v>21560</v>
      </c>
      <c r="D106" s="27">
        <v>1556</v>
      </c>
      <c r="E106" s="26">
        <v>3</v>
      </c>
      <c r="F106" s="26"/>
      <c r="G106" s="26"/>
      <c r="H106" s="28" t="str">
        <f t="shared" si="1"/>
        <v/>
      </c>
      <c r="I106" s="26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>
      <c r="A107" s="26">
        <v>60109</v>
      </c>
      <c r="B107" s="26">
        <v>2</v>
      </c>
      <c r="C107" s="26">
        <v>999</v>
      </c>
      <c r="D107" s="26">
        <v>110</v>
      </c>
      <c r="E107" s="26">
        <v>4</v>
      </c>
      <c r="F107" s="26"/>
      <c r="G107" s="26"/>
      <c r="H107" s="28" t="str">
        <f t="shared" si="1"/>
        <v/>
      </c>
      <c r="I107" s="26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>
      <c r="A108" s="26">
        <v>60110</v>
      </c>
      <c r="B108" s="26">
        <v>2</v>
      </c>
      <c r="C108" s="27">
        <v>8843</v>
      </c>
      <c r="D108" s="26">
        <v>718</v>
      </c>
      <c r="E108" s="26">
        <v>3</v>
      </c>
      <c r="F108" s="26"/>
      <c r="G108" s="26"/>
      <c r="H108" s="28" t="str">
        <f t="shared" si="1"/>
        <v/>
      </c>
      <c r="I108" s="26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>
      <c r="A109" s="26">
        <v>60111</v>
      </c>
      <c r="B109" s="26">
        <v>2</v>
      </c>
      <c r="C109" s="27">
        <v>3859</v>
      </c>
      <c r="D109" s="26">
        <v>467</v>
      </c>
      <c r="E109" s="26">
        <v>4</v>
      </c>
      <c r="F109" s="26"/>
      <c r="G109" s="26"/>
      <c r="H109" s="28" t="str">
        <f t="shared" si="1"/>
        <v/>
      </c>
      <c r="I109" s="26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>
      <c r="A110" s="26">
        <v>60112</v>
      </c>
      <c r="B110" s="26">
        <v>2</v>
      </c>
      <c r="C110" s="27">
        <v>2119</v>
      </c>
      <c r="D110" s="26">
        <v>271</v>
      </c>
      <c r="E110" s="26">
        <v>4</v>
      </c>
      <c r="F110" s="26"/>
      <c r="G110" s="26"/>
      <c r="H110" s="28" t="str">
        <f t="shared" si="1"/>
        <v/>
      </c>
      <c r="I110" s="26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>
      <c r="A111" s="26">
        <v>60113</v>
      </c>
      <c r="B111" s="26">
        <v>2</v>
      </c>
      <c r="C111" s="27">
        <v>3069</v>
      </c>
      <c r="D111" s="26">
        <v>369</v>
      </c>
      <c r="E111" s="26">
        <v>4</v>
      </c>
      <c r="F111" s="26">
        <v>2021</v>
      </c>
      <c r="G111" s="26"/>
      <c r="H111" s="28">
        <f t="shared" si="1"/>
        <v>2021</v>
      </c>
      <c r="I111" s="26">
        <v>2021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>
      <c r="A112" s="26">
        <v>60114</v>
      </c>
      <c r="B112" s="26">
        <v>2</v>
      </c>
      <c r="C112" s="26">
        <v>493</v>
      </c>
      <c r="D112" s="26">
        <v>17</v>
      </c>
      <c r="E112" s="26">
        <v>4</v>
      </c>
      <c r="F112" s="26"/>
      <c r="G112" s="26">
        <v>2021</v>
      </c>
      <c r="H112" s="28">
        <f t="shared" si="1"/>
        <v>2021</v>
      </c>
      <c r="I112" s="26">
        <v>2021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>
      <c r="A113" s="26">
        <v>60115</v>
      </c>
      <c r="B113" s="26">
        <v>2</v>
      </c>
      <c r="C113" s="26">
        <v>289</v>
      </c>
      <c r="D113" s="26">
        <v>10</v>
      </c>
      <c r="E113" s="26">
        <v>4</v>
      </c>
      <c r="F113" s="26">
        <v>2021</v>
      </c>
      <c r="G113" s="26"/>
      <c r="H113" s="28">
        <f t="shared" si="1"/>
        <v>2021</v>
      </c>
      <c r="I113" s="26">
        <v>2021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>
      <c r="A114" s="26">
        <v>60116</v>
      </c>
      <c r="B114" s="26">
        <v>2</v>
      </c>
      <c r="C114" s="26">
        <v>874</v>
      </c>
      <c r="D114" s="26">
        <v>96</v>
      </c>
      <c r="E114" s="26">
        <v>4</v>
      </c>
      <c r="F114" s="26"/>
      <c r="G114" s="26">
        <v>2022</v>
      </c>
      <c r="H114" s="28">
        <f t="shared" si="1"/>
        <v>2022</v>
      </c>
      <c r="I114" s="26">
        <v>2022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>
      <c r="A115" s="26">
        <v>60117</v>
      </c>
      <c r="B115" s="26">
        <v>2</v>
      </c>
      <c r="C115" s="27">
        <v>3666</v>
      </c>
      <c r="D115" s="26">
        <v>434</v>
      </c>
      <c r="E115" s="26">
        <v>4</v>
      </c>
      <c r="F115" s="26"/>
      <c r="G115" s="26"/>
      <c r="H115" s="28" t="str">
        <f t="shared" si="1"/>
        <v/>
      </c>
      <c r="I115" s="26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>
      <c r="A116" s="26">
        <v>60118</v>
      </c>
      <c r="B116" s="26">
        <v>2</v>
      </c>
      <c r="C116" s="27">
        <v>1240</v>
      </c>
      <c r="D116" s="26">
        <v>147</v>
      </c>
      <c r="E116" s="26">
        <v>4</v>
      </c>
      <c r="F116" s="26">
        <v>2024</v>
      </c>
      <c r="G116" s="26"/>
      <c r="H116" s="28">
        <f t="shared" si="1"/>
        <v>2024</v>
      </c>
      <c r="I116" s="26">
        <v>2024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>
      <c r="A117" s="26">
        <v>60119</v>
      </c>
      <c r="B117" s="26">
        <v>2</v>
      </c>
      <c r="C117" s="27">
        <v>4711</v>
      </c>
      <c r="D117" s="26">
        <v>684</v>
      </c>
      <c r="E117" s="26">
        <v>4</v>
      </c>
      <c r="F117" s="26">
        <v>2025</v>
      </c>
      <c r="G117" s="26"/>
      <c r="H117" s="28">
        <f t="shared" si="1"/>
        <v>2025</v>
      </c>
      <c r="I117" s="26">
        <v>2025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>
      <c r="A118" s="26">
        <v>60120</v>
      </c>
      <c r="B118" s="26">
        <v>2</v>
      </c>
      <c r="C118" s="27">
        <v>6119</v>
      </c>
      <c r="D118" s="26">
        <v>892</v>
      </c>
      <c r="E118" s="26">
        <v>3</v>
      </c>
      <c r="F118" s="26">
        <v>2025</v>
      </c>
      <c r="G118" s="26"/>
      <c r="H118" s="28">
        <f t="shared" si="1"/>
        <v>2025</v>
      </c>
      <c r="I118" s="26">
        <v>2025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>
      <c r="A119" s="26">
        <v>60121</v>
      </c>
      <c r="B119" s="26">
        <v>2</v>
      </c>
      <c r="C119" s="27">
        <v>8237</v>
      </c>
      <c r="D119" s="27">
        <v>1202</v>
      </c>
      <c r="E119" s="26">
        <v>3</v>
      </c>
      <c r="F119" s="26"/>
      <c r="G119" s="26"/>
      <c r="H119" s="28" t="str">
        <f t="shared" si="1"/>
        <v/>
      </c>
      <c r="I119" s="26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>
      <c r="A120" s="26">
        <v>60122</v>
      </c>
      <c r="B120" s="26">
        <v>2</v>
      </c>
      <c r="C120" s="27">
        <v>6797</v>
      </c>
      <c r="D120" s="26">
        <v>991</v>
      </c>
      <c r="E120" s="26">
        <v>3</v>
      </c>
      <c r="F120" s="26"/>
      <c r="G120" s="26"/>
      <c r="H120" s="28" t="str">
        <f t="shared" si="1"/>
        <v/>
      </c>
      <c r="I120" s="26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>
      <c r="A121" s="26">
        <v>60123</v>
      </c>
      <c r="B121" s="26">
        <v>2</v>
      </c>
      <c r="C121" s="27">
        <v>4057</v>
      </c>
      <c r="D121" s="26">
        <v>592</v>
      </c>
      <c r="E121" s="26">
        <v>4</v>
      </c>
      <c r="F121" s="26"/>
      <c r="G121" s="26"/>
      <c r="H121" s="28" t="str">
        <f t="shared" si="1"/>
        <v/>
      </c>
      <c r="I121" s="26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>
      <c r="A122" s="26">
        <v>60124</v>
      </c>
      <c r="B122" s="26">
        <v>2</v>
      </c>
      <c r="C122" s="27">
        <v>2005</v>
      </c>
      <c r="D122" s="26">
        <v>292</v>
      </c>
      <c r="E122" s="26">
        <v>4</v>
      </c>
      <c r="F122" s="26">
        <v>2022</v>
      </c>
      <c r="G122" s="26"/>
      <c r="H122" s="28">
        <f t="shared" si="1"/>
        <v>2022</v>
      </c>
      <c r="I122" s="26">
        <v>2022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>
      <c r="A123" s="26">
        <v>60125</v>
      </c>
      <c r="B123" s="26">
        <v>2</v>
      </c>
      <c r="C123" s="27">
        <v>4407</v>
      </c>
      <c r="D123" s="26">
        <v>338</v>
      </c>
      <c r="E123" s="26">
        <v>4</v>
      </c>
      <c r="F123" s="26">
        <v>2022</v>
      </c>
      <c r="G123" s="26"/>
      <c r="H123" s="28">
        <f t="shared" si="1"/>
        <v>2022</v>
      </c>
      <c r="I123" s="26">
        <v>2022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>
      <c r="A124" s="26">
        <v>60126</v>
      </c>
      <c r="B124" s="26">
        <v>2</v>
      </c>
      <c r="C124" s="27">
        <v>1679</v>
      </c>
      <c r="D124" s="26">
        <v>131</v>
      </c>
      <c r="E124" s="26">
        <v>4</v>
      </c>
      <c r="F124" s="26"/>
      <c r="G124" s="26"/>
      <c r="H124" s="28" t="str">
        <f t="shared" si="1"/>
        <v/>
      </c>
      <c r="I124" s="26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>
      <c r="A125" s="26">
        <v>60127</v>
      </c>
      <c r="B125" s="26">
        <v>2</v>
      </c>
      <c r="C125" s="27">
        <v>1438</v>
      </c>
      <c r="D125" s="26">
        <v>285</v>
      </c>
      <c r="E125" s="26">
        <v>4</v>
      </c>
      <c r="F125" s="26"/>
      <c r="G125" s="26"/>
      <c r="H125" s="28" t="str">
        <f t="shared" si="1"/>
        <v/>
      </c>
      <c r="I125" s="26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>
      <c r="A126" s="26">
        <v>60128</v>
      </c>
      <c r="B126" s="26">
        <v>2</v>
      </c>
      <c r="C126" s="27">
        <v>1567</v>
      </c>
      <c r="D126" s="26">
        <v>266</v>
      </c>
      <c r="E126" s="26">
        <v>4</v>
      </c>
      <c r="F126" s="26"/>
      <c r="G126" s="26">
        <v>2024</v>
      </c>
      <c r="H126" s="28">
        <f t="shared" si="1"/>
        <v>2024</v>
      </c>
      <c r="I126" s="26">
        <v>2024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>
      <c r="A127" s="26">
        <v>60129</v>
      </c>
      <c r="B127" s="26">
        <v>2</v>
      </c>
      <c r="C127" s="27">
        <v>1398</v>
      </c>
      <c r="D127" s="26">
        <v>220</v>
      </c>
      <c r="E127" s="26">
        <v>4</v>
      </c>
      <c r="F127" s="26"/>
      <c r="G127" s="26"/>
      <c r="H127" s="28" t="str">
        <f t="shared" si="1"/>
        <v/>
      </c>
      <c r="I127" s="26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>
      <c r="A128" s="26">
        <v>60130</v>
      </c>
      <c r="B128" s="26">
        <v>2</v>
      </c>
      <c r="C128" s="26">
        <v>547</v>
      </c>
      <c r="D128" s="26">
        <v>23</v>
      </c>
      <c r="E128" s="26">
        <v>4</v>
      </c>
      <c r="F128" s="26">
        <v>2025</v>
      </c>
      <c r="G128" s="26">
        <v>2024</v>
      </c>
      <c r="H128" s="28">
        <f t="shared" si="1"/>
        <v>2025</v>
      </c>
      <c r="I128" s="26">
        <v>2025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>
      <c r="A129" s="26">
        <v>60131</v>
      </c>
      <c r="B129" s="26">
        <v>2</v>
      </c>
      <c r="C129" s="27">
        <v>3709</v>
      </c>
      <c r="D129" s="26">
        <v>369</v>
      </c>
      <c r="E129" s="26">
        <v>4</v>
      </c>
      <c r="F129" s="26">
        <v>2025</v>
      </c>
      <c r="G129" s="26"/>
      <c r="H129" s="28">
        <f t="shared" si="1"/>
        <v>2025</v>
      </c>
      <c r="I129" s="26">
        <v>2025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>
      <c r="A130" s="26">
        <v>60132</v>
      </c>
      <c r="B130" s="26">
        <v>2</v>
      </c>
      <c r="C130" s="26">
        <v>169</v>
      </c>
      <c r="D130" s="26">
        <v>9</v>
      </c>
      <c r="E130" s="26">
        <v>4</v>
      </c>
      <c r="F130" s="26">
        <v>2025</v>
      </c>
      <c r="G130" s="26"/>
      <c r="H130" s="28">
        <f t="shared" si="1"/>
        <v>2025</v>
      </c>
      <c r="I130" s="26">
        <v>2025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>
      <c r="A131" s="26">
        <v>60133</v>
      </c>
      <c r="B131" s="26">
        <v>2</v>
      </c>
      <c r="C131" s="26">
        <v>808</v>
      </c>
      <c r="D131" s="26">
        <v>41</v>
      </c>
      <c r="E131" s="26">
        <v>4</v>
      </c>
      <c r="F131" s="26"/>
      <c r="G131" s="26"/>
      <c r="H131" s="28" t="str">
        <f t="shared" ref="H131:H194" si="2">IF(MAX(I131:AB131)=0,"",MAX(I131:AB131))</f>
        <v/>
      </c>
      <c r="I131" s="26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>
      <c r="A132" s="26">
        <v>60135</v>
      </c>
      <c r="B132" s="26">
        <v>2</v>
      </c>
      <c r="C132" s="27">
        <v>4928</v>
      </c>
      <c r="D132" s="26">
        <v>265</v>
      </c>
      <c r="E132" s="26">
        <v>4</v>
      </c>
      <c r="F132" s="26"/>
      <c r="G132" s="26"/>
      <c r="H132" s="28" t="str">
        <f t="shared" si="2"/>
        <v/>
      </c>
      <c r="I132" s="26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>
      <c r="A133" s="26">
        <v>60136</v>
      </c>
      <c r="B133" s="26">
        <v>2</v>
      </c>
      <c r="C133" s="27">
        <v>3263</v>
      </c>
      <c r="D133" s="26">
        <v>168</v>
      </c>
      <c r="E133" s="26">
        <v>4</v>
      </c>
      <c r="F133" s="26"/>
      <c r="G133" s="26">
        <v>2022</v>
      </c>
      <c r="H133" s="28">
        <f t="shared" si="2"/>
        <v>2022</v>
      </c>
      <c r="I133" s="26">
        <v>2022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>
      <c r="A134" s="26">
        <v>60137</v>
      </c>
      <c r="B134" s="26">
        <v>2</v>
      </c>
      <c r="C134" s="27">
        <v>7172</v>
      </c>
      <c r="D134" s="26">
        <v>532</v>
      </c>
      <c r="E134" s="26">
        <v>3</v>
      </c>
      <c r="F134" s="26"/>
      <c r="G134" s="26"/>
      <c r="H134" s="28" t="str">
        <f t="shared" si="2"/>
        <v/>
      </c>
      <c r="I134" s="26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>
      <c r="A135" s="26">
        <v>60138</v>
      </c>
      <c r="B135" s="26">
        <v>2</v>
      </c>
      <c r="C135" s="27">
        <v>3381</v>
      </c>
      <c r="D135" s="26">
        <v>424</v>
      </c>
      <c r="E135" s="26">
        <v>4</v>
      </c>
      <c r="F135" s="26"/>
      <c r="G135" s="26"/>
      <c r="H135" s="28" t="str">
        <f t="shared" si="2"/>
        <v/>
      </c>
      <c r="I135" s="26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>
      <c r="A136" s="26">
        <v>60139</v>
      </c>
      <c r="B136" s="26">
        <v>2</v>
      </c>
      <c r="C136" s="27">
        <v>3549</v>
      </c>
      <c r="D136" s="26">
        <v>317</v>
      </c>
      <c r="E136" s="26">
        <v>4</v>
      </c>
      <c r="F136" s="26">
        <v>2025</v>
      </c>
      <c r="G136" s="26"/>
      <c r="H136" s="28">
        <f t="shared" si="2"/>
        <v>2025</v>
      </c>
      <c r="I136" s="26">
        <v>2025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>
      <c r="A137" s="26">
        <v>60140</v>
      </c>
      <c r="B137" s="26">
        <v>2</v>
      </c>
      <c r="C137" s="27">
        <v>7825</v>
      </c>
      <c r="D137" s="26">
        <v>666</v>
      </c>
      <c r="E137" s="26">
        <v>3</v>
      </c>
      <c r="F137" s="26"/>
      <c r="G137" s="26"/>
      <c r="H137" s="28" t="str">
        <f t="shared" si="2"/>
        <v/>
      </c>
      <c r="I137" s="26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>
      <c r="A138" s="26">
        <v>60141</v>
      </c>
      <c r="B138" s="26">
        <v>2</v>
      </c>
      <c r="C138" s="27">
        <v>1735</v>
      </c>
      <c r="D138" s="26">
        <v>253</v>
      </c>
      <c r="E138" s="26">
        <v>4</v>
      </c>
      <c r="F138" s="26">
        <v>2022</v>
      </c>
      <c r="G138" s="26"/>
      <c r="H138" s="28">
        <f t="shared" si="2"/>
        <v>2022</v>
      </c>
      <c r="I138" s="26">
        <v>2022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>
      <c r="A139" s="26">
        <v>60142</v>
      </c>
      <c r="B139" s="26">
        <v>2</v>
      </c>
      <c r="C139" s="27">
        <v>10896</v>
      </c>
      <c r="D139" s="26">
        <v>912</v>
      </c>
      <c r="E139" s="26">
        <v>3</v>
      </c>
      <c r="F139" s="26"/>
      <c r="G139" s="26"/>
      <c r="H139" s="28" t="str">
        <f t="shared" si="2"/>
        <v/>
      </c>
      <c r="I139" s="26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>
      <c r="A140" s="26">
        <v>60143</v>
      </c>
      <c r="B140" s="26">
        <v>2</v>
      </c>
      <c r="C140" s="27">
        <v>5462</v>
      </c>
      <c r="D140" s="26">
        <v>732</v>
      </c>
      <c r="E140" s="26">
        <v>4</v>
      </c>
      <c r="F140" s="26"/>
      <c r="G140" s="26"/>
      <c r="H140" s="28" t="str">
        <f t="shared" si="2"/>
        <v/>
      </c>
      <c r="I140" s="26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>
      <c r="A141" s="26">
        <v>60144</v>
      </c>
      <c r="B141" s="26">
        <v>2</v>
      </c>
      <c r="C141" s="27">
        <v>1443</v>
      </c>
      <c r="D141" s="26">
        <v>314</v>
      </c>
      <c r="E141" s="26">
        <v>4</v>
      </c>
      <c r="F141" s="26"/>
      <c r="G141" s="26"/>
      <c r="H141" s="28" t="str">
        <f t="shared" si="2"/>
        <v/>
      </c>
      <c r="I141" s="26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>
      <c r="A142" s="26">
        <v>60146</v>
      </c>
      <c r="B142" s="26">
        <v>2</v>
      </c>
      <c r="C142" s="27">
        <v>2185</v>
      </c>
      <c r="D142" s="26">
        <v>481</v>
      </c>
      <c r="E142" s="26">
        <v>4</v>
      </c>
      <c r="F142" s="26"/>
      <c r="G142" s="26"/>
      <c r="H142" s="28" t="str">
        <f t="shared" si="2"/>
        <v/>
      </c>
      <c r="I142" s="26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>
      <c r="A143" s="26">
        <v>60147</v>
      </c>
      <c r="B143" s="26">
        <v>2</v>
      </c>
      <c r="C143" s="27">
        <v>4423</v>
      </c>
      <c r="D143" s="26">
        <v>971</v>
      </c>
      <c r="E143" s="26">
        <v>4</v>
      </c>
      <c r="F143" s="26"/>
      <c r="G143" s="26"/>
      <c r="H143" s="28" t="str">
        <f t="shared" si="2"/>
        <v/>
      </c>
      <c r="I143" s="26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>
      <c r="A144" s="26">
        <v>60148</v>
      </c>
      <c r="B144" s="26">
        <v>2</v>
      </c>
      <c r="C144" s="27">
        <v>2347</v>
      </c>
      <c r="D144" s="26">
        <v>515</v>
      </c>
      <c r="E144" s="26">
        <v>4</v>
      </c>
      <c r="F144" s="26"/>
      <c r="G144" s="26">
        <v>2021</v>
      </c>
      <c r="H144" s="28">
        <f t="shared" si="2"/>
        <v>2021</v>
      </c>
      <c r="I144" s="26">
        <v>2021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>
      <c r="A145" s="26">
        <v>60150</v>
      </c>
      <c r="B145" s="26">
        <v>2</v>
      </c>
      <c r="C145" s="27">
        <v>1778</v>
      </c>
      <c r="D145" s="26">
        <v>391</v>
      </c>
      <c r="E145" s="26">
        <v>4</v>
      </c>
      <c r="F145" s="26"/>
      <c r="G145" s="26"/>
      <c r="H145" s="28" t="str">
        <f t="shared" si="2"/>
        <v/>
      </c>
      <c r="I145" s="26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>
      <c r="A146" s="26">
        <v>60151</v>
      </c>
      <c r="B146" s="26">
        <v>2</v>
      </c>
      <c r="C146" s="26">
        <v>357</v>
      </c>
      <c r="D146" s="26">
        <v>43</v>
      </c>
      <c r="E146" s="26">
        <v>4</v>
      </c>
      <c r="F146" s="26">
        <v>2021</v>
      </c>
      <c r="G146" s="26"/>
      <c r="H146" s="28">
        <f t="shared" si="2"/>
        <v>2021</v>
      </c>
      <c r="I146" s="26">
        <v>2021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>
      <c r="A147" s="26">
        <v>60152</v>
      </c>
      <c r="B147" s="26">
        <v>2</v>
      </c>
      <c r="C147" s="27">
        <v>1273</v>
      </c>
      <c r="D147" s="26">
        <v>154</v>
      </c>
      <c r="E147" s="26">
        <v>4</v>
      </c>
      <c r="F147" s="26"/>
      <c r="G147" s="26"/>
      <c r="H147" s="28" t="str">
        <f t="shared" si="2"/>
        <v/>
      </c>
      <c r="I147" s="26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>
      <c r="A148" s="26">
        <v>60153</v>
      </c>
      <c r="B148" s="26">
        <v>2</v>
      </c>
      <c r="C148" s="26">
        <v>741</v>
      </c>
      <c r="D148" s="26">
        <v>89</v>
      </c>
      <c r="E148" s="26">
        <v>4</v>
      </c>
      <c r="F148" s="26"/>
      <c r="G148" s="26"/>
      <c r="H148" s="28" t="str">
        <f t="shared" si="2"/>
        <v/>
      </c>
      <c r="I148" s="26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>
      <c r="A149" s="26">
        <v>60154</v>
      </c>
      <c r="B149" s="26">
        <v>2</v>
      </c>
      <c r="C149" s="26">
        <v>460</v>
      </c>
      <c r="D149" s="26">
        <v>55</v>
      </c>
      <c r="E149" s="26">
        <v>4</v>
      </c>
      <c r="F149" s="26">
        <v>2023</v>
      </c>
      <c r="G149" s="26"/>
      <c r="H149" s="28">
        <f t="shared" si="2"/>
        <v>2023</v>
      </c>
      <c r="I149" s="26">
        <v>2023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>
      <c r="A150" s="26">
        <v>60155</v>
      </c>
      <c r="B150" s="26">
        <v>2</v>
      </c>
      <c r="C150" s="27">
        <v>2567</v>
      </c>
      <c r="D150" s="26">
        <v>310</v>
      </c>
      <c r="E150" s="26">
        <v>4</v>
      </c>
      <c r="F150" s="26"/>
      <c r="G150" s="26"/>
      <c r="H150" s="28" t="str">
        <f t="shared" si="2"/>
        <v/>
      </c>
      <c r="I150" s="26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>
      <c r="A151" s="26">
        <v>60156</v>
      </c>
      <c r="B151" s="26">
        <v>2</v>
      </c>
      <c r="C151" s="27">
        <v>1651</v>
      </c>
      <c r="D151" s="26">
        <v>197</v>
      </c>
      <c r="E151" s="26">
        <v>4</v>
      </c>
      <c r="F151" s="26">
        <v>2025</v>
      </c>
      <c r="G151" s="26"/>
      <c r="H151" s="28">
        <f t="shared" si="2"/>
        <v>2025</v>
      </c>
      <c r="I151" s="26">
        <v>2025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>
      <c r="A152" s="26">
        <v>60157</v>
      </c>
      <c r="B152" s="26">
        <v>2</v>
      </c>
      <c r="C152" s="27">
        <v>1762</v>
      </c>
      <c r="D152" s="26">
        <v>211</v>
      </c>
      <c r="E152" s="26">
        <v>4</v>
      </c>
      <c r="F152" s="26"/>
      <c r="G152" s="26"/>
      <c r="H152" s="28" t="str">
        <f t="shared" si="2"/>
        <v/>
      </c>
      <c r="I152" s="26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>
      <c r="A153" s="26">
        <v>60159</v>
      </c>
      <c r="B153" s="26">
        <v>2</v>
      </c>
      <c r="C153" s="27">
        <v>3254</v>
      </c>
      <c r="D153" s="26">
        <v>296</v>
      </c>
      <c r="E153" s="26">
        <v>4</v>
      </c>
      <c r="F153" s="26"/>
      <c r="G153" s="26"/>
      <c r="H153" s="28" t="str">
        <f t="shared" si="2"/>
        <v/>
      </c>
      <c r="I153" s="26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>
      <c r="A154" s="26">
        <v>60160</v>
      </c>
      <c r="B154" s="26">
        <v>2</v>
      </c>
      <c r="C154" s="27">
        <v>5166</v>
      </c>
      <c r="D154" s="26">
        <v>308</v>
      </c>
      <c r="E154" s="26">
        <v>4</v>
      </c>
      <c r="F154" s="26"/>
      <c r="G154" s="26"/>
      <c r="H154" s="28" t="str">
        <f t="shared" si="2"/>
        <v/>
      </c>
      <c r="I154" s="26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>
      <c r="A155" s="26">
        <v>60161</v>
      </c>
      <c r="B155" s="26">
        <v>2</v>
      </c>
      <c r="C155" s="26">
        <v>613</v>
      </c>
      <c r="D155" s="26">
        <v>36</v>
      </c>
      <c r="E155" s="26">
        <v>4</v>
      </c>
      <c r="F155" s="26"/>
      <c r="G155" s="26">
        <v>2021</v>
      </c>
      <c r="H155" s="28">
        <f t="shared" si="2"/>
        <v>2021</v>
      </c>
      <c r="I155" s="26">
        <v>2021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>
      <c r="A156" s="26">
        <v>60162</v>
      </c>
      <c r="B156" s="26">
        <v>2</v>
      </c>
      <c r="C156" s="27">
        <v>1176</v>
      </c>
      <c r="D156" s="26">
        <v>68</v>
      </c>
      <c r="E156" s="26">
        <v>4</v>
      </c>
      <c r="F156" s="26"/>
      <c r="G156" s="26">
        <v>2024</v>
      </c>
      <c r="H156" s="28">
        <f t="shared" si="2"/>
        <v>2024</v>
      </c>
      <c r="I156" s="26">
        <v>2024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>
      <c r="A157" s="26">
        <v>60163</v>
      </c>
      <c r="B157" s="26">
        <v>2</v>
      </c>
      <c r="C157" s="27">
        <v>2173</v>
      </c>
      <c r="D157" s="26">
        <v>261</v>
      </c>
      <c r="E157" s="26">
        <v>4</v>
      </c>
      <c r="F157" s="26"/>
      <c r="G157" s="26"/>
      <c r="H157" s="28" t="str">
        <f t="shared" si="2"/>
        <v/>
      </c>
      <c r="I157" s="26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>
      <c r="A158" s="26">
        <v>60164</v>
      </c>
      <c r="B158" s="26">
        <v>2</v>
      </c>
      <c r="C158" s="27">
        <v>3861</v>
      </c>
      <c r="D158" s="26">
        <v>463</v>
      </c>
      <c r="E158" s="26">
        <v>4</v>
      </c>
      <c r="F158" s="26">
        <v>2024</v>
      </c>
      <c r="G158" s="26"/>
      <c r="H158" s="28">
        <f t="shared" si="2"/>
        <v>2024</v>
      </c>
      <c r="I158" s="26">
        <v>2024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>
      <c r="A159" s="26">
        <v>60165</v>
      </c>
      <c r="B159" s="26">
        <v>2</v>
      </c>
      <c r="C159" s="27">
        <v>2238</v>
      </c>
      <c r="D159" s="26">
        <v>232</v>
      </c>
      <c r="E159" s="26">
        <v>4</v>
      </c>
      <c r="F159" s="26"/>
      <c r="G159" s="26"/>
      <c r="H159" s="28" t="str">
        <f t="shared" si="2"/>
        <v/>
      </c>
      <c r="I159" s="26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>
      <c r="A160" s="26">
        <v>60166</v>
      </c>
      <c r="B160" s="26">
        <v>2</v>
      </c>
      <c r="C160" s="27">
        <v>3518</v>
      </c>
      <c r="D160" s="26">
        <v>445</v>
      </c>
      <c r="E160" s="26">
        <v>4</v>
      </c>
      <c r="F160" s="26"/>
      <c r="G160" s="26">
        <v>2021</v>
      </c>
      <c r="H160" s="28">
        <f t="shared" si="2"/>
        <v>2021</v>
      </c>
      <c r="I160" s="26">
        <v>2021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>
      <c r="A161" s="26">
        <v>60167</v>
      </c>
      <c r="B161" s="26">
        <v>2</v>
      </c>
      <c r="C161" s="27">
        <v>3680</v>
      </c>
      <c r="D161" s="26">
        <v>233</v>
      </c>
      <c r="E161" s="26">
        <v>4</v>
      </c>
      <c r="F161" s="26"/>
      <c r="G161" s="26"/>
      <c r="H161" s="28" t="str">
        <f t="shared" si="2"/>
        <v/>
      </c>
      <c r="I161" s="26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>
      <c r="A162" s="26">
        <v>60168</v>
      </c>
      <c r="B162" s="26">
        <v>4</v>
      </c>
      <c r="C162" s="27">
        <v>18159</v>
      </c>
      <c r="D162" s="27">
        <v>1020</v>
      </c>
      <c r="E162" s="26">
        <v>3</v>
      </c>
      <c r="F162" s="26"/>
      <c r="G162" s="26"/>
      <c r="H162" s="28" t="str">
        <f t="shared" si="2"/>
        <v/>
      </c>
      <c r="I162" s="26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>
      <c r="A163" s="26">
        <v>60169</v>
      </c>
      <c r="B163" s="26">
        <v>2</v>
      </c>
      <c r="C163" s="27">
        <v>4290</v>
      </c>
      <c r="D163" s="26">
        <v>239</v>
      </c>
      <c r="E163" s="26">
        <v>4</v>
      </c>
      <c r="F163" s="26"/>
      <c r="G163" s="26"/>
      <c r="H163" s="28" t="str">
        <f t="shared" si="2"/>
        <v/>
      </c>
      <c r="I163" s="26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>
      <c r="A164" s="26">
        <v>60170</v>
      </c>
      <c r="B164" s="26">
        <v>2</v>
      </c>
      <c r="C164" s="26">
        <v>755</v>
      </c>
      <c r="D164" s="26">
        <v>100</v>
      </c>
      <c r="E164" s="26">
        <v>4</v>
      </c>
      <c r="F164" s="26"/>
      <c r="G164" s="26"/>
      <c r="H164" s="28" t="str">
        <f t="shared" si="2"/>
        <v/>
      </c>
      <c r="I164" s="26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>
      <c r="A165" s="26">
        <v>60171</v>
      </c>
      <c r="B165" s="26">
        <v>2</v>
      </c>
      <c r="C165" s="27">
        <v>1765</v>
      </c>
      <c r="D165" s="26">
        <v>233</v>
      </c>
      <c r="E165" s="26">
        <v>4</v>
      </c>
      <c r="F165" s="26"/>
      <c r="G165" s="26"/>
      <c r="H165" s="28" t="str">
        <f t="shared" si="2"/>
        <v/>
      </c>
      <c r="I165" s="26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>
      <c r="A166" s="26">
        <v>60172</v>
      </c>
      <c r="B166" s="26">
        <v>2</v>
      </c>
      <c r="C166" s="27">
        <v>1888</v>
      </c>
      <c r="D166" s="26">
        <v>249</v>
      </c>
      <c r="E166" s="26">
        <v>4</v>
      </c>
      <c r="F166" s="26"/>
      <c r="G166" s="26"/>
      <c r="H166" s="28" t="str">
        <f t="shared" si="2"/>
        <v/>
      </c>
      <c r="I166" s="2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>
      <c r="A167" s="26">
        <v>60173</v>
      </c>
      <c r="B167" s="26">
        <v>2</v>
      </c>
      <c r="C167" s="27">
        <v>2654</v>
      </c>
      <c r="D167" s="26">
        <v>350</v>
      </c>
      <c r="E167" s="26">
        <v>4</v>
      </c>
      <c r="F167" s="26"/>
      <c r="G167" s="26">
        <v>2024</v>
      </c>
      <c r="H167" s="28">
        <f t="shared" si="2"/>
        <v>2024</v>
      </c>
      <c r="I167" s="26">
        <v>2024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>
      <c r="A168" s="26">
        <v>60174</v>
      </c>
      <c r="B168" s="26">
        <v>2</v>
      </c>
      <c r="C168" s="27">
        <v>4846</v>
      </c>
      <c r="D168" s="26">
        <v>642</v>
      </c>
      <c r="E168" s="26">
        <v>4</v>
      </c>
      <c r="F168" s="26"/>
      <c r="G168" s="26"/>
      <c r="H168" s="28" t="str">
        <f t="shared" si="2"/>
        <v/>
      </c>
      <c r="I168" s="26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>
      <c r="A169" s="26">
        <v>60175</v>
      </c>
      <c r="B169" s="26">
        <v>2</v>
      </c>
      <c r="C169" s="27">
        <v>12781</v>
      </c>
      <c r="D169" s="27">
        <v>1333</v>
      </c>
      <c r="E169" s="26">
        <v>3</v>
      </c>
      <c r="F169" s="26"/>
      <c r="G169" s="26"/>
      <c r="H169" s="28" t="str">
        <f t="shared" si="2"/>
        <v/>
      </c>
      <c r="I169" s="26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>
      <c r="A170" s="26">
        <v>60176</v>
      </c>
      <c r="B170" s="26">
        <v>4</v>
      </c>
      <c r="C170" s="27">
        <v>15442</v>
      </c>
      <c r="D170" s="27">
        <v>1774</v>
      </c>
      <c r="E170" s="26">
        <v>3</v>
      </c>
      <c r="F170" s="26"/>
      <c r="G170" s="26"/>
      <c r="H170" s="28" t="str">
        <f t="shared" si="2"/>
        <v/>
      </c>
      <c r="I170" s="26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>
      <c r="A171" s="26">
        <v>60178</v>
      </c>
      <c r="B171" s="26">
        <v>4</v>
      </c>
      <c r="C171" s="27">
        <v>19552</v>
      </c>
      <c r="D171" s="26">
        <v>604</v>
      </c>
      <c r="E171" s="26">
        <v>3</v>
      </c>
      <c r="F171" s="26"/>
      <c r="G171" s="26"/>
      <c r="H171" s="28" t="str">
        <f t="shared" si="2"/>
        <v/>
      </c>
      <c r="I171" s="26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>
      <c r="A172" s="26">
        <v>60179</v>
      </c>
      <c r="B172" s="26">
        <v>4</v>
      </c>
      <c r="C172" s="27">
        <v>26205</v>
      </c>
      <c r="D172" s="27">
        <v>1557</v>
      </c>
      <c r="E172" s="26">
        <v>3</v>
      </c>
      <c r="F172" s="26"/>
      <c r="G172" s="26"/>
      <c r="H172" s="28" t="str">
        <f t="shared" si="2"/>
        <v/>
      </c>
      <c r="I172" s="26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>
      <c r="A173" s="26">
        <v>60180</v>
      </c>
      <c r="B173" s="26">
        <v>2</v>
      </c>
      <c r="C173" s="27">
        <v>11860</v>
      </c>
      <c r="D173" s="26">
        <v>439</v>
      </c>
      <c r="E173" s="26">
        <v>3</v>
      </c>
      <c r="F173" s="26"/>
      <c r="G173" s="26"/>
      <c r="H173" s="28" t="str">
        <f t="shared" si="2"/>
        <v/>
      </c>
      <c r="I173" s="26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>
      <c r="A174" s="26">
        <v>60181</v>
      </c>
      <c r="B174" s="26">
        <v>2</v>
      </c>
      <c r="C174" s="27">
        <v>2739</v>
      </c>
      <c r="D174" s="26">
        <v>101</v>
      </c>
      <c r="E174" s="26">
        <v>4</v>
      </c>
      <c r="F174" s="26">
        <v>2023</v>
      </c>
      <c r="G174" s="26"/>
      <c r="H174" s="28">
        <f t="shared" si="2"/>
        <v>2023</v>
      </c>
      <c r="I174" s="26">
        <v>2023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>
      <c r="A175" s="26">
        <v>60182</v>
      </c>
      <c r="B175" s="26">
        <v>2</v>
      </c>
      <c r="C175" s="27">
        <v>1430</v>
      </c>
      <c r="D175" s="26">
        <v>121</v>
      </c>
      <c r="E175" s="26">
        <v>4</v>
      </c>
      <c r="F175" s="26">
        <v>2023</v>
      </c>
      <c r="G175" s="26"/>
      <c r="H175" s="28">
        <f t="shared" si="2"/>
        <v>2023</v>
      </c>
      <c r="I175" s="26">
        <v>2023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>
      <c r="A176" s="26">
        <v>60183</v>
      </c>
      <c r="B176" s="26">
        <v>2</v>
      </c>
      <c r="C176" s="27">
        <v>2424</v>
      </c>
      <c r="D176" s="26">
        <v>261</v>
      </c>
      <c r="E176" s="26">
        <v>4</v>
      </c>
      <c r="F176" s="26"/>
      <c r="G176" s="26">
        <v>2022</v>
      </c>
      <c r="H176" s="28">
        <f t="shared" si="2"/>
        <v>2022</v>
      </c>
      <c r="I176" s="26">
        <v>2022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>
      <c r="A177" s="26">
        <v>60184</v>
      </c>
      <c r="B177" s="26">
        <v>2</v>
      </c>
      <c r="C177" s="27">
        <v>1367</v>
      </c>
      <c r="D177" s="26">
        <v>125</v>
      </c>
      <c r="E177" s="26">
        <v>4</v>
      </c>
      <c r="F177" s="26"/>
      <c r="G177" s="26"/>
      <c r="H177" s="28" t="str">
        <f t="shared" si="2"/>
        <v/>
      </c>
      <c r="I177" s="26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>
      <c r="A178" s="26">
        <v>60187</v>
      </c>
      <c r="B178" s="26">
        <v>2</v>
      </c>
      <c r="C178" s="26">
        <v>258</v>
      </c>
      <c r="D178" s="26">
        <v>41</v>
      </c>
      <c r="E178" s="26">
        <v>4</v>
      </c>
      <c r="F178" s="26"/>
      <c r="G178" s="26"/>
      <c r="H178" s="28" t="str">
        <f t="shared" si="2"/>
        <v/>
      </c>
      <c r="I178" s="26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>
      <c r="A179" s="26">
        <v>60188</v>
      </c>
      <c r="B179" s="26">
        <v>2</v>
      </c>
      <c r="C179" s="26">
        <v>269</v>
      </c>
      <c r="D179" s="26">
        <v>16</v>
      </c>
      <c r="E179" s="26">
        <v>4</v>
      </c>
      <c r="F179" s="26"/>
      <c r="G179" s="26"/>
      <c r="H179" s="28" t="str">
        <f t="shared" si="2"/>
        <v/>
      </c>
      <c r="I179" s="26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>
      <c r="A180" s="26">
        <v>60189</v>
      </c>
      <c r="B180" s="26">
        <v>2</v>
      </c>
      <c r="C180" s="26">
        <v>393</v>
      </c>
      <c r="D180" s="26">
        <v>15</v>
      </c>
      <c r="E180" s="26">
        <v>4</v>
      </c>
      <c r="F180" s="26"/>
      <c r="G180" s="26"/>
      <c r="H180" s="28" t="str">
        <f t="shared" si="2"/>
        <v/>
      </c>
      <c r="I180" s="26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>
      <c r="A181" s="26">
        <v>60190</v>
      </c>
      <c r="B181" s="26">
        <v>2</v>
      </c>
      <c r="C181" s="26">
        <v>593</v>
      </c>
      <c r="D181" s="26">
        <v>71</v>
      </c>
      <c r="E181" s="26">
        <v>4</v>
      </c>
      <c r="F181" s="26">
        <v>2021</v>
      </c>
      <c r="G181" s="26"/>
      <c r="H181" s="28">
        <f t="shared" si="2"/>
        <v>2021</v>
      </c>
      <c r="I181" s="26">
        <v>2021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>
      <c r="A182" s="26">
        <v>60191</v>
      </c>
      <c r="B182" s="26">
        <v>2</v>
      </c>
      <c r="C182" s="27">
        <v>1496</v>
      </c>
      <c r="D182" s="26">
        <v>179</v>
      </c>
      <c r="E182" s="26">
        <v>4</v>
      </c>
      <c r="F182" s="26"/>
      <c r="G182" s="26"/>
      <c r="H182" s="28" t="str">
        <f t="shared" si="2"/>
        <v/>
      </c>
      <c r="I182" s="26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>
      <c r="A183" s="26">
        <v>60192</v>
      </c>
      <c r="B183" s="26">
        <v>2</v>
      </c>
      <c r="C183" s="27">
        <v>7990</v>
      </c>
      <c r="D183" s="27">
        <v>1137</v>
      </c>
      <c r="E183" s="26">
        <v>3</v>
      </c>
      <c r="F183" s="26"/>
      <c r="G183" s="26"/>
      <c r="H183" s="28" t="str">
        <f t="shared" si="2"/>
        <v/>
      </c>
      <c r="I183" s="26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>
      <c r="A184" s="26">
        <v>60193</v>
      </c>
      <c r="B184" s="26">
        <v>2</v>
      </c>
      <c r="C184" s="27">
        <v>10217</v>
      </c>
      <c r="D184" s="27">
        <v>1490</v>
      </c>
      <c r="E184" s="26">
        <v>3</v>
      </c>
      <c r="F184" s="26"/>
      <c r="G184" s="26"/>
      <c r="H184" s="28" t="str">
        <f t="shared" si="2"/>
        <v/>
      </c>
      <c r="I184" s="26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>
      <c r="A185" s="26">
        <v>60194</v>
      </c>
      <c r="B185" s="26">
        <v>4</v>
      </c>
      <c r="C185" s="27">
        <v>13118</v>
      </c>
      <c r="D185" s="27">
        <v>1913</v>
      </c>
      <c r="E185" s="26">
        <v>3</v>
      </c>
      <c r="F185" s="26"/>
      <c r="G185" s="26">
        <v>2023</v>
      </c>
      <c r="H185" s="28">
        <f t="shared" si="2"/>
        <v>2023</v>
      </c>
      <c r="I185" s="26">
        <v>2023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>
      <c r="A186" s="26">
        <v>60195</v>
      </c>
      <c r="B186" s="26">
        <v>2</v>
      </c>
      <c r="C186" s="27">
        <v>7599</v>
      </c>
      <c r="D186" s="27">
        <v>1107</v>
      </c>
      <c r="E186" s="26">
        <v>3</v>
      </c>
      <c r="F186" s="26"/>
      <c r="G186" s="26"/>
      <c r="H186" s="28" t="str">
        <f t="shared" si="2"/>
        <v/>
      </c>
      <c r="I186" s="26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>
      <c r="A187" s="26">
        <v>60196</v>
      </c>
      <c r="B187" s="26">
        <v>2</v>
      </c>
      <c r="C187" s="27">
        <v>4348</v>
      </c>
      <c r="D187" s="26">
        <v>159</v>
      </c>
      <c r="E187" s="26">
        <v>4</v>
      </c>
      <c r="F187" s="26"/>
      <c r="G187" s="26"/>
      <c r="H187" s="28" t="str">
        <f t="shared" si="2"/>
        <v/>
      </c>
      <c r="I187" s="26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>
      <c r="A188" s="26">
        <v>60197</v>
      </c>
      <c r="B188" s="26">
        <v>2</v>
      </c>
      <c r="C188" s="27">
        <v>3529</v>
      </c>
      <c r="D188" s="26">
        <v>281</v>
      </c>
      <c r="E188" s="26">
        <v>4</v>
      </c>
      <c r="F188" s="26"/>
      <c r="G188" s="26">
        <v>2021</v>
      </c>
      <c r="H188" s="28">
        <f t="shared" si="2"/>
        <v>2021</v>
      </c>
      <c r="I188" s="26">
        <v>2021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>
      <c r="A189" s="26">
        <v>60198</v>
      </c>
      <c r="B189" s="26">
        <v>2</v>
      </c>
      <c r="C189" s="27">
        <v>1988</v>
      </c>
      <c r="D189" s="26">
        <v>158</v>
      </c>
      <c r="E189" s="26">
        <v>4</v>
      </c>
      <c r="F189" s="26"/>
      <c r="G189" s="26"/>
      <c r="H189" s="28" t="str">
        <f t="shared" si="2"/>
        <v/>
      </c>
      <c r="I189" s="26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>
      <c r="A190" s="26">
        <v>60199</v>
      </c>
      <c r="B190" s="26">
        <v>2</v>
      </c>
      <c r="C190" s="27">
        <v>2665</v>
      </c>
      <c r="D190" s="26">
        <v>425</v>
      </c>
      <c r="E190" s="26">
        <v>4</v>
      </c>
      <c r="F190" s="26"/>
      <c r="G190" s="26"/>
      <c r="H190" s="28" t="str">
        <f t="shared" si="2"/>
        <v/>
      </c>
      <c r="I190" s="26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>
      <c r="A191" s="26">
        <v>60200</v>
      </c>
      <c r="B191" s="26">
        <v>2</v>
      </c>
      <c r="C191" s="27">
        <v>5357</v>
      </c>
      <c r="D191" s="26">
        <v>526</v>
      </c>
      <c r="E191" s="26">
        <v>4</v>
      </c>
      <c r="F191" s="26"/>
      <c r="G191" s="26"/>
      <c r="H191" s="28" t="str">
        <f t="shared" si="2"/>
        <v/>
      </c>
      <c r="I191" s="26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>
      <c r="A192" s="26">
        <v>60201</v>
      </c>
      <c r="B192" s="26">
        <v>2</v>
      </c>
      <c r="C192" s="27">
        <v>3839</v>
      </c>
      <c r="D192" s="26">
        <v>470</v>
      </c>
      <c r="E192" s="26">
        <v>4</v>
      </c>
      <c r="F192" s="26"/>
      <c r="G192" s="26">
        <v>2023</v>
      </c>
      <c r="H192" s="28">
        <f t="shared" si="2"/>
        <v>2023</v>
      </c>
      <c r="I192" s="26">
        <v>2023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>
      <c r="A193" s="26">
        <v>60202</v>
      </c>
      <c r="B193" s="26">
        <v>2</v>
      </c>
      <c r="C193" s="27">
        <v>3411</v>
      </c>
      <c r="D193" s="26">
        <v>528</v>
      </c>
      <c r="E193" s="26">
        <v>4</v>
      </c>
      <c r="F193" s="26">
        <v>2025</v>
      </c>
      <c r="G193" s="26"/>
      <c r="H193" s="28">
        <f t="shared" si="2"/>
        <v>2025</v>
      </c>
      <c r="I193" s="26">
        <v>2025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>
      <c r="A194" s="26">
        <v>60203</v>
      </c>
      <c r="B194" s="26">
        <v>2</v>
      </c>
      <c r="C194" s="27">
        <v>2185</v>
      </c>
      <c r="D194" s="26">
        <v>378</v>
      </c>
      <c r="E194" s="26">
        <v>4</v>
      </c>
      <c r="F194" s="26">
        <v>2025</v>
      </c>
      <c r="G194" s="26">
        <v>2021</v>
      </c>
      <c r="H194" s="28">
        <f t="shared" si="2"/>
        <v>2025</v>
      </c>
      <c r="I194" s="26">
        <v>2025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>
      <c r="A195" s="26">
        <v>60204</v>
      </c>
      <c r="B195" s="26">
        <v>2</v>
      </c>
      <c r="C195" s="27">
        <v>3291</v>
      </c>
      <c r="D195" s="26">
        <v>340</v>
      </c>
      <c r="E195" s="26">
        <v>4</v>
      </c>
      <c r="F195" s="26"/>
      <c r="G195" s="26"/>
      <c r="H195" s="28" t="str">
        <f t="shared" ref="H195:H258" si="3">IF(MAX(I195:AB195)=0,"",MAX(I195:AB195))</f>
        <v/>
      </c>
      <c r="I195" s="26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>
      <c r="A196" s="26">
        <v>60205</v>
      </c>
      <c r="B196" s="26">
        <v>2</v>
      </c>
      <c r="C196" s="27">
        <v>3741</v>
      </c>
      <c r="D196" s="26">
        <v>332</v>
      </c>
      <c r="E196" s="26">
        <v>4</v>
      </c>
      <c r="F196" s="26"/>
      <c r="G196" s="26"/>
      <c r="H196" s="28" t="str">
        <f t="shared" si="3"/>
        <v/>
      </c>
      <c r="I196" s="26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>
      <c r="A197" s="26">
        <v>60206</v>
      </c>
      <c r="B197" s="26">
        <v>2</v>
      </c>
      <c r="C197" s="27">
        <v>1330</v>
      </c>
      <c r="D197" s="26">
        <v>160</v>
      </c>
      <c r="E197" s="26">
        <v>4</v>
      </c>
      <c r="F197" s="26"/>
      <c r="G197" s="26"/>
      <c r="H197" s="28" t="str">
        <f t="shared" si="3"/>
        <v/>
      </c>
      <c r="I197" s="26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>
      <c r="A198" s="26">
        <v>60207</v>
      </c>
      <c r="B198" s="26">
        <v>2</v>
      </c>
      <c r="C198" s="27">
        <v>3612</v>
      </c>
      <c r="D198" s="26">
        <v>254</v>
      </c>
      <c r="E198" s="26">
        <v>4</v>
      </c>
      <c r="F198" s="26"/>
      <c r="G198" s="26"/>
      <c r="H198" s="28" t="str">
        <f t="shared" si="3"/>
        <v/>
      </c>
      <c r="I198" s="26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>
      <c r="A199" s="26">
        <v>60208</v>
      </c>
      <c r="B199" s="26">
        <v>2</v>
      </c>
      <c r="C199" s="27">
        <v>1779</v>
      </c>
      <c r="D199" s="26">
        <v>184</v>
      </c>
      <c r="E199" s="26">
        <v>4</v>
      </c>
      <c r="F199" s="26"/>
      <c r="G199" s="26"/>
      <c r="H199" s="28" t="str">
        <f t="shared" si="3"/>
        <v/>
      </c>
      <c r="I199" s="26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>
      <c r="A200" s="26">
        <v>60209</v>
      </c>
      <c r="B200" s="26">
        <v>2</v>
      </c>
      <c r="C200" s="27">
        <v>1383</v>
      </c>
      <c r="D200" s="26">
        <v>154</v>
      </c>
      <c r="E200" s="26">
        <v>4</v>
      </c>
      <c r="F200" s="26"/>
      <c r="G200" s="26"/>
      <c r="H200" s="28" t="str">
        <f t="shared" si="3"/>
        <v/>
      </c>
      <c r="I200" s="26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>
      <c r="A201" s="26">
        <v>60211</v>
      </c>
      <c r="B201" s="26">
        <v>2</v>
      </c>
      <c r="C201" s="27">
        <v>4305</v>
      </c>
      <c r="D201" s="26">
        <v>469</v>
      </c>
      <c r="E201" s="26">
        <v>4</v>
      </c>
      <c r="F201" s="26"/>
      <c r="G201" s="26"/>
      <c r="H201" s="28" t="str">
        <f t="shared" si="3"/>
        <v/>
      </c>
      <c r="I201" s="26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>
      <c r="A202" s="26">
        <v>60212</v>
      </c>
      <c r="B202" s="26">
        <v>2</v>
      </c>
      <c r="C202" s="26">
        <v>841</v>
      </c>
      <c r="D202" s="26">
        <v>91</v>
      </c>
      <c r="E202" s="26">
        <v>4</v>
      </c>
      <c r="F202" s="26"/>
      <c r="G202" s="26"/>
      <c r="H202" s="28" t="str">
        <f t="shared" si="3"/>
        <v/>
      </c>
      <c r="I202" s="26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>
      <c r="A203" s="26">
        <v>60213</v>
      </c>
      <c r="B203" s="26">
        <v>2</v>
      </c>
      <c r="C203" s="26">
        <v>929</v>
      </c>
      <c r="D203" s="26">
        <v>112</v>
      </c>
      <c r="E203" s="26">
        <v>4</v>
      </c>
      <c r="F203" s="26"/>
      <c r="G203" s="26"/>
      <c r="H203" s="28" t="str">
        <f t="shared" si="3"/>
        <v/>
      </c>
      <c r="I203" s="26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>
      <c r="A204" s="26">
        <v>60214</v>
      </c>
      <c r="B204" s="26">
        <v>2</v>
      </c>
      <c r="C204" s="27">
        <v>1890</v>
      </c>
      <c r="D204" s="26">
        <v>188</v>
      </c>
      <c r="E204" s="26">
        <v>4</v>
      </c>
      <c r="F204" s="26">
        <v>2023</v>
      </c>
      <c r="G204" s="26"/>
      <c r="H204" s="28">
        <f t="shared" si="3"/>
        <v>2023</v>
      </c>
      <c r="I204" s="26">
        <v>2023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>
      <c r="A205" s="26">
        <v>60215</v>
      </c>
      <c r="B205" s="26">
        <v>2</v>
      </c>
      <c r="C205" s="27">
        <v>6814</v>
      </c>
      <c r="D205" s="26">
        <v>378</v>
      </c>
      <c r="E205" s="26">
        <v>3</v>
      </c>
      <c r="F205" s="26"/>
      <c r="G205" s="26">
        <v>2023</v>
      </c>
      <c r="H205" s="28">
        <f t="shared" si="3"/>
        <v>2023</v>
      </c>
      <c r="I205" s="26">
        <v>2023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>
      <c r="A206" s="26">
        <v>60216</v>
      </c>
      <c r="B206" s="26">
        <v>4</v>
      </c>
      <c r="C206" s="27">
        <v>10369</v>
      </c>
      <c r="D206" s="26">
        <v>681</v>
      </c>
      <c r="E206" s="26">
        <v>3</v>
      </c>
      <c r="F206" s="26"/>
      <c r="G206" s="26"/>
      <c r="H206" s="28" t="str">
        <f t="shared" si="3"/>
        <v/>
      </c>
      <c r="I206" s="26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>
      <c r="A207" s="26">
        <v>60217</v>
      </c>
      <c r="B207" s="26">
        <v>4</v>
      </c>
      <c r="C207" s="27">
        <v>17838</v>
      </c>
      <c r="D207" s="27">
        <v>1099</v>
      </c>
      <c r="E207" s="26">
        <v>3</v>
      </c>
      <c r="F207" s="26"/>
      <c r="G207" s="26"/>
      <c r="H207" s="28" t="str">
        <f t="shared" si="3"/>
        <v/>
      </c>
      <c r="I207" s="26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>
      <c r="A208" s="26">
        <v>60218</v>
      </c>
      <c r="B208" s="26">
        <v>6</v>
      </c>
      <c r="C208" s="27">
        <v>54934</v>
      </c>
      <c r="D208" s="27">
        <v>1521</v>
      </c>
      <c r="E208" s="26">
        <v>2</v>
      </c>
      <c r="F208" s="26"/>
      <c r="G208" s="26"/>
      <c r="H208" s="28" t="str">
        <f t="shared" si="3"/>
        <v/>
      </c>
      <c r="I208" s="26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>
      <c r="A209" s="26">
        <v>60219</v>
      </c>
      <c r="B209" s="26">
        <v>6</v>
      </c>
      <c r="C209" s="27">
        <v>34920</v>
      </c>
      <c r="D209" s="27">
        <v>1413</v>
      </c>
      <c r="E209" s="26">
        <v>2</v>
      </c>
      <c r="F209" s="26"/>
      <c r="G209" s="26"/>
      <c r="H209" s="28" t="str">
        <f t="shared" si="3"/>
        <v/>
      </c>
      <c r="I209" s="2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>
      <c r="A210" s="26">
        <v>60220</v>
      </c>
      <c r="B210" s="26">
        <v>4</v>
      </c>
      <c r="C210" s="27">
        <v>14757</v>
      </c>
      <c r="D210" s="26">
        <v>778</v>
      </c>
      <c r="E210" s="26">
        <v>3</v>
      </c>
      <c r="F210" s="26"/>
      <c r="G210" s="26"/>
      <c r="H210" s="28" t="str">
        <f t="shared" si="3"/>
        <v/>
      </c>
      <c r="I210" s="26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>
      <c r="A211" s="26">
        <v>60221</v>
      </c>
      <c r="B211" s="26">
        <v>4</v>
      </c>
      <c r="C211" s="27">
        <v>11589</v>
      </c>
      <c r="D211" s="27">
        <v>1007</v>
      </c>
      <c r="E211" s="26">
        <v>3</v>
      </c>
      <c r="F211" s="26"/>
      <c r="G211" s="26">
        <v>2021</v>
      </c>
      <c r="H211" s="28">
        <f t="shared" si="3"/>
        <v>2021</v>
      </c>
      <c r="I211" s="26">
        <v>2021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>
      <c r="A212" s="26">
        <v>60222</v>
      </c>
      <c r="B212" s="26">
        <v>2</v>
      </c>
      <c r="C212" s="27">
        <v>9281</v>
      </c>
      <c r="D212" s="27">
        <v>1051</v>
      </c>
      <c r="E212" s="26">
        <v>3</v>
      </c>
      <c r="F212" s="26"/>
      <c r="G212" s="26">
        <v>2021</v>
      </c>
      <c r="H212" s="28">
        <f t="shared" si="3"/>
        <v>2021</v>
      </c>
      <c r="I212" s="26">
        <v>2021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>
      <c r="A213" s="26">
        <v>60223</v>
      </c>
      <c r="B213" s="26">
        <v>2</v>
      </c>
      <c r="C213" s="27">
        <v>6233</v>
      </c>
      <c r="D213" s="26">
        <v>665</v>
      </c>
      <c r="E213" s="26">
        <v>3</v>
      </c>
      <c r="F213" s="26"/>
      <c r="G213" s="26">
        <v>2021</v>
      </c>
      <c r="H213" s="28">
        <f t="shared" si="3"/>
        <v>2021</v>
      </c>
      <c r="I213" s="26">
        <v>2021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>
      <c r="A214" s="26">
        <v>60224</v>
      </c>
      <c r="B214" s="26">
        <v>2</v>
      </c>
      <c r="C214" s="27">
        <v>2989</v>
      </c>
      <c r="D214" s="26">
        <v>476</v>
      </c>
      <c r="E214" s="26">
        <v>4</v>
      </c>
      <c r="F214" s="26"/>
      <c r="G214" s="26"/>
      <c r="H214" s="28" t="str">
        <f t="shared" si="3"/>
        <v/>
      </c>
      <c r="I214" s="26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>
      <c r="A215" s="26">
        <v>60225</v>
      </c>
      <c r="B215" s="26">
        <v>2</v>
      </c>
      <c r="C215" s="27">
        <v>4814</v>
      </c>
      <c r="D215" s="26">
        <v>660</v>
      </c>
      <c r="E215" s="26">
        <v>4</v>
      </c>
      <c r="F215" s="26"/>
      <c r="G215" s="26"/>
      <c r="H215" s="28" t="str">
        <f t="shared" si="3"/>
        <v/>
      </c>
      <c r="I215" s="26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>
      <c r="A216" s="26">
        <v>60226</v>
      </c>
      <c r="B216" s="26">
        <v>2</v>
      </c>
      <c r="C216" s="27">
        <v>3664</v>
      </c>
      <c r="D216" s="26">
        <v>399</v>
      </c>
      <c r="E216" s="26">
        <v>4</v>
      </c>
      <c r="F216" s="26"/>
      <c r="G216" s="26"/>
      <c r="H216" s="28" t="str">
        <f t="shared" si="3"/>
        <v/>
      </c>
      <c r="I216" s="26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>
      <c r="A217" s="26">
        <v>60227</v>
      </c>
      <c r="B217" s="26">
        <v>2</v>
      </c>
      <c r="C217" s="27">
        <v>11086</v>
      </c>
      <c r="D217" s="26">
        <v>600</v>
      </c>
      <c r="E217" s="26">
        <v>3</v>
      </c>
      <c r="F217" s="26">
        <v>2025</v>
      </c>
      <c r="G217" s="26">
        <v>2022</v>
      </c>
      <c r="H217" s="28">
        <f t="shared" si="3"/>
        <v>2025</v>
      </c>
      <c r="I217" s="26">
        <v>2025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>
      <c r="A218" s="26">
        <v>60228</v>
      </c>
      <c r="B218" s="26">
        <v>2</v>
      </c>
      <c r="C218" s="27">
        <v>9968</v>
      </c>
      <c r="D218" s="26">
        <v>437</v>
      </c>
      <c r="E218" s="26">
        <v>3</v>
      </c>
      <c r="F218" s="26">
        <v>2021</v>
      </c>
      <c r="G218" s="26"/>
      <c r="H218" s="28">
        <f t="shared" si="3"/>
        <v>2021</v>
      </c>
      <c r="I218" s="26">
        <v>2021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>
      <c r="A219" s="26">
        <v>60229</v>
      </c>
      <c r="B219" s="26">
        <v>2</v>
      </c>
      <c r="C219" s="27">
        <v>1407</v>
      </c>
      <c r="D219" s="26">
        <v>75</v>
      </c>
      <c r="E219" s="26">
        <v>4</v>
      </c>
      <c r="F219" s="26">
        <v>2021</v>
      </c>
      <c r="G219" s="26"/>
      <c r="H219" s="28">
        <f t="shared" si="3"/>
        <v>2021</v>
      </c>
      <c r="I219" s="26">
        <v>2021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>
      <c r="A220" s="26">
        <v>60230</v>
      </c>
      <c r="B220" s="26">
        <v>2</v>
      </c>
      <c r="C220" s="26">
        <v>169</v>
      </c>
      <c r="D220" s="26">
        <v>30</v>
      </c>
      <c r="E220" s="26">
        <v>4</v>
      </c>
      <c r="F220" s="26"/>
      <c r="G220" s="26"/>
      <c r="H220" s="28" t="str">
        <f t="shared" si="3"/>
        <v/>
      </c>
      <c r="I220" s="26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>
      <c r="A221" s="26">
        <v>60231</v>
      </c>
      <c r="B221" s="26">
        <v>2</v>
      </c>
      <c r="C221" s="26">
        <v>242</v>
      </c>
      <c r="D221" s="26">
        <v>22</v>
      </c>
      <c r="E221" s="26">
        <v>4</v>
      </c>
      <c r="F221" s="26"/>
      <c r="G221" s="26"/>
      <c r="H221" s="28" t="str">
        <f t="shared" si="3"/>
        <v/>
      </c>
      <c r="I221" s="26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>
      <c r="A222" s="26">
        <v>60232</v>
      </c>
      <c r="B222" s="26">
        <v>2</v>
      </c>
      <c r="C222" s="27">
        <v>2652</v>
      </c>
      <c r="D222" s="26">
        <v>276</v>
      </c>
      <c r="E222" s="26">
        <v>4</v>
      </c>
      <c r="F222" s="26"/>
      <c r="G222" s="26">
        <v>2021</v>
      </c>
      <c r="H222" s="28">
        <f t="shared" si="3"/>
        <v>2021</v>
      </c>
      <c r="I222" s="26">
        <v>2021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>
      <c r="A223" s="26">
        <v>60233</v>
      </c>
      <c r="B223" s="26">
        <v>2</v>
      </c>
      <c r="C223" s="27">
        <v>3593</v>
      </c>
      <c r="D223" s="26">
        <v>219</v>
      </c>
      <c r="E223" s="26">
        <v>4</v>
      </c>
      <c r="F223" s="26"/>
      <c r="G223" s="26">
        <v>2022</v>
      </c>
      <c r="H223" s="28">
        <f t="shared" si="3"/>
        <v>2022</v>
      </c>
      <c r="I223" s="26">
        <v>2022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>
      <c r="A224" s="26">
        <v>60234</v>
      </c>
      <c r="B224" s="26">
        <v>2</v>
      </c>
      <c r="C224" s="26">
        <v>727</v>
      </c>
      <c r="D224" s="26">
        <v>51</v>
      </c>
      <c r="E224" s="26">
        <v>4</v>
      </c>
      <c r="F224" s="26"/>
      <c r="G224" s="26">
        <v>2021</v>
      </c>
      <c r="H224" s="28">
        <f t="shared" si="3"/>
        <v>2021</v>
      </c>
      <c r="I224" s="26">
        <v>2021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>
      <c r="A225" s="26">
        <v>60235</v>
      </c>
      <c r="B225" s="26">
        <v>4</v>
      </c>
      <c r="C225" s="27">
        <v>12853</v>
      </c>
      <c r="D225" s="26">
        <v>767</v>
      </c>
      <c r="E225" s="26">
        <v>3</v>
      </c>
      <c r="F225" s="26"/>
      <c r="G225" s="26"/>
      <c r="H225" s="28" t="str">
        <f t="shared" si="3"/>
        <v/>
      </c>
      <c r="I225" s="26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>
      <c r="A226" s="26">
        <v>60236</v>
      </c>
      <c r="B226" s="26">
        <v>2</v>
      </c>
      <c r="C226" s="27">
        <v>6964</v>
      </c>
      <c r="D226" s="26">
        <v>702</v>
      </c>
      <c r="E226" s="26">
        <v>3</v>
      </c>
      <c r="F226" s="26"/>
      <c r="G226" s="26">
        <v>2024</v>
      </c>
      <c r="H226" s="28">
        <f t="shared" si="3"/>
        <v>2024</v>
      </c>
      <c r="I226" s="26">
        <v>2024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>
      <c r="A227" s="26">
        <v>60237</v>
      </c>
      <c r="B227" s="26">
        <v>2</v>
      </c>
      <c r="C227" s="27">
        <v>6573</v>
      </c>
      <c r="D227" s="26">
        <v>959</v>
      </c>
      <c r="E227" s="26">
        <v>3</v>
      </c>
      <c r="F227" s="26"/>
      <c r="G227" s="26"/>
      <c r="H227" s="28" t="str">
        <f t="shared" si="3"/>
        <v/>
      </c>
      <c r="I227" s="26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>
      <c r="A228" s="26">
        <v>60238</v>
      </c>
      <c r="B228" s="26">
        <v>2</v>
      </c>
      <c r="C228" s="27">
        <v>3848</v>
      </c>
      <c r="D228" s="26">
        <v>560</v>
      </c>
      <c r="E228" s="26">
        <v>4</v>
      </c>
      <c r="F228" s="26"/>
      <c r="G228" s="26"/>
      <c r="H228" s="28" t="str">
        <f t="shared" si="3"/>
        <v/>
      </c>
      <c r="I228" s="26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>
      <c r="A229" s="26">
        <v>60239</v>
      </c>
      <c r="B229" s="26">
        <v>2</v>
      </c>
      <c r="C229" s="27">
        <v>1929</v>
      </c>
      <c r="D229" s="26">
        <v>321</v>
      </c>
      <c r="E229" s="26">
        <v>4</v>
      </c>
      <c r="F229" s="26"/>
      <c r="G229" s="26"/>
      <c r="H229" s="28" t="str">
        <f t="shared" si="3"/>
        <v/>
      </c>
      <c r="I229" s="26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>
      <c r="A230" s="26">
        <v>60240</v>
      </c>
      <c r="B230" s="26">
        <v>2</v>
      </c>
      <c r="C230" s="27">
        <v>1090</v>
      </c>
      <c r="D230" s="26">
        <v>159</v>
      </c>
      <c r="E230" s="26">
        <v>4</v>
      </c>
      <c r="F230" s="26"/>
      <c r="G230" s="26"/>
      <c r="H230" s="28" t="str">
        <f t="shared" si="3"/>
        <v/>
      </c>
      <c r="I230" s="26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>
      <c r="A231" s="26">
        <v>60241</v>
      </c>
      <c r="B231" s="26">
        <v>2</v>
      </c>
      <c r="C231" s="27">
        <v>1815</v>
      </c>
      <c r="D231" s="26">
        <v>265</v>
      </c>
      <c r="E231" s="26">
        <v>4</v>
      </c>
      <c r="F231" s="26"/>
      <c r="G231" s="26"/>
      <c r="H231" s="28" t="str">
        <f t="shared" si="3"/>
        <v/>
      </c>
      <c r="I231" s="26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>
      <c r="A232" s="26">
        <v>60242</v>
      </c>
      <c r="B232" s="26">
        <v>2</v>
      </c>
      <c r="C232" s="27">
        <v>2791</v>
      </c>
      <c r="D232" s="26">
        <v>406</v>
      </c>
      <c r="E232" s="26">
        <v>4</v>
      </c>
      <c r="F232" s="26"/>
      <c r="G232" s="26"/>
      <c r="H232" s="28" t="str">
        <f t="shared" si="3"/>
        <v/>
      </c>
      <c r="I232" s="26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>
      <c r="A233" s="26">
        <v>60243</v>
      </c>
      <c r="B233" s="26">
        <v>2</v>
      </c>
      <c r="C233" s="26">
        <v>359</v>
      </c>
      <c r="D233" s="26">
        <v>30</v>
      </c>
      <c r="E233" s="26">
        <v>4</v>
      </c>
      <c r="F233" s="26"/>
      <c r="G233" s="26">
        <v>2023</v>
      </c>
      <c r="H233" s="28">
        <f t="shared" si="3"/>
        <v>2023</v>
      </c>
      <c r="I233" s="26">
        <v>2023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>
      <c r="A234" s="26">
        <v>60244</v>
      </c>
      <c r="B234" s="26">
        <v>2</v>
      </c>
      <c r="C234" s="27">
        <v>2243</v>
      </c>
      <c r="D234" s="26">
        <v>179</v>
      </c>
      <c r="E234" s="26">
        <v>4</v>
      </c>
      <c r="F234" s="26"/>
      <c r="G234" s="26"/>
      <c r="H234" s="28" t="str">
        <f t="shared" si="3"/>
        <v/>
      </c>
      <c r="I234" s="26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>
      <c r="A235" s="26">
        <v>60245</v>
      </c>
      <c r="B235" s="26">
        <v>2</v>
      </c>
      <c r="C235" s="26">
        <v>781</v>
      </c>
      <c r="D235" s="26">
        <v>76</v>
      </c>
      <c r="E235" s="26">
        <v>4</v>
      </c>
      <c r="F235" s="26"/>
      <c r="G235" s="26"/>
      <c r="H235" s="28" t="str">
        <f t="shared" si="3"/>
        <v/>
      </c>
      <c r="I235" s="26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>
      <c r="A236" s="26">
        <v>60246</v>
      </c>
      <c r="B236" s="26">
        <v>2</v>
      </c>
      <c r="C236" s="27">
        <v>1847</v>
      </c>
      <c r="D236" s="26">
        <v>180</v>
      </c>
      <c r="E236" s="26">
        <v>4</v>
      </c>
      <c r="F236" s="26"/>
      <c r="G236" s="26"/>
      <c r="H236" s="28" t="str">
        <f t="shared" si="3"/>
        <v/>
      </c>
      <c r="I236" s="26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>
      <c r="A237" s="26">
        <v>60247</v>
      </c>
      <c r="B237" s="26">
        <v>2</v>
      </c>
      <c r="C237" s="27">
        <v>5232</v>
      </c>
      <c r="D237" s="26">
        <v>617</v>
      </c>
      <c r="E237" s="26">
        <v>4</v>
      </c>
      <c r="F237" s="26"/>
      <c r="G237" s="26"/>
      <c r="H237" s="28" t="str">
        <f t="shared" si="3"/>
        <v/>
      </c>
      <c r="I237" s="26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>
      <c r="A238" s="26">
        <v>60248</v>
      </c>
      <c r="B238" s="26">
        <v>2</v>
      </c>
      <c r="C238" s="27">
        <v>2222</v>
      </c>
      <c r="D238" s="26">
        <v>267</v>
      </c>
      <c r="E238" s="26">
        <v>4</v>
      </c>
      <c r="F238" s="26"/>
      <c r="G238" s="26"/>
      <c r="H238" s="28" t="str">
        <f t="shared" si="3"/>
        <v/>
      </c>
      <c r="I238" s="26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>
      <c r="A239" s="26">
        <v>60249</v>
      </c>
      <c r="B239" s="26">
        <v>2</v>
      </c>
      <c r="C239" s="27">
        <v>1189</v>
      </c>
      <c r="D239" s="26">
        <v>142</v>
      </c>
      <c r="E239" s="26">
        <v>4</v>
      </c>
      <c r="F239" s="26"/>
      <c r="G239" s="26"/>
      <c r="H239" s="28" t="str">
        <f t="shared" si="3"/>
        <v/>
      </c>
      <c r="I239" s="26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>
      <c r="A240" s="26">
        <v>60252</v>
      </c>
      <c r="B240" s="26">
        <v>2</v>
      </c>
      <c r="C240" s="26">
        <v>258</v>
      </c>
      <c r="D240" s="26">
        <v>34</v>
      </c>
      <c r="E240" s="26">
        <v>4</v>
      </c>
      <c r="F240" s="26"/>
      <c r="G240" s="26"/>
      <c r="H240" s="28" t="str">
        <f t="shared" si="3"/>
        <v/>
      </c>
      <c r="I240" s="26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>
      <c r="A241" s="26">
        <v>60253</v>
      </c>
      <c r="B241" s="26">
        <v>2</v>
      </c>
      <c r="C241" s="27">
        <v>1673</v>
      </c>
      <c r="D241" s="26">
        <v>201</v>
      </c>
      <c r="E241" s="26">
        <v>4</v>
      </c>
      <c r="F241" s="26"/>
      <c r="G241" s="26"/>
      <c r="H241" s="28" t="str">
        <f t="shared" si="3"/>
        <v/>
      </c>
      <c r="I241" s="26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>
      <c r="A242" s="26">
        <v>60254</v>
      </c>
      <c r="B242" s="26">
        <v>2</v>
      </c>
      <c r="C242" s="27">
        <v>2228</v>
      </c>
      <c r="D242" s="26">
        <v>574</v>
      </c>
      <c r="E242" s="26">
        <v>4</v>
      </c>
      <c r="F242" s="26"/>
      <c r="G242" s="26"/>
      <c r="H242" s="28" t="str">
        <f t="shared" si="3"/>
        <v/>
      </c>
      <c r="I242" s="26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>
      <c r="A243" s="26">
        <v>60255</v>
      </c>
      <c r="B243" s="26">
        <v>2</v>
      </c>
      <c r="C243" s="27">
        <v>3255</v>
      </c>
      <c r="D243" s="26">
        <v>953</v>
      </c>
      <c r="E243" s="26">
        <v>4</v>
      </c>
      <c r="F243" s="26"/>
      <c r="G243" s="26"/>
      <c r="H243" s="28" t="str">
        <f t="shared" si="3"/>
        <v/>
      </c>
      <c r="I243" s="26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>
      <c r="A244" s="26">
        <v>60256</v>
      </c>
      <c r="B244" s="26">
        <v>2</v>
      </c>
      <c r="C244" s="27">
        <v>2830</v>
      </c>
      <c r="D244" s="27">
        <v>1010</v>
      </c>
      <c r="E244" s="26">
        <v>4</v>
      </c>
      <c r="F244" s="26"/>
      <c r="G244" s="26"/>
      <c r="H244" s="28" t="str">
        <f t="shared" si="3"/>
        <v/>
      </c>
      <c r="I244" s="26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>
      <c r="A245" s="26">
        <v>60257</v>
      </c>
      <c r="B245" s="26">
        <v>2</v>
      </c>
      <c r="C245" s="27">
        <v>3291</v>
      </c>
      <c r="D245" s="26">
        <v>676</v>
      </c>
      <c r="E245" s="26">
        <v>4</v>
      </c>
      <c r="F245" s="26"/>
      <c r="G245" s="26"/>
      <c r="H245" s="28" t="str">
        <f t="shared" si="3"/>
        <v/>
      </c>
      <c r="I245" s="26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>
      <c r="A246" s="26">
        <v>60258</v>
      </c>
      <c r="B246" s="26">
        <v>2</v>
      </c>
      <c r="C246" s="27">
        <v>1534</v>
      </c>
      <c r="D246" s="26">
        <v>200</v>
      </c>
      <c r="E246" s="26">
        <v>4</v>
      </c>
      <c r="F246" s="26"/>
      <c r="G246" s="26"/>
      <c r="H246" s="28" t="str">
        <f t="shared" si="3"/>
        <v/>
      </c>
      <c r="I246" s="26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>
      <c r="A247" s="26">
        <v>60259</v>
      </c>
      <c r="B247" s="26">
        <v>2</v>
      </c>
      <c r="C247" s="26">
        <v>555</v>
      </c>
      <c r="D247" s="26">
        <v>54</v>
      </c>
      <c r="E247" s="26">
        <v>4</v>
      </c>
      <c r="F247" s="26"/>
      <c r="G247" s="26"/>
      <c r="H247" s="28" t="str">
        <f t="shared" si="3"/>
        <v/>
      </c>
      <c r="I247" s="26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>
      <c r="A248" s="26">
        <v>60260</v>
      </c>
      <c r="B248" s="26">
        <v>2</v>
      </c>
      <c r="C248" s="26">
        <v>699</v>
      </c>
      <c r="D248" s="26">
        <v>76</v>
      </c>
      <c r="E248" s="26">
        <v>4</v>
      </c>
      <c r="F248" s="26"/>
      <c r="G248" s="26"/>
      <c r="H248" s="28" t="str">
        <f t="shared" si="3"/>
        <v/>
      </c>
      <c r="I248" s="26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>
      <c r="A249" s="26">
        <v>60261</v>
      </c>
      <c r="B249" s="26">
        <v>4</v>
      </c>
      <c r="C249" s="27">
        <v>38467</v>
      </c>
      <c r="D249" s="27">
        <v>5288</v>
      </c>
      <c r="E249" s="26">
        <v>2</v>
      </c>
      <c r="F249" s="26"/>
      <c r="G249" s="26"/>
      <c r="H249" s="28" t="str">
        <f t="shared" si="3"/>
        <v/>
      </c>
      <c r="I249" s="26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>
      <c r="A250" s="26">
        <v>60262</v>
      </c>
      <c r="B250" s="26">
        <v>2</v>
      </c>
      <c r="C250" s="27">
        <v>1144</v>
      </c>
      <c r="D250" s="26">
        <v>137</v>
      </c>
      <c r="E250" s="26">
        <v>4</v>
      </c>
      <c r="F250" s="26"/>
      <c r="G250" s="26"/>
      <c r="H250" s="28" t="str">
        <f t="shared" si="3"/>
        <v/>
      </c>
      <c r="I250" s="26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>
      <c r="A251" s="26">
        <v>60263</v>
      </c>
      <c r="B251" s="26">
        <v>2</v>
      </c>
      <c r="C251" s="27">
        <v>3464</v>
      </c>
      <c r="D251" s="26">
        <v>490</v>
      </c>
      <c r="E251" s="26">
        <v>4</v>
      </c>
      <c r="F251" s="26"/>
      <c r="G251" s="26"/>
      <c r="H251" s="28" t="str">
        <f t="shared" si="3"/>
        <v/>
      </c>
      <c r="I251" s="26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>
      <c r="A252" s="26">
        <v>60264</v>
      </c>
      <c r="B252" s="26">
        <v>2</v>
      </c>
      <c r="C252" s="27">
        <v>3341</v>
      </c>
      <c r="D252" s="26">
        <v>441</v>
      </c>
      <c r="E252" s="26">
        <v>4</v>
      </c>
      <c r="F252" s="26"/>
      <c r="G252" s="26">
        <v>2022</v>
      </c>
      <c r="H252" s="28">
        <f t="shared" si="3"/>
        <v>2022</v>
      </c>
      <c r="I252" s="26">
        <v>2022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>
      <c r="A253" s="26">
        <v>60265</v>
      </c>
      <c r="B253" s="26">
        <v>2</v>
      </c>
      <c r="C253" s="27">
        <v>1000</v>
      </c>
      <c r="D253" s="26">
        <v>23</v>
      </c>
      <c r="E253" s="26">
        <v>4</v>
      </c>
      <c r="F253" s="26"/>
      <c r="G253" s="26"/>
      <c r="H253" s="28" t="str">
        <f t="shared" si="3"/>
        <v/>
      </c>
      <c r="I253" s="26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>
      <c r="A254" s="26">
        <v>60266</v>
      </c>
      <c r="B254" s="26">
        <v>2</v>
      </c>
      <c r="C254" s="26">
        <v>798</v>
      </c>
      <c r="D254" s="26">
        <v>95</v>
      </c>
      <c r="E254" s="26">
        <v>4</v>
      </c>
      <c r="F254" s="26"/>
      <c r="G254" s="26">
        <v>2023</v>
      </c>
      <c r="H254" s="28">
        <f t="shared" si="3"/>
        <v>2023</v>
      </c>
      <c r="I254" s="26">
        <v>2023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>
      <c r="A255" s="26">
        <v>60267</v>
      </c>
      <c r="B255" s="26">
        <v>2</v>
      </c>
      <c r="C255" s="27">
        <v>1544</v>
      </c>
      <c r="D255" s="26">
        <v>186</v>
      </c>
      <c r="E255" s="26">
        <v>4</v>
      </c>
      <c r="F255" s="26"/>
      <c r="G255" s="26">
        <v>2021</v>
      </c>
      <c r="H255" s="28">
        <f t="shared" si="3"/>
        <v>2021</v>
      </c>
      <c r="I255" s="26">
        <v>2021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>
      <c r="A256" s="26">
        <v>60268</v>
      </c>
      <c r="B256" s="26">
        <v>2</v>
      </c>
      <c r="C256" s="27">
        <v>4989</v>
      </c>
      <c r="D256" s="27">
        <v>1095</v>
      </c>
      <c r="E256" s="26">
        <v>4</v>
      </c>
      <c r="F256" s="26"/>
      <c r="G256" s="26">
        <v>2023</v>
      </c>
      <c r="H256" s="28">
        <f t="shared" si="3"/>
        <v>2023</v>
      </c>
      <c r="I256" s="26">
        <v>2023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>
      <c r="A257" s="26">
        <v>60269</v>
      </c>
      <c r="B257" s="26">
        <v>2</v>
      </c>
      <c r="C257" s="27">
        <v>8643</v>
      </c>
      <c r="D257" s="26">
        <v>666</v>
      </c>
      <c r="E257" s="26">
        <v>3</v>
      </c>
      <c r="F257" s="26"/>
      <c r="G257" s="26"/>
      <c r="H257" s="28" t="str">
        <f t="shared" si="3"/>
        <v/>
      </c>
      <c r="I257" s="26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>
      <c r="A258" s="26">
        <v>60270</v>
      </c>
      <c r="B258" s="26">
        <v>2</v>
      </c>
      <c r="C258" s="27">
        <v>8080</v>
      </c>
      <c r="D258" s="27">
        <v>1179</v>
      </c>
      <c r="E258" s="26">
        <v>3</v>
      </c>
      <c r="F258" s="26"/>
      <c r="G258" s="26"/>
      <c r="H258" s="28" t="str">
        <f t="shared" si="3"/>
        <v/>
      </c>
      <c r="I258" s="26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>
      <c r="A259" s="26">
        <v>60271</v>
      </c>
      <c r="B259" s="26">
        <v>2</v>
      </c>
      <c r="C259" s="27">
        <v>1705</v>
      </c>
      <c r="D259" s="26">
        <v>204</v>
      </c>
      <c r="E259" s="26">
        <v>4</v>
      </c>
      <c r="F259" s="26"/>
      <c r="G259" s="26"/>
      <c r="H259" s="28" t="str">
        <f t="shared" ref="H259:H322" si="4">IF(MAX(I259:AB259)=0,"",MAX(I259:AB259))</f>
        <v/>
      </c>
      <c r="I259" s="26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>
      <c r="A260" s="26">
        <v>60273</v>
      </c>
      <c r="B260" s="26">
        <v>4</v>
      </c>
      <c r="C260" s="27">
        <v>18139</v>
      </c>
      <c r="D260" s="27">
        <v>2782</v>
      </c>
      <c r="E260" s="26">
        <v>3</v>
      </c>
      <c r="F260" s="26"/>
      <c r="G260" s="26">
        <v>2024</v>
      </c>
      <c r="H260" s="28">
        <f t="shared" si="4"/>
        <v>2024</v>
      </c>
      <c r="I260" s="26">
        <v>2024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>
      <c r="A261" s="26">
        <v>60274</v>
      </c>
      <c r="B261" s="26">
        <v>6</v>
      </c>
      <c r="C261" s="27">
        <v>41404</v>
      </c>
      <c r="D261" s="27">
        <v>2306</v>
      </c>
      <c r="E261" s="26">
        <v>2</v>
      </c>
      <c r="F261" s="26"/>
      <c r="G261" s="26"/>
      <c r="H261" s="28" t="str">
        <f t="shared" si="4"/>
        <v/>
      </c>
      <c r="I261" s="26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>
      <c r="A262" s="26">
        <v>60275</v>
      </c>
      <c r="B262" s="26">
        <v>2</v>
      </c>
      <c r="C262" s="27">
        <v>5249</v>
      </c>
      <c r="D262" s="27">
        <v>1152</v>
      </c>
      <c r="E262" s="26">
        <v>4</v>
      </c>
      <c r="F262" s="26"/>
      <c r="G262" s="26">
        <v>2023</v>
      </c>
      <c r="H262" s="28">
        <f t="shared" si="4"/>
        <v>2023</v>
      </c>
      <c r="I262" s="26">
        <v>2023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>
      <c r="A263" s="26">
        <v>60276</v>
      </c>
      <c r="B263" s="26">
        <v>4</v>
      </c>
      <c r="C263" s="27">
        <v>8734</v>
      </c>
      <c r="D263" s="27">
        <v>2166</v>
      </c>
      <c r="E263" s="26">
        <v>4</v>
      </c>
      <c r="F263" s="26"/>
      <c r="G263" s="26"/>
      <c r="H263" s="28" t="str">
        <f t="shared" si="4"/>
        <v/>
      </c>
      <c r="I263" s="26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>
      <c r="A264" s="26">
        <v>60277</v>
      </c>
      <c r="B264" s="26">
        <v>2</v>
      </c>
      <c r="C264" s="27">
        <v>4178</v>
      </c>
      <c r="D264" s="26">
        <v>500</v>
      </c>
      <c r="E264" s="26">
        <v>4</v>
      </c>
      <c r="F264" s="26">
        <v>2025</v>
      </c>
      <c r="G264" s="26"/>
      <c r="H264" s="28">
        <f t="shared" si="4"/>
        <v>2025</v>
      </c>
      <c r="I264" s="26">
        <v>2025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>
      <c r="A265" s="26">
        <v>60279</v>
      </c>
      <c r="B265" s="26">
        <v>2</v>
      </c>
      <c r="C265" s="27">
        <v>3702</v>
      </c>
      <c r="D265" s="26">
        <v>444</v>
      </c>
      <c r="E265" s="26">
        <v>4</v>
      </c>
      <c r="F265" s="26"/>
      <c r="G265" s="26"/>
      <c r="H265" s="28" t="str">
        <f t="shared" si="4"/>
        <v/>
      </c>
      <c r="I265" s="26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>
      <c r="A266" s="26">
        <v>60280</v>
      </c>
      <c r="B266" s="26">
        <v>2</v>
      </c>
      <c r="C266" s="27">
        <v>3861</v>
      </c>
      <c r="D266" s="26">
        <v>230</v>
      </c>
      <c r="E266" s="26">
        <v>4</v>
      </c>
      <c r="F266" s="26"/>
      <c r="G266" s="26"/>
      <c r="H266" s="28" t="str">
        <f t="shared" si="4"/>
        <v/>
      </c>
      <c r="I266" s="26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>
      <c r="A267" s="26">
        <v>60281</v>
      </c>
      <c r="B267" s="26">
        <v>4</v>
      </c>
      <c r="C267" s="27">
        <v>7582</v>
      </c>
      <c r="D267" s="26">
        <v>713</v>
      </c>
      <c r="E267" s="26">
        <v>4</v>
      </c>
      <c r="F267" s="26"/>
      <c r="G267" s="26"/>
      <c r="H267" s="28" t="str">
        <f t="shared" si="4"/>
        <v/>
      </c>
      <c r="I267" s="26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>
      <c r="A268" s="26">
        <v>60282</v>
      </c>
      <c r="B268" s="26">
        <v>4</v>
      </c>
      <c r="C268" s="27">
        <v>6221</v>
      </c>
      <c r="D268" s="26">
        <v>509</v>
      </c>
      <c r="E268" s="26">
        <v>4</v>
      </c>
      <c r="F268" s="26"/>
      <c r="G268" s="26"/>
      <c r="H268" s="28" t="str">
        <f t="shared" si="4"/>
        <v/>
      </c>
      <c r="I268" s="26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>
      <c r="A269" s="26">
        <v>60283</v>
      </c>
      <c r="B269" s="26">
        <v>2</v>
      </c>
      <c r="C269" s="27">
        <v>4679</v>
      </c>
      <c r="D269" s="26">
        <v>560</v>
      </c>
      <c r="E269" s="26">
        <v>4</v>
      </c>
      <c r="F269" s="26">
        <v>0</v>
      </c>
      <c r="G269" s="26"/>
      <c r="H269" s="28" t="str">
        <f t="shared" si="4"/>
        <v/>
      </c>
      <c r="I269" s="26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>
      <c r="A270" s="26">
        <v>60284</v>
      </c>
      <c r="B270" s="26">
        <v>2</v>
      </c>
      <c r="C270" s="27">
        <v>1027</v>
      </c>
      <c r="D270" s="26">
        <v>139</v>
      </c>
      <c r="E270" s="26">
        <v>4</v>
      </c>
      <c r="F270" s="26"/>
      <c r="G270" s="26">
        <v>2021</v>
      </c>
      <c r="H270" s="28">
        <f t="shared" si="4"/>
        <v>2021</v>
      </c>
      <c r="I270" s="26">
        <v>2021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>
      <c r="A271" s="26">
        <v>60285</v>
      </c>
      <c r="B271" s="26">
        <v>2</v>
      </c>
      <c r="C271" s="27">
        <v>7106</v>
      </c>
      <c r="D271" s="26">
        <v>674</v>
      </c>
      <c r="E271" s="26">
        <v>3</v>
      </c>
      <c r="F271" s="26"/>
      <c r="G271" s="26">
        <v>2021</v>
      </c>
      <c r="H271" s="28">
        <f t="shared" si="4"/>
        <v>2021</v>
      </c>
      <c r="I271" s="26">
        <v>2021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>
      <c r="A272" s="26">
        <v>60286</v>
      </c>
      <c r="B272" s="26">
        <v>2</v>
      </c>
      <c r="C272" s="27">
        <v>6609</v>
      </c>
      <c r="D272" s="26">
        <v>538</v>
      </c>
      <c r="E272" s="26">
        <v>3</v>
      </c>
      <c r="F272" s="26"/>
      <c r="G272" s="26">
        <v>2022</v>
      </c>
      <c r="H272" s="28">
        <f t="shared" si="4"/>
        <v>2022</v>
      </c>
      <c r="I272" s="26">
        <v>2022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>
      <c r="A273" s="26">
        <v>60287</v>
      </c>
      <c r="B273" s="26">
        <v>2</v>
      </c>
      <c r="C273" s="27">
        <v>5982</v>
      </c>
      <c r="D273" s="27">
        <v>1313</v>
      </c>
      <c r="E273" s="26">
        <v>4</v>
      </c>
      <c r="F273" s="26"/>
      <c r="G273" s="26">
        <v>2021</v>
      </c>
      <c r="H273" s="28">
        <f t="shared" si="4"/>
        <v>2021</v>
      </c>
      <c r="I273" s="26">
        <v>2021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>
      <c r="A274" s="26">
        <v>60288</v>
      </c>
      <c r="B274" s="26">
        <v>2</v>
      </c>
      <c r="C274" s="27">
        <v>4655</v>
      </c>
      <c r="D274" s="26">
        <v>454</v>
      </c>
      <c r="E274" s="26">
        <v>4</v>
      </c>
      <c r="F274" s="26"/>
      <c r="G274" s="26"/>
      <c r="H274" s="28" t="str">
        <f t="shared" si="4"/>
        <v/>
      </c>
      <c r="I274" s="26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>
      <c r="A275" s="26">
        <v>60289</v>
      </c>
      <c r="B275" s="26">
        <v>2</v>
      </c>
      <c r="C275" s="27">
        <v>6393</v>
      </c>
      <c r="D275" s="26">
        <v>932</v>
      </c>
      <c r="E275" s="26">
        <v>3</v>
      </c>
      <c r="F275" s="26"/>
      <c r="G275" s="26"/>
      <c r="H275" s="28" t="str">
        <f t="shared" si="4"/>
        <v/>
      </c>
      <c r="I275" s="26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>
      <c r="A276" s="26">
        <v>60290</v>
      </c>
      <c r="B276" s="26">
        <v>2</v>
      </c>
      <c r="C276" s="27">
        <v>7789</v>
      </c>
      <c r="D276" s="27">
        <v>1320</v>
      </c>
      <c r="E276" s="26">
        <v>3</v>
      </c>
      <c r="F276" s="26"/>
      <c r="G276" s="26">
        <v>2024</v>
      </c>
      <c r="H276" s="28">
        <f t="shared" si="4"/>
        <v>2024</v>
      </c>
      <c r="I276" s="26">
        <v>2024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>
      <c r="A277" s="26">
        <v>60291</v>
      </c>
      <c r="B277" s="26">
        <v>2</v>
      </c>
      <c r="C277" s="27">
        <v>2834</v>
      </c>
      <c r="D277" s="26">
        <v>337</v>
      </c>
      <c r="E277" s="26">
        <v>4</v>
      </c>
      <c r="F277" s="26"/>
      <c r="G277" s="26"/>
      <c r="H277" s="28" t="str">
        <f t="shared" si="4"/>
        <v/>
      </c>
      <c r="I277" s="26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>
      <c r="A278" s="26">
        <v>60292</v>
      </c>
      <c r="B278" s="26">
        <v>2</v>
      </c>
      <c r="C278" s="27">
        <v>2785</v>
      </c>
      <c r="D278" s="26">
        <v>327</v>
      </c>
      <c r="E278" s="26">
        <v>4</v>
      </c>
      <c r="F278" s="26"/>
      <c r="G278" s="26"/>
      <c r="H278" s="28" t="str">
        <f t="shared" si="4"/>
        <v/>
      </c>
      <c r="I278" s="26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>
      <c r="A279" s="26">
        <v>60293</v>
      </c>
      <c r="B279" s="26">
        <v>2</v>
      </c>
      <c r="C279" s="27">
        <v>2501</v>
      </c>
      <c r="D279" s="26">
        <v>184</v>
      </c>
      <c r="E279" s="26">
        <v>4</v>
      </c>
      <c r="F279" s="26"/>
      <c r="G279" s="26"/>
      <c r="H279" s="28" t="str">
        <f t="shared" si="4"/>
        <v/>
      </c>
      <c r="I279" s="26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>
      <c r="A280" s="26">
        <v>60294</v>
      </c>
      <c r="B280" s="26">
        <v>2</v>
      </c>
      <c r="C280" s="27">
        <v>3255</v>
      </c>
      <c r="D280" s="26">
        <v>507</v>
      </c>
      <c r="E280" s="26">
        <v>4</v>
      </c>
      <c r="F280" s="26"/>
      <c r="G280" s="26"/>
      <c r="H280" s="28" t="str">
        <f t="shared" si="4"/>
        <v/>
      </c>
      <c r="I280" s="26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>
      <c r="A281" s="26">
        <v>60295</v>
      </c>
      <c r="B281" s="26">
        <v>2</v>
      </c>
      <c r="C281" s="27">
        <v>6447</v>
      </c>
      <c r="D281" s="26">
        <v>799</v>
      </c>
      <c r="E281" s="26">
        <v>3</v>
      </c>
      <c r="F281" s="26"/>
      <c r="G281" s="26"/>
      <c r="H281" s="28" t="str">
        <f t="shared" si="4"/>
        <v/>
      </c>
      <c r="I281" s="26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>
      <c r="A282" s="26">
        <v>60296</v>
      </c>
      <c r="B282" s="26">
        <v>2</v>
      </c>
      <c r="C282" s="27">
        <v>8303</v>
      </c>
      <c r="D282" s="26">
        <v>859</v>
      </c>
      <c r="E282" s="26">
        <v>3</v>
      </c>
      <c r="F282" s="26"/>
      <c r="G282" s="26"/>
      <c r="H282" s="28" t="str">
        <f t="shared" si="4"/>
        <v/>
      </c>
      <c r="I282" s="26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>
      <c r="A283" s="26">
        <v>60297</v>
      </c>
      <c r="B283" s="26">
        <v>2</v>
      </c>
      <c r="C283" s="27">
        <v>5227</v>
      </c>
      <c r="D283" s="26">
        <v>620</v>
      </c>
      <c r="E283" s="26">
        <v>4</v>
      </c>
      <c r="F283" s="26"/>
      <c r="G283" s="26"/>
      <c r="H283" s="28" t="str">
        <f t="shared" si="4"/>
        <v/>
      </c>
      <c r="I283" s="26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>
      <c r="A284" s="26">
        <v>60298</v>
      </c>
      <c r="B284" s="26">
        <v>2</v>
      </c>
      <c r="C284" s="27">
        <v>5093</v>
      </c>
      <c r="D284" s="26">
        <v>742</v>
      </c>
      <c r="E284" s="26">
        <v>4</v>
      </c>
      <c r="F284" s="26"/>
      <c r="G284" s="26"/>
      <c r="H284" s="28" t="str">
        <f t="shared" si="4"/>
        <v/>
      </c>
      <c r="I284" s="26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>
      <c r="A285" s="26">
        <v>60299</v>
      </c>
      <c r="B285" s="26">
        <v>2</v>
      </c>
      <c r="C285" s="27">
        <v>1115</v>
      </c>
      <c r="D285" s="26">
        <v>134</v>
      </c>
      <c r="E285" s="26">
        <v>4</v>
      </c>
      <c r="F285" s="26"/>
      <c r="G285" s="26"/>
      <c r="H285" s="28" t="str">
        <f t="shared" si="4"/>
        <v/>
      </c>
      <c r="I285" s="26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>
      <c r="A286" s="26">
        <v>60300</v>
      </c>
      <c r="B286" s="26">
        <v>4</v>
      </c>
      <c r="C286" s="27">
        <v>6542</v>
      </c>
      <c r="D286" s="27">
        <v>2126</v>
      </c>
      <c r="E286" s="26">
        <v>4</v>
      </c>
      <c r="F286" s="26"/>
      <c r="G286" s="26"/>
      <c r="H286" s="28" t="str">
        <f t="shared" si="4"/>
        <v/>
      </c>
      <c r="I286" s="26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>
      <c r="A287" s="26">
        <v>60301</v>
      </c>
      <c r="B287" s="26">
        <v>4</v>
      </c>
      <c r="C287" s="27">
        <v>5904</v>
      </c>
      <c r="D287" s="27">
        <v>2112</v>
      </c>
      <c r="E287" s="26">
        <v>4</v>
      </c>
      <c r="F287" s="26"/>
      <c r="G287" s="26"/>
      <c r="H287" s="28" t="str">
        <f t="shared" si="4"/>
        <v/>
      </c>
      <c r="I287" s="26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>
      <c r="A288" s="26">
        <v>60302</v>
      </c>
      <c r="B288" s="26">
        <v>2</v>
      </c>
      <c r="C288" s="27">
        <v>11947</v>
      </c>
      <c r="D288" s="26">
        <v>671</v>
      </c>
      <c r="E288" s="26">
        <v>3</v>
      </c>
      <c r="F288" s="26"/>
      <c r="G288" s="26">
        <v>2023</v>
      </c>
      <c r="H288" s="28">
        <f t="shared" si="4"/>
        <v>2023</v>
      </c>
      <c r="I288" s="26">
        <v>2023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>
      <c r="A289" s="26">
        <v>60303</v>
      </c>
      <c r="B289" s="26">
        <v>2</v>
      </c>
      <c r="C289" s="27">
        <v>3185</v>
      </c>
      <c r="D289" s="26">
        <v>377</v>
      </c>
      <c r="E289" s="26">
        <v>4</v>
      </c>
      <c r="F289" s="26"/>
      <c r="G289" s="26"/>
      <c r="H289" s="28" t="str">
        <f t="shared" si="4"/>
        <v/>
      </c>
      <c r="I289" s="26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>
      <c r="A290" s="26">
        <v>60304</v>
      </c>
      <c r="B290" s="26">
        <v>2</v>
      </c>
      <c r="C290" s="27">
        <v>3292</v>
      </c>
      <c r="D290" s="26">
        <v>390</v>
      </c>
      <c r="E290" s="26">
        <v>4</v>
      </c>
      <c r="F290" s="26">
        <v>2024</v>
      </c>
      <c r="G290" s="26"/>
      <c r="H290" s="28">
        <f t="shared" si="4"/>
        <v>2024</v>
      </c>
      <c r="I290" s="26">
        <v>2024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>
      <c r="A291" s="26">
        <v>60305</v>
      </c>
      <c r="B291" s="26">
        <v>2</v>
      </c>
      <c r="C291" s="27">
        <v>1915</v>
      </c>
      <c r="D291" s="26">
        <v>212</v>
      </c>
      <c r="E291" s="26">
        <v>4</v>
      </c>
      <c r="F291" s="26"/>
      <c r="G291" s="26"/>
      <c r="H291" s="28" t="str">
        <f t="shared" si="4"/>
        <v/>
      </c>
      <c r="I291" s="26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>
      <c r="A292" s="26">
        <v>60306</v>
      </c>
      <c r="B292" s="26">
        <v>2</v>
      </c>
      <c r="C292" s="27">
        <v>2527</v>
      </c>
      <c r="D292" s="26">
        <v>334</v>
      </c>
      <c r="E292" s="26">
        <v>4</v>
      </c>
      <c r="F292" s="26"/>
      <c r="G292" s="26"/>
      <c r="H292" s="28" t="str">
        <f t="shared" si="4"/>
        <v/>
      </c>
      <c r="I292" s="26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>
      <c r="A293" s="26">
        <v>60307</v>
      </c>
      <c r="B293" s="26">
        <v>2</v>
      </c>
      <c r="C293" s="26">
        <v>978</v>
      </c>
      <c r="D293" s="26">
        <v>117</v>
      </c>
      <c r="E293" s="26">
        <v>4</v>
      </c>
      <c r="F293" s="26"/>
      <c r="G293" s="26"/>
      <c r="H293" s="28" t="str">
        <f t="shared" si="4"/>
        <v/>
      </c>
      <c r="I293" s="26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>
      <c r="A294" s="26">
        <v>60308</v>
      </c>
      <c r="B294" s="26">
        <v>2</v>
      </c>
      <c r="C294" s="27">
        <v>2885</v>
      </c>
      <c r="D294" s="26">
        <v>420</v>
      </c>
      <c r="E294" s="26">
        <v>4</v>
      </c>
      <c r="F294" s="26"/>
      <c r="G294" s="26"/>
      <c r="H294" s="28" t="str">
        <f t="shared" si="4"/>
        <v/>
      </c>
      <c r="I294" s="26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>
      <c r="A295" s="26">
        <v>60309</v>
      </c>
      <c r="B295" s="26">
        <v>2</v>
      </c>
      <c r="C295" s="27">
        <v>2049</v>
      </c>
      <c r="D295" s="26">
        <v>299</v>
      </c>
      <c r="E295" s="26">
        <v>4</v>
      </c>
      <c r="F295" s="26"/>
      <c r="G295" s="26"/>
      <c r="H295" s="28" t="str">
        <f t="shared" si="4"/>
        <v/>
      </c>
      <c r="I295" s="26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>
      <c r="A296" s="26">
        <v>60310</v>
      </c>
      <c r="B296" s="26">
        <v>4</v>
      </c>
      <c r="C296" s="27">
        <v>31107</v>
      </c>
      <c r="D296" s="27">
        <v>3840</v>
      </c>
      <c r="E296" s="26">
        <v>2</v>
      </c>
      <c r="F296" s="26"/>
      <c r="G296" s="26"/>
      <c r="H296" s="28" t="str">
        <f t="shared" si="4"/>
        <v/>
      </c>
      <c r="I296" s="26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>
      <c r="A297" s="26">
        <v>60311</v>
      </c>
      <c r="B297" s="26">
        <v>6</v>
      </c>
      <c r="C297" s="27">
        <v>32484</v>
      </c>
      <c r="D297" s="27">
        <v>3879</v>
      </c>
      <c r="E297" s="26">
        <v>2</v>
      </c>
      <c r="F297" s="26"/>
      <c r="G297" s="26">
        <v>2023</v>
      </c>
      <c r="H297" s="28">
        <f t="shared" si="4"/>
        <v>2023</v>
      </c>
      <c r="I297" s="26">
        <v>2023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>
      <c r="A298" s="26">
        <v>60312</v>
      </c>
      <c r="B298" s="26">
        <v>4</v>
      </c>
      <c r="C298" s="27">
        <v>34475</v>
      </c>
      <c r="D298" s="27">
        <v>3945</v>
      </c>
      <c r="E298" s="26">
        <v>2</v>
      </c>
      <c r="F298" s="26">
        <v>2025</v>
      </c>
      <c r="G298" s="26"/>
      <c r="H298" s="28">
        <f t="shared" si="4"/>
        <v>2025</v>
      </c>
      <c r="I298" s="26">
        <v>2025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>
      <c r="A299" s="26">
        <v>60313</v>
      </c>
      <c r="B299" s="26">
        <v>4</v>
      </c>
      <c r="C299" s="27">
        <v>39653</v>
      </c>
      <c r="D299" s="27">
        <v>2010</v>
      </c>
      <c r="E299" s="26">
        <v>2</v>
      </c>
      <c r="F299" s="26"/>
      <c r="G299" s="26"/>
      <c r="H299" s="28" t="str">
        <f t="shared" si="4"/>
        <v/>
      </c>
      <c r="I299" s="26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>
      <c r="A300" s="26">
        <v>60315</v>
      </c>
      <c r="B300" s="26">
        <v>2</v>
      </c>
      <c r="C300" s="27">
        <v>2894</v>
      </c>
      <c r="D300" s="26">
        <v>212</v>
      </c>
      <c r="E300" s="26">
        <v>4</v>
      </c>
      <c r="F300" s="26"/>
      <c r="G300" s="26"/>
      <c r="H300" s="28" t="str">
        <f t="shared" si="4"/>
        <v/>
      </c>
      <c r="I300" s="26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>
      <c r="A301" s="26">
        <v>60316</v>
      </c>
      <c r="B301" s="26">
        <v>2</v>
      </c>
      <c r="C301" s="27">
        <v>3481</v>
      </c>
      <c r="D301" s="26">
        <v>538</v>
      </c>
      <c r="E301" s="26">
        <v>4</v>
      </c>
      <c r="F301" s="26"/>
      <c r="G301" s="26"/>
      <c r="H301" s="28" t="str">
        <f t="shared" si="4"/>
        <v/>
      </c>
      <c r="I301" s="26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>
      <c r="A302" s="26">
        <v>60317</v>
      </c>
      <c r="B302" s="26">
        <v>4</v>
      </c>
      <c r="C302" s="27">
        <v>21086</v>
      </c>
      <c r="D302" s="27">
        <v>1532</v>
      </c>
      <c r="E302" s="26">
        <v>3</v>
      </c>
      <c r="F302" s="26">
        <v>2024</v>
      </c>
      <c r="G302" s="26"/>
      <c r="H302" s="28">
        <f t="shared" si="4"/>
        <v>2024</v>
      </c>
      <c r="I302" s="26">
        <v>2024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>
      <c r="A303" s="26">
        <v>60318</v>
      </c>
      <c r="B303" s="26">
        <v>2</v>
      </c>
      <c r="C303" s="27">
        <v>3859</v>
      </c>
      <c r="D303" s="26">
        <v>467</v>
      </c>
      <c r="E303" s="26">
        <v>4</v>
      </c>
      <c r="F303" s="26"/>
      <c r="G303" s="26"/>
      <c r="H303" s="28" t="str">
        <f t="shared" si="4"/>
        <v/>
      </c>
      <c r="I303" s="26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>
      <c r="A304" s="26">
        <v>60319</v>
      </c>
      <c r="B304" s="26">
        <v>2</v>
      </c>
      <c r="C304" s="26">
        <v>995</v>
      </c>
      <c r="D304" s="26">
        <v>111</v>
      </c>
      <c r="E304" s="26">
        <v>4</v>
      </c>
      <c r="F304" s="26"/>
      <c r="G304" s="26">
        <v>2024</v>
      </c>
      <c r="H304" s="28">
        <f t="shared" si="4"/>
        <v>2024</v>
      </c>
      <c r="I304" s="26">
        <v>2024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>
      <c r="A305" s="26">
        <v>60320</v>
      </c>
      <c r="B305" s="26">
        <v>2</v>
      </c>
      <c r="C305" s="27">
        <v>6666</v>
      </c>
      <c r="D305" s="26">
        <v>720</v>
      </c>
      <c r="E305" s="26">
        <v>3</v>
      </c>
      <c r="F305" s="26"/>
      <c r="G305" s="26"/>
      <c r="H305" s="28" t="str">
        <f t="shared" si="4"/>
        <v/>
      </c>
      <c r="I305" s="26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>
      <c r="A306" s="26">
        <v>60321</v>
      </c>
      <c r="B306" s="26">
        <v>2</v>
      </c>
      <c r="C306" s="27">
        <v>4327</v>
      </c>
      <c r="D306" s="26">
        <v>579</v>
      </c>
      <c r="E306" s="26">
        <v>4</v>
      </c>
      <c r="F306" s="26"/>
      <c r="G306" s="26"/>
      <c r="H306" s="28" t="str">
        <f t="shared" si="4"/>
        <v/>
      </c>
      <c r="I306" s="26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>
      <c r="A307" s="26">
        <v>60322</v>
      </c>
      <c r="B307" s="26">
        <v>2</v>
      </c>
      <c r="C307" s="27">
        <v>2124</v>
      </c>
      <c r="D307" s="26">
        <v>119</v>
      </c>
      <c r="E307" s="26">
        <v>4</v>
      </c>
      <c r="F307" s="26"/>
      <c r="G307" s="26"/>
      <c r="H307" s="28" t="str">
        <f t="shared" si="4"/>
        <v/>
      </c>
      <c r="I307" s="26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>
      <c r="A308" s="26">
        <v>60323</v>
      </c>
      <c r="B308" s="26">
        <v>2</v>
      </c>
      <c r="C308" s="27">
        <v>4593</v>
      </c>
      <c r="D308" s="26">
        <v>710</v>
      </c>
      <c r="E308" s="26">
        <v>4</v>
      </c>
      <c r="F308" s="26"/>
      <c r="G308" s="26"/>
      <c r="H308" s="28" t="str">
        <f t="shared" si="4"/>
        <v/>
      </c>
      <c r="I308" s="26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>
      <c r="A309" s="26">
        <v>60324</v>
      </c>
      <c r="B309" s="26">
        <v>2</v>
      </c>
      <c r="C309" s="27">
        <v>2428</v>
      </c>
      <c r="D309" s="26">
        <v>148</v>
      </c>
      <c r="E309" s="26">
        <v>4</v>
      </c>
      <c r="F309" s="26"/>
      <c r="G309" s="26">
        <v>2021</v>
      </c>
      <c r="H309" s="28">
        <f t="shared" si="4"/>
        <v>2021</v>
      </c>
      <c r="I309" s="26">
        <v>2021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>
      <c r="A310" s="26">
        <v>60326</v>
      </c>
      <c r="B310" s="26">
        <v>2</v>
      </c>
      <c r="C310" s="27">
        <v>5439</v>
      </c>
      <c r="D310" s="26">
        <v>628</v>
      </c>
      <c r="E310" s="26">
        <v>4</v>
      </c>
      <c r="F310" s="26"/>
      <c r="G310" s="26"/>
      <c r="H310" s="28" t="str">
        <f t="shared" si="4"/>
        <v/>
      </c>
      <c r="I310" s="26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>
      <c r="A311" s="26">
        <v>60327</v>
      </c>
      <c r="B311" s="26">
        <v>2</v>
      </c>
      <c r="C311" s="27">
        <v>2384</v>
      </c>
      <c r="D311" s="26">
        <v>348</v>
      </c>
      <c r="E311" s="26">
        <v>4</v>
      </c>
      <c r="F311" s="26"/>
      <c r="G311" s="26"/>
      <c r="H311" s="28" t="str">
        <f t="shared" si="4"/>
        <v/>
      </c>
      <c r="I311" s="26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>
      <c r="A312" s="26">
        <v>60328</v>
      </c>
      <c r="B312" s="26">
        <v>2</v>
      </c>
      <c r="C312" s="27">
        <v>4819</v>
      </c>
      <c r="D312" s="26">
        <v>382</v>
      </c>
      <c r="E312" s="26">
        <v>4</v>
      </c>
      <c r="F312" s="26"/>
      <c r="G312" s="26">
        <v>2021</v>
      </c>
      <c r="H312" s="28">
        <f t="shared" si="4"/>
        <v>2021</v>
      </c>
      <c r="I312" s="26">
        <v>2021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>
      <c r="A313" s="26">
        <v>60330</v>
      </c>
      <c r="B313" s="26">
        <v>4</v>
      </c>
      <c r="C313" s="27">
        <v>10582</v>
      </c>
      <c r="D313" s="27">
        <v>1896</v>
      </c>
      <c r="E313" s="26">
        <v>3</v>
      </c>
      <c r="F313" s="26"/>
      <c r="G313" s="26"/>
      <c r="H313" s="28" t="str">
        <f t="shared" si="4"/>
        <v/>
      </c>
      <c r="I313" s="2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>
      <c r="A314" s="26">
        <v>60331</v>
      </c>
      <c r="B314" s="26">
        <v>4</v>
      </c>
      <c r="C314" s="27">
        <v>11561</v>
      </c>
      <c r="D314" s="27">
        <v>2307</v>
      </c>
      <c r="E314" s="26">
        <v>3</v>
      </c>
      <c r="F314" s="26"/>
      <c r="G314" s="26"/>
      <c r="H314" s="28" t="str">
        <f t="shared" si="4"/>
        <v/>
      </c>
      <c r="I314" s="26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>
      <c r="A315" s="26">
        <v>60332</v>
      </c>
      <c r="B315" s="26">
        <v>4</v>
      </c>
      <c r="C315" s="27">
        <v>20418</v>
      </c>
      <c r="D315" s="26">
        <v>758</v>
      </c>
      <c r="E315" s="26">
        <v>3</v>
      </c>
      <c r="F315" s="26"/>
      <c r="G315" s="26"/>
      <c r="H315" s="28" t="str">
        <f t="shared" si="4"/>
        <v/>
      </c>
      <c r="I315" s="26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>
      <c r="A316" s="26">
        <v>60333</v>
      </c>
      <c r="B316" s="26">
        <v>2</v>
      </c>
      <c r="C316" s="27">
        <v>1268</v>
      </c>
      <c r="D316" s="26">
        <v>153</v>
      </c>
      <c r="E316" s="26">
        <v>4</v>
      </c>
      <c r="F316" s="26">
        <v>2024</v>
      </c>
      <c r="G316" s="26"/>
      <c r="H316" s="28">
        <f t="shared" si="4"/>
        <v>2024</v>
      </c>
      <c r="I316" s="26">
        <v>2024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>
      <c r="A317" s="26">
        <v>60334</v>
      </c>
      <c r="B317" s="26">
        <v>4</v>
      </c>
      <c r="C317" s="27">
        <v>14595</v>
      </c>
      <c r="D317" s="26">
        <v>540</v>
      </c>
      <c r="E317" s="26">
        <v>3</v>
      </c>
      <c r="F317" s="26">
        <v>2024</v>
      </c>
      <c r="G317" s="26"/>
      <c r="H317" s="28">
        <f t="shared" si="4"/>
        <v>2024</v>
      </c>
      <c r="I317" s="26">
        <v>2024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>
      <c r="A318" s="26">
        <v>60335</v>
      </c>
      <c r="B318" s="26">
        <v>3</v>
      </c>
      <c r="C318" s="27">
        <v>8787</v>
      </c>
      <c r="D318" s="26">
        <v>713</v>
      </c>
      <c r="E318" s="26">
        <v>3</v>
      </c>
      <c r="F318" s="26"/>
      <c r="G318" s="26"/>
      <c r="H318" s="28" t="str">
        <f t="shared" si="4"/>
        <v/>
      </c>
      <c r="I318" s="26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>
      <c r="A319" s="26">
        <v>60337</v>
      </c>
      <c r="B319" s="26">
        <v>2</v>
      </c>
      <c r="C319" s="27">
        <v>2871</v>
      </c>
      <c r="D319" s="26">
        <v>241</v>
      </c>
      <c r="E319" s="26">
        <v>4</v>
      </c>
      <c r="F319" s="26">
        <v>2025</v>
      </c>
      <c r="G319" s="26"/>
      <c r="H319" s="28">
        <f t="shared" si="4"/>
        <v>2025</v>
      </c>
      <c r="I319" s="26">
        <v>2025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>
      <c r="A320" s="26">
        <v>60338</v>
      </c>
      <c r="B320" s="26">
        <v>2</v>
      </c>
      <c r="C320" s="27">
        <v>2300</v>
      </c>
      <c r="D320" s="26">
        <v>335</v>
      </c>
      <c r="E320" s="26">
        <v>4</v>
      </c>
      <c r="F320" s="26"/>
      <c r="G320" s="26"/>
      <c r="H320" s="28" t="str">
        <f t="shared" si="4"/>
        <v/>
      </c>
      <c r="I320" s="26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>
      <c r="A321" s="26">
        <v>60339</v>
      </c>
      <c r="B321" s="26">
        <v>4</v>
      </c>
      <c r="C321" s="27">
        <v>23778</v>
      </c>
      <c r="D321" s="27">
        <v>2563</v>
      </c>
      <c r="E321" s="26">
        <v>3</v>
      </c>
      <c r="F321" s="26"/>
      <c r="G321" s="26"/>
      <c r="H321" s="28" t="str">
        <f t="shared" si="4"/>
        <v/>
      </c>
      <c r="I321" s="26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>
      <c r="A322" s="26">
        <v>60340</v>
      </c>
      <c r="B322" s="26">
        <v>2</v>
      </c>
      <c r="C322" s="27">
        <v>7494</v>
      </c>
      <c r="D322" s="27">
        <v>1001</v>
      </c>
      <c r="E322" s="26">
        <v>3</v>
      </c>
      <c r="F322" s="26"/>
      <c r="G322" s="26"/>
      <c r="H322" s="28" t="str">
        <f t="shared" si="4"/>
        <v/>
      </c>
      <c r="I322" s="26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>
      <c r="A323" s="26">
        <v>60342</v>
      </c>
      <c r="B323" s="26">
        <v>4</v>
      </c>
      <c r="C323" s="27">
        <v>7558</v>
      </c>
      <c r="D323" s="27">
        <v>1442</v>
      </c>
      <c r="E323" s="26">
        <v>4</v>
      </c>
      <c r="F323" s="26"/>
      <c r="G323" s="26"/>
      <c r="H323" s="28" t="str">
        <f t="shared" ref="H323:H363" si="5">IF(MAX(I323:AB323)=0,"",MAX(I323:AB323))</f>
        <v/>
      </c>
      <c r="I323" s="26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>
      <c r="A324" s="26">
        <v>60343</v>
      </c>
      <c r="B324" s="26">
        <v>2</v>
      </c>
      <c r="C324" s="27">
        <v>8130</v>
      </c>
      <c r="D324" s="26">
        <v>248</v>
      </c>
      <c r="E324" s="26">
        <v>3</v>
      </c>
      <c r="F324" s="26"/>
      <c r="G324" s="26"/>
      <c r="H324" s="28" t="str">
        <f t="shared" si="5"/>
        <v/>
      </c>
      <c r="I324" s="26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>
      <c r="A325" s="26">
        <v>60344</v>
      </c>
      <c r="B325" s="26">
        <v>2</v>
      </c>
      <c r="C325" s="27">
        <v>8695</v>
      </c>
      <c r="D325" s="26">
        <v>265</v>
      </c>
      <c r="E325" s="26">
        <v>3</v>
      </c>
      <c r="F325" s="26"/>
      <c r="G325" s="26"/>
      <c r="H325" s="28" t="str">
        <f t="shared" si="5"/>
        <v/>
      </c>
      <c r="I325" s="26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>
      <c r="A326" s="26">
        <v>60345</v>
      </c>
      <c r="B326" s="26">
        <v>2</v>
      </c>
      <c r="C326" s="27">
        <v>4891</v>
      </c>
      <c r="D326" s="26">
        <v>713</v>
      </c>
      <c r="E326" s="26">
        <v>4</v>
      </c>
      <c r="F326" s="26">
        <v>2025</v>
      </c>
      <c r="G326" s="26"/>
      <c r="H326" s="28">
        <f t="shared" si="5"/>
        <v>2025</v>
      </c>
      <c r="I326" s="26">
        <v>2025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>
      <c r="A327" s="26">
        <v>60346</v>
      </c>
      <c r="B327" s="26">
        <v>2</v>
      </c>
      <c r="C327" s="26">
        <v>561</v>
      </c>
      <c r="D327" s="26">
        <v>48</v>
      </c>
      <c r="E327" s="26">
        <v>4</v>
      </c>
      <c r="F327" s="26">
        <v>2025</v>
      </c>
      <c r="G327" s="26"/>
      <c r="H327" s="28">
        <f t="shared" si="5"/>
        <v>2025</v>
      </c>
      <c r="I327" s="26">
        <v>2025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>
      <c r="A328" s="26">
        <v>60347</v>
      </c>
      <c r="B328" s="26">
        <v>2</v>
      </c>
      <c r="C328" s="27">
        <v>1740</v>
      </c>
      <c r="D328" s="26">
        <v>382</v>
      </c>
      <c r="E328" s="26">
        <v>4</v>
      </c>
      <c r="F328" s="26"/>
      <c r="G328" s="26">
        <v>2021</v>
      </c>
      <c r="H328" s="28">
        <f t="shared" si="5"/>
        <v>2021</v>
      </c>
      <c r="I328" s="26">
        <v>2021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>
      <c r="A329" s="26">
        <v>60348</v>
      </c>
      <c r="B329" s="26">
        <v>2</v>
      </c>
      <c r="C329" s="26">
        <v>421</v>
      </c>
      <c r="D329" s="26">
        <v>53</v>
      </c>
      <c r="E329" s="26">
        <v>4</v>
      </c>
      <c r="F329" s="26"/>
      <c r="G329" s="26"/>
      <c r="H329" s="28" t="str">
        <f t="shared" si="5"/>
        <v/>
      </c>
      <c r="I329" s="26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>
      <c r="A330" s="26">
        <v>60349</v>
      </c>
      <c r="B330" s="26">
        <v>2</v>
      </c>
      <c r="C330" s="27">
        <v>1350</v>
      </c>
      <c r="D330" s="26">
        <v>162</v>
      </c>
      <c r="E330" s="26">
        <v>4</v>
      </c>
      <c r="F330" s="26"/>
      <c r="G330" s="26"/>
      <c r="H330" s="28" t="str">
        <f t="shared" si="5"/>
        <v/>
      </c>
      <c r="I330" s="26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>
      <c r="A331" s="26">
        <v>60350</v>
      </c>
      <c r="B331" s="26">
        <v>2</v>
      </c>
      <c r="C331" s="26">
        <v>707</v>
      </c>
      <c r="D331" s="26">
        <v>69</v>
      </c>
      <c r="E331" s="26">
        <v>4</v>
      </c>
      <c r="F331" s="26"/>
      <c r="G331" s="26"/>
      <c r="H331" s="28" t="str">
        <f t="shared" si="5"/>
        <v/>
      </c>
      <c r="I331" s="26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>
      <c r="A332" s="26">
        <v>60351</v>
      </c>
      <c r="B332" s="26">
        <v>2</v>
      </c>
      <c r="C332" s="27">
        <v>2769</v>
      </c>
      <c r="D332" s="26">
        <v>461</v>
      </c>
      <c r="E332" s="26">
        <v>4</v>
      </c>
      <c r="F332" s="26"/>
      <c r="G332" s="26"/>
      <c r="H332" s="28" t="str">
        <f t="shared" si="5"/>
        <v/>
      </c>
      <c r="I332" s="26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>
      <c r="A333" s="26">
        <v>60352</v>
      </c>
      <c r="B333" s="26">
        <v>2</v>
      </c>
      <c r="C333" s="27">
        <v>1559</v>
      </c>
      <c r="D333" s="26">
        <v>186</v>
      </c>
      <c r="E333" s="26">
        <v>4</v>
      </c>
      <c r="F333" s="26"/>
      <c r="G333" s="26"/>
      <c r="H333" s="28" t="str">
        <f t="shared" si="5"/>
        <v/>
      </c>
      <c r="I333" s="26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>
      <c r="A334" s="26">
        <v>60353</v>
      </c>
      <c r="B334" s="26">
        <v>2</v>
      </c>
      <c r="C334" s="27">
        <v>1284</v>
      </c>
      <c r="D334" s="26">
        <v>124</v>
      </c>
      <c r="E334" s="26">
        <v>4</v>
      </c>
      <c r="F334" s="26"/>
      <c r="G334" s="26"/>
      <c r="H334" s="28" t="str">
        <f t="shared" si="5"/>
        <v/>
      </c>
      <c r="I334" s="26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>
      <c r="A335" s="26">
        <v>60354</v>
      </c>
      <c r="B335" s="26">
        <v>2</v>
      </c>
      <c r="C335" s="27">
        <v>1290</v>
      </c>
      <c r="D335" s="26">
        <v>36</v>
      </c>
      <c r="E335" s="26">
        <v>4</v>
      </c>
      <c r="F335" s="26"/>
      <c r="G335" s="26">
        <v>2021</v>
      </c>
      <c r="H335" s="28">
        <f t="shared" si="5"/>
        <v>2021</v>
      </c>
      <c r="I335" s="26">
        <v>2021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>
      <c r="A336" s="26">
        <v>60355</v>
      </c>
      <c r="B336" s="26">
        <v>2</v>
      </c>
      <c r="C336" s="26">
        <v>817</v>
      </c>
      <c r="D336" s="26">
        <v>26</v>
      </c>
      <c r="E336" s="26">
        <v>4</v>
      </c>
      <c r="F336" s="26"/>
      <c r="G336" s="26"/>
      <c r="H336" s="28" t="str">
        <f t="shared" si="5"/>
        <v/>
      </c>
      <c r="I336" s="26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>
      <c r="A337" s="26">
        <v>60356</v>
      </c>
      <c r="B337" s="26">
        <v>2</v>
      </c>
      <c r="C337" s="27">
        <v>1161</v>
      </c>
      <c r="D337" s="26">
        <v>141</v>
      </c>
      <c r="E337" s="26">
        <v>4</v>
      </c>
      <c r="F337" s="26"/>
      <c r="G337" s="26"/>
      <c r="H337" s="28" t="str">
        <f t="shared" si="5"/>
        <v/>
      </c>
      <c r="I337" s="26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>
      <c r="A338" s="26">
        <v>60357</v>
      </c>
      <c r="B338" s="26">
        <v>2</v>
      </c>
      <c r="C338" s="27">
        <v>2367</v>
      </c>
      <c r="D338" s="26">
        <v>312</v>
      </c>
      <c r="E338" s="26">
        <v>4</v>
      </c>
      <c r="F338" s="26"/>
      <c r="G338" s="26"/>
      <c r="H338" s="28" t="str">
        <f t="shared" si="5"/>
        <v/>
      </c>
      <c r="I338" s="26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>
      <c r="A339" s="26">
        <v>60358</v>
      </c>
      <c r="B339" s="26">
        <v>2</v>
      </c>
      <c r="C339" s="27">
        <v>3020</v>
      </c>
      <c r="D339" s="26">
        <v>275</v>
      </c>
      <c r="E339" s="26">
        <v>4</v>
      </c>
      <c r="F339" s="26"/>
      <c r="G339" s="26"/>
      <c r="H339" s="28" t="str">
        <f t="shared" si="5"/>
        <v/>
      </c>
      <c r="I339" s="26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>
      <c r="A340" s="26">
        <v>60359</v>
      </c>
      <c r="B340" s="26">
        <v>2</v>
      </c>
      <c r="C340" s="27">
        <v>1300</v>
      </c>
      <c r="D340" s="26">
        <v>75</v>
      </c>
      <c r="E340" s="26">
        <v>4</v>
      </c>
      <c r="F340" s="26"/>
      <c r="G340" s="26"/>
      <c r="H340" s="28" t="str">
        <f t="shared" si="5"/>
        <v/>
      </c>
      <c r="I340" s="26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>
      <c r="A341" s="26">
        <v>60360</v>
      </c>
      <c r="B341" s="26">
        <v>2</v>
      </c>
      <c r="C341" s="27">
        <v>2481</v>
      </c>
      <c r="D341" s="26">
        <v>544</v>
      </c>
      <c r="E341" s="26">
        <v>4</v>
      </c>
      <c r="F341" s="26"/>
      <c r="G341" s="26">
        <v>2021</v>
      </c>
      <c r="H341" s="28">
        <f t="shared" si="5"/>
        <v>2021</v>
      </c>
      <c r="I341" s="26">
        <v>2021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>
      <c r="A342" s="26">
        <v>60361</v>
      </c>
      <c r="B342" s="26">
        <v>2</v>
      </c>
      <c r="C342" s="27">
        <v>1619</v>
      </c>
      <c r="D342" s="26">
        <v>355</v>
      </c>
      <c r="E342" s="26">
        <v>4</v>
      </c>
      <c r="F342" s="26"/>
      <c r="G342" s="26">
        <v>2021</v>
      </c>
      <c r="H342" s="28">
        <f t="shared" si="5"/>
        <v>2021</v>
      </c>
      <c r="I342" s="26">
        <v>2021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>
      <c r="A343" s="26">
        <v>60362</v>
      </c>
      <c r="B343" s="26">
        <v>2</v>
      </c>
      <c r="C343" s="27">
        <v>1964</v>
      </c>
      <c r="D343" s="26">
        <v>235</v>
      </c>
      <c r="E343" s="26">
        <v>4</v>
      </c>
      <c r="F343" s="26"/>
      <c r="G343" s="26">
        <v>2024</v>
      </c>
      <c r="H343" s="28">
        <f t="shared" si="5"/>
        <v>2024</v>
      </c>
      <c r="I343" s="26">
        <v>2024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>
      <c r="A344" s="26">
        <v>60363</v>
      </c>
      <c r="B344" s="26">
        <v>2</v>
      </c>
      <c r="C344" s="27">
        <v>1455</v>
      </c>
      <c r="D344" s="26">
        <v>50</v>
      </c>
      <c r="E344" s="26">
        <v>4</v>
      </c>
      <c r="F344" s="26"/>
      <c r="G344" s="26">
        <v>2024</v>
      </c>
      <c r="H344" s="28">
        <f t="shared" si="5"/>
        <v>2024</v>
      </c>
      <c r="I344" s="26">
        <v>2024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>
      <c r="A345" s="26">
        <v>60364</v>
      </c>
      <c r="B345" s="26">
        <v>2</v>
      </c>
      <c r="C345" s="27">
        <v>2804</v>
      </c>
      <c r="D345" s="26">
        <v>239</v>
      </c>
      <c r="E345" s="26">
        <v>4</v>
      </c>
      <c r="F345" s="26"/>
      <c r="G345" s="26"/>
      <c r="H345" s="28" t="str">
        <f t="shared" si="5"/>
        <v/>
      </c>
      <c r="I345" s="26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>
      <c r="A346" s="26">
        <v>60365</v>
      </c>
      <c r="B346" s="26">
        <v>2</v>
      </c>
      <c r="C346" s="27">
        <v>7797</v>
      </c>
      <c r="D346" s="26">
        <v>239</v>
      </c>
      <c r="E346" s="26">
        <v>3</v>
      </c>
      <c r="F346" s="26"/>
      <c r="G346" s="26"/>
      <c r="H346" s="28" t="str">
        <f t="shared" si="5"/>
        <v/>
      </c>
      <c r="I346" s="26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>
      <c r="A347" s="26">
        <v>60366</v>
      </c>
      <c r="B347" s="26">
        <v>2</v>
      </c>
      <c r="C347" s="27">
        <v>1066</v>
      </c>
      <c r="D347" s="26">
        <v>151</v>
      </c>
      <c r="E347" s="26">
        <v>4</v>
      </c>
      <c r="F347" s="26"/>
      <c r="G347" s="26">
        <v>2023</v>
      </c>
      <c r="H347" s="28">
        <f t="shared" si="5"/>
        <v>2023</v>
      </c>
      <c r="I347" s="26">
        <v>2023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>
      <c r="A348" s="26">
        <v>60367</v>
      </c>
      <c r="B348" s="26">
        <v>2</v>
      </c>
      <c r="C348" s="27">
        <v>11283</v>
      </c>
      <c r="D348" s="27">
        <v>1646</v>
      </c>
      <c r="E348" s="26">
        <v>3</v>
      </c>
      <c r="F348" s="26"/>
      <c r="G348" s="26">
        <v>2022</v>
      </c>
      <c r="H348" s="28">
        <f t="shared" si="5"/>
        <v>2022</v>
      </c>
      <c r="I348" s="26">
        <v>2022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>
      <c r="A349" s="26">
        <v>60368</v>
      </c>
      <c r="B349" s="26">
        <v>2</v>
      </c>
      <c r="C349" s="27">
        <v>3767</v>
      </c>
      <c r="D349" s="26">
        <v>412</v>
      </c>
      <c r="E349" s="26">
        <v>4</v>
      </c>
      <c r="F349" s="26"/>
      <c r="G349" s="26"/>
      <c r="H349" s="28" t="str">
        <f t="shared" si="5"/>
        <v/>
      </c>
      <c r="I349" s="26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>
      <c r="A350" s="26">
        <v>60371</v>
      </c>
      <c r="B350" s="26">
        <v>3</v>
      </c>
      <c r="C350" s="27">
        <v>6367</v>
      </c>
      <c r="D350" s="27">
        <v>1200</v>
      </c>
      <c r="E350" s="26">
        <v>3</v>
      </c>
      <c r="F350" s="26"/>
      <c r="G350" s="26"/>
      <c r="H350" s="28" t="str">
        <f t="shared" si="5"/>
        <v/>
      </c>
      <c r="I350" s="26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>
      <c r="A351" s="26">
        <v>60374</v>
      </c>
      <c r="B351" s="26">
        <v>2</v>
      </c>
      <c r="C351" s="27">
        <v>4816</v>
      </c>
      <c r="D351" s="26">
        <v>248</v>
      </c>
      <c r="E351" s="26">
        <v>4</v>
      </c>
      <c r="F351" s="26"/>
      <c r="G351" s="26">
        <v>2023</v>
      </c>
      <c r="H351" s="28">
        <f t="shared" si="5"/>
        <v>2023</v>
      </c>
      <c r="I351" s="26">
        <v>2023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>
      <c r="A352" s="26">
        <v>60375</v>
      </c>
      <c r="B352" s="26">
        <v>2</v>
      </c>
      <c r="C352" s="27">
        <v>5468</v>
      </c>
      <c r="D352" s="26">
        <v>326</v>
      </c>
      <c r="E352" s="26">
        <v>4</v>
      </c>
      <c r="F352" s="26"/>
      <c r="G352" s="26"/>
      <c r="H352" s="28" t="str">
        <f t="shared" si="5"/>
        <v/>
      </c>
      <c r="I352" s="26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>
      <c r="A353" s="26">
        <v>60376</v>
      </c>
      <c r="B353" s="26">
        <v>2</v>
      </c>
      <c r="C353" s="27">
        <v>4503</v>
      </c>
      <c r="D353" s="26">
        <v>602</v>
      </c>
      <c r="E353" s="26">
        <v>4</v>
      </c>
      <c r="F353" s="26"/>
      <c r="G353" s="26"/>
      <c r="H353" s="28" t="str">
        <f t="shared" si="5"/>
        <v/>
      </c>
      <c r="I353" s="26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>
      <c r="A354" s="26">
        <v>60377</v>
      </c>
      <c r="B354" s="26">
        <v>2</v>
      </c>
      <c r="C354" s="27">
        <v>3826</v>
      </c>
      <c r="D354" s="26">
        <v>510</v>
      </c>
      <c r="E354" s="26">
        <v>4</v>
      </c>
      <c r="F354" s="26"/>
      <c r="G354" s="26"/>
      <c r="H354" s="28" t="str">
        <f t="shared" si="5"/>
        <v/>
      </c>
      <c r="I354" s="26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>
      <c r="A355" s="26">
        <v>60378</v>
      </c>
      <c r="B355" s="26">
        <v>2</v>
      </c>
      <c r="C355" s="27">
        <v>8705</v>
      </c>
      <c r="D355" s="26">
        <v>675</v>
      </c>
      <c r="E355" s="26">
        <v>3</v>
      </c>
      <c r="F355" s="26"/>
      <c r="G355" s="26"/>
      <c r="H355" s="28" t="str">
        <f t="shared" si="5"/>
        <v/>
      </c>
      <c r="I355" s="26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>
      <c r="A356" s="26">
        <v>60379</v>
      </c>
      <c r="B356" s="26">
        <v>2</v>
      </c>
      <c r="C356" s="27">
        <v>2786</v>
      </c>
      <c r="D356" s="26">
        <v>431</v>
      </c>
      <c r="E356" s="26">
        <v>4</v>
      </c>
      <c r="F356" s="26"/>
      <c r="G356" s="26"/>
      <c r="H356" s="28" t="str">
        <f t="shared" si="5"/>
        <v/>
      </c>
      <c r="I356" s="26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>
      <c r="A357" s="26">
        <v>60380</v>
      </c>
      <c r="B357" s="26">
        <v>2</v>
      </c>
      <c r="C357" s="27">
        <v>7069</v>
      </c>
      <c r="D357" s="26">
        <v>570</v>
      </c>
      <c r="E357" s="26">
        <v>3</v>
      </c>
      <c r="F357" s="26"/>
      <c r="G357" s="26"/>
      <c r="H357" s="28" t="str">
        <f t="shared" si="5"/>
        <v/>
      </c>
      <c r="I357" s="26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>
      <c r="A358" s="26">
        <v>60381</v>
      </c>
      <c r="B358" s="26">
        <v>2</v>
      </c>
      <c r="C358" s="27">
        <v>4189</v>
      </c>
      <c r="D358" s="26">
        <v>825</v>
      </c>
      <c r="E358" s="26">
        <v>4</v>
      </c>
      <c r="F358" s="26">
        <v>2021</v>
      </c>
      <c r="G358" s="26"/>
      <c r="H358" s="28">
        <f t="shared" si="5"/>
        <v>2021</v>
      </c>
      <c r="I358" s="26">
        <v>2021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>
      <c r="A359" s="26">
        <v>60382</v>
      </c>
      <c r="B359" s="26">
        <v>2</v>
      </c>
      <c r="C359" s="27">
        <v>1403</v>
      </c>
      <c r="D359" s="26">
        <v>308</v>
      </c>
      <c r="E359" s="26">
        <v>4</v>
      </c>
      <c r="F359" s="26"/>
      <c r="G359" s="26">
        <v>2021</v>
      </c>
      <c r="H359" s="28">
        <f t="shared" si="5"/>
        <v>2021</v>
      </c>
      <c r="I359" s="26">
        <v>2021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>
      <c r="A360" s="26">
        <v>60383</v>
      </c>
      <c r="B360" s="26">
        <v>2</v>
      </c>
      <c r="C360" s="27">
        <v>1897</v>
      </c>
      <c r="D360" s="26">
        <v>417</v>
      </c>
      <c r="E360" s="26">
        <v>4</v>
      </c>
      <c r="F360" s="26"/>
      <c r="G360" s="26">
        <v>2021</v>
      </c>
      <c r="H360" s="28">
        <f t="shared" si="5"/>
        <v>2021</v>
      </c>
      <c r="I360" s="26">
        <v>2021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>
      <c r="A361" s="26">
        <v>60384</v>
      </c>
      <c r="B361" s="26">
        <v>2</v>
      </c>
      <c r="C361" s="27">
        <v>1942</v>
      </c>
      <c r="D361" s="26">
        <v>156</v>
      </c>
      <c r="E361" s="26">
        <v>4</v>
      </c>
      <c r="F361" s="26"/>
      <c r="G361" s="26"/>
      <c r="H361" s="26" t="str">
        <f t="shared" si="5"/>
        <v/>
      </c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spans="1:28">
      <c r="A362" s="26">
        <v>60385</v>
      </c>
      <c r="B362" s="26">
        <v>2</v>
      </c>
      <c r="C362" s="27">
        <v>1196</v>
      </c>
      <c r="D362" s="26">
        <v>95</v>
      </c>
      <c r="E362" s="26">
        <v>4</v>
      </c>
      <c r="F362" s="26"/>
      <c r="G362" s="26"/>
      <c r="H362" s="26" t="str">
        <f t="shared" si="5"/>
        <v/>
      </c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spans="1:28">
      <c r="A363" s="26">
        <v>60386</v>
      </c>
      <c r="B363" s="26">
        <v>2</v>
      </c>
      <c r="C363" s="26">
        <v>422</v>
      </c>
      <c r="D363" s="26">
        <v>66</v>
      </c>
      <c r="E363" s="26">
        <v>4</v>
      </c>
      <c r="F363" s="26"/>
      <c r="G363" s="26"/>
      <c r="H363" s="26" t="str">
        <f t="shared" si="5"/>
        <v/>
      </c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0FB3-CB43-49EF-A60C-BD0B0E752237}">
  <sheetPr>
    <tabColor rgb="FFFFFF00"/>
  </sheetPr>
  <dimension ref="A1:C363"/>
  <sheetViews>
    <sheetView workbookViewId="0">
      <pane ySplit="1" topLeftCell="A2" activePane="bottomLeft" state="frozen"/>
      <selection pane="bottomLeft" activeCell="D12" sqref="D12"/>
    </sheetView>
  </sheetViews>
  <sheetFormatPr defaultRowHeight="15"/>
  <cols>
    <col min="2" max="2" width="16" customWidth="1"/>
    <col min="3" max="3" width="19.28515625" customWidth="1"/>
  </cols>
  <sheetData>
    <row r="1" spans="1:3" ht="43.5">
      <c r="A1" s="4" t="s">
        <v>0</v>
      </c>
      <c r="B1" s="4" t="s">
        <v>1050</v>
      </c>
      <c r="C1" s="11" t="s">
        <v>1051</v>
      </c>
    </row>
    <row r="2" spans="1:3">
      <c r="A2" s="6">
        <v>60000</v>
      </c>
      <c r="B2" s="6"/>
      <c r="C2" s="12">
        <v>2027</v>
      </c>
    </row>
    <row r="3" spans="1:3">
      <c r="A3" s="6">
        <v>60001</v>
      </c>
      <c r="B3" s="6"/>
      <c r="C3" s="12">
        <v>2027</v>
      </c>
    </row>
    <row r="4" spans="1:3">
      <c r="A4" s="6">
        <v>60002</v>
      </c>
      <c r="B4" s="6"/>
      <c r="C4" s="12">
        <v>2027</v>
      </c>
    </row>
    <row r="5" spans="1:3">
      <c r="A5" s="6">
        <v>60003</v>
      </c>
      <c r="B5" s="6"/>
      <c r="C5" s="12">
        <v>2027</v>
      </c>
    </row>
    <row r="6" spans="1:3">
      <c r="A6" s="6">
        <v>60004</v>
      </c>
      <c r="B6" s="6"/>
      <c r="C6" s="12">
        <v>2027</v>
      </c>
    </row>
    <row r="7" spans="1:3">
      <c r="A7" s="6">
        <v>60005</v>
      </c>
      <c r="B7" s="6"/>
      <c r="C7" s="12">
        <v>2027</v>
      </c>
    </row>
    <row r="8" spans="1:3">
      <c r="A8" s="6">
        <v>60006</v>
      </c>
      <c r="B8" s="6"/>
      <c r="C8" s="12">
        <v>2027</v>
      </c>
    </row>
    <row r="9" spans="1:3">
      <c r="A9" s="6">
        <v>60007</v>
      </c>
      <c r="B9" s="6"/>
      <c r="C9" s="12">
        <v>2027</v>
      </c>
    </row>
    <row r="10" spans="1:3">
      <c r="A10" s="6">
        <v>60008</v>
      </c>
      <c r="B10" s="6"/>
      <c r="C10" s="12">
        <v>2027</v>
      </c>
    </row>
    <row r="11" spans="1:3">
      <c r="A11" s="6">
        <v>60009</v>
      </c>
      <c r="B11" s="6"/>
      <c r="C11" s="12">
        <v>2027</v>
      </c>
    </row>
    <row r="12" spans="1:3">
      <c r="A12" s="6">
        <v>60010</v>
      </c>
      <c r="B12" s="6"/>
      <c r="C12" s="12">
        <v>2027</v>
      </c>
    </row>
    <row r="13" spans="1:3">
      <c r="A13" s="6">
        <v>60011</v>
      </c>
      <c r="B13" s="6"/>
      <c r="C13" s="12">
        <v>2027</v>
      </c>
    </row>
    <row r="14" spans="1:3">
      <c r="A14" s="6">
        <v>60012</v>
      </c>
      <c r="B14" s="6"/>
      <c r="C14" s="12">
        <v>2027</v>
      </c>
    </row>
    <row r="15" spans="1:3">
      <c r="A15" s="6">
        <v>60013</v>
      </c>
      <c r="B15" s="6"/>
      <c r="C15" s="12">
        <v>2027</v>
      </c>
    </row>
    <row r="16" spans="1:3">
      <c r="A16" s="6">
        <v>60014</v>
      </c>
      <c r="B16" s="6"/>
      <c r="C16" s="12">
        <v>2027</v>
      </c>
    </row>
    <row r="17" spans="1:3">
      <c r="A17" s="6">
        <v>60015</v>
      </c>
      <c r="B17" s="6"/>
      <c r="C17" s="12">
        <v>2027</v>
      </c>
    </row>
    <row r="18" spans="1:3">
      <c r="A18" s="6">
        <v>60016</v>
      </c>
      <c r="B18" s="6"/>
      <c r="C18" s="12">
        <v>2027</v>
      </c>
    </row>
    <row r="19" spans="1:3">
      <c r="A19" s="6">
        <v>60017</v>
      </c>
      <c r="B19" s="6"/>
      <c r="C19" s="12">
        <v>2027</v>
      </c>
    </row>
    <row r="20" spans="1:3">
      <c r="A20" s="6">
        <v>60018</v>
      </c>
      <c r="B20" s="6"/>
      <c r="C20" s="12">
        <v>2027</v>
      </c>
    </row>
    <row r="21" spans="1:3">
      <c r="A21" s="6">
        <v>60019</v>
      </c>
      <c r="B21" s="6"/>
      <c r="C21" s="12">
        <v>2027</v>
      </c>
    </row>
    <row r="22" spans="1:3">
      <c r="A22" s="6">
        <v>60020</v>
      </c>
      <c r="B22" s="6"/>
      <c r="C22" s="12">
        <v>2027</v>
      </c>
    </row>
    <row r="23" spans="1:3">
      <c r="A23" s="6">
        <v>60021</v>
      </c>
      <c r="B23" s="6"/>
      <c r="C23" s="12"/>
    </row>
    <row r="24" spans="1:3">
      <c r="A24" s="6">
        <v>60022</v>
      </c>
      <c r="B24" s="6">
        <v>2025</v>
      </c>
      <c r="C24" s="12">
        <v>2027</v>
      </c>
    </row>
    <row r="25" spans="1:3">
      <c r="A25" s="6">
        <v>60023</v>
      </c>
      <c r="B25" s="6"/>
      <c r="C25" s="12"/>
    </row>
    <row r="26" spans="1:3">
      <c r="A26" s="6">
        <v>60024</v>
      </c>
      <c r="B26" s="6">
        <v>2021</v>
      </c>
      <c r="C26" s="12">
        <v>2027</v>
      </c>
    </row>
    <row r="27" spans="1:3">
      <c r="A27" s="6">
        <v>60025</v>
      </c>
      <c r="B27" s="6">
        <v>2025</v>
      </c>
      <c r="C27" s="12">
        <v>2027</v>
      </c>
    </row>
    <row r="28" spans="1:3">
      <c r="A28" s="6">
        <v>60026</v>
      </c>
      <c r="B28" s="6"/>
      <c r="C28" s="12">
        <v>2027</v>
      </c>
    </row>
    <row r="29" spans="1:3">
      <c r="A29" s="6">
        <v>60027</v>
      </c>
      <c r="B29" s="6">
        <v>2025</v>
      </c>
      <c r="C29" s="12">
        <v>2027</v>
      </c>
    </row>
    <row r="30" spans="1:3">
      <c r="A30" s="6">
        <v>60028</v>
      </c>
      <c r="B30" s="6">
        <v>2025</v>
      </c>
      <c r="C30" s="12">
        <v>2027</v>
      </c>
    </row>
    <row r="31" spans="1:3">
      <c r="A31" s="6">
        <v>60029</v>
      </c>
      <c r="B31" s="6"/>
      <c r="C31" s="12">
        <v>2027</v>
      </c>
    </row>
    <row r="32" spans="1:3">
      <c r="A32" s="6">
        <v>60030</v>
      </c>
      <c r="B32" s="6"/>
      <c r="C32" s="12">
        <v>2027</v>
      </c>
    </row>
    <row r="33" spans="1:3">
      <c r="A33" s="6">
        <v>60031</v>
      </c>
      <c r="B33" s="6"/>
      <c r="C33" s="12">
        <v>2027</v>
      </c>
    </row>
    <row r="34" spans="1:3">
      <c r="A34" s="6">
        <v>60032</v>
      </c>
      <c r="B34" s="6"/>
      <c r="C34" s="12">
        <v>2027</v>
      </c>
    </row>
    <row r="35" spans="1:3">
      <c r="A35" s="6">
        <v>60033</v>
      </c>
      <c r="B35" s="6"/>
      <c r="C35" s="12"/>
    </row>
    <row r="36" spans="1:3">
      <c r="A36" s="6">
        <v>60034</v>
      </c>
      <c r="B36" s="6"/>
      <c r="C36" s="12">
        <v>2027</v>
      </c>
    </row>
    <row r="37" spans="1:3">
      <c r="A37" s="6">
        <v>60035</v>
      </c>
      <c r="B37" s="6"/>
      <c r="C37" s="12"/>
    </row>
    <row r="38" spans="1:3">
      <c r="A38" s="6">
        <v>60036</v>
      </c>
      <c r="B38" s="6"/>
      <c r="C38" s="12"/>
    </row>
    <row r="39" spans="1:3">
      <c r="A39" s="6">
        <v>60038</v>
      </c>
      <c r="B39" s="6"/>
      <c r="C39" s="12">
        <v>2026</v>
      </c>
    </row>
    <row r="40" spans="1:3">
      <c r="A40" s="6">
        <v>60039</v>
      </c>
      <c r="B40" s="6">
        <v>2024</v>
      </c>
      <c r="C40" s="12"/>
    </row>
    <row r="41" spans="1:3">
      <c r="A41" s="6">
        <v>60040</v>
      </c>
      <c r="B41" s="6"/>
      <c r="C41" s="12"/>
    </row>
    <row r="42" spans="1:3">
      <c r="A42" s="6">
        <v>60041</v>
      </c>
      <c r="B42" s="6"/>
      <c r="C42" s="12"/>
    </row>
    <row r="43" spans="1:3">
      <c r="A43" s="6">
        <v>60042</v>
      </c>
      <c r="B43" s="6"/>
      <c r="C43" s="12">
        <v>2026</v>
      </c>
    </row>
    <row r="44" spans="1:3">
      <c r="A44" s="6">
        <v>60043</v>
      </c>
      <c r="B44" s="6"/>
      <c r="C44" s="12">
        <v>2026</v>
      </c>
    </row>
    <row r="45" spans="1:3">
      <c r="A45" s="6">
        <v>60044</v>
      </c>
      <c r="B45" s="6"/>
      <c r="C45" s="12"/>
    </row>
    <row r="46" spans="1:3">
      <c r="A46" s="6">
        <v>60045</v>
      </c>
      <c r="B46" s="6"/>
      <c r="C46" s="12"/>
    </row>
    <row r="47" spans="1:3">
      <c r="A47" s="6">
        <v>60046</v>
      </c>
      <c r="B47" s="6"/>
      <c r="C47" s="12"/>
    </row>
    <row r="48" spans="1:3">
      <c r="A48" s="6">
        <v>60047</v>
      </c>
      <c r="B48" s="6"/>
      <c r="C48" s="12"/>
    </row>
    <row r="49" spans="1:3">
      <c r="A49" s="6">
        <v>60048</v>
      </c>
      <c r="B49" s="6"/>
      <c r="C49" s="12"/>
    </row>
    <row r="50" spans="1:3">
      <c r="A50" s="6">
        <v>60049</v>
      </c>
      <c r="B50" s="6">
        <v>2025</v>
      </c>
      <c r="C50" s="12"/>
    </row>
    <row r="51" spans="1:3">
      <c r="A51" s="6">
        <v>60050</v>
      </c>
      <c r="B51" s="6"/>
      <c r="C51" s="12"/>
    </row>
    <row r="52" spans="1:3">
      <c r="A52" s="6">
        <v>60051</v>
      </c>
      <c r="B52" s="6"/>
      <c r="C52" s="12"/>
    </row>
    <row r="53" spans="1:3">
      <c r="A53" s="6">
        <v>60052</v>
      </c>
      <c r="B53" s="6"/>
      <c r="C53" s="12"/>
    </row>
    <row r="54" spans="1:3">
      <c r="A54" s="6">
        <v>60053</v>
      </c>
      <c r="B54" s="6"/>
      <c r="C54" s="12"/>
    </row>
    <row r="55" spans="1:3">
      <c r="A55" s="6">
        <v>60054</v>
      </c>
      <c r="B55" s="6"/>
      <c r="C55" s="12"/>
    </row>
    <row r="56" spans="1:3">
      <c r="A56" s="6">
        <v>60055</v>
      </c>
      <c r="B56" s="6"/>
      <c r="C56" s="12"/>
    </row>
    <row r="57" spans="1:3">
      <c r="A57" s="6">
        <v>60056</v>
      </c>
      <c r="B57" s="6"/>
      <c r="C57" s="12">
        <v>2027</v>
      </c>
    </row>
    <row r="58" spans="1:3">
      <c r="A58" s="6">
        <v>60057</v>
      </c>
      <c r="B58" s="6"/>
      <c r="C58" s="12">
        <v>2027</v>
      </c>
    </row>
    <row r="59" spans="1:3">
      <c r="A59" s="6">
        <v>60058</v>
      </c>
      <c r="B59" s="6"/>
      <c r="C59" s="12">
        <v>2027</v>
      </c>
    </row>
    <row r="60" spans="1:3">
      <c r="A60" s="6">
        <v>60059</v>
      </c>
      <c r="B60" s="6"/>
      <c r="C60" s="12">
        <v>2027</v>
      </c>
    </row>
    <row r="61" spans="1:3">
      <c r="A61" s="6">
        <v>60060</v>
      </c>
      <c r="B61" s="6"/>
      <c r="C61" s="12">
        <v>2027</v>
      </c>
    </row>
    <row r="62" spans="1:3">
      <c r="A62" s="6">
        <v>60061</v>
      </c>
      <c r="B62" s="6"/>
      <c r="C62" s="12">
        <v>2027</v>
      </c>
    </row>
    <row r="63" spans="1:3">
      <c r="A63" s="6">
        <v>60062</v>
      </c>
      <c r="B63" s="6"/>
      <c r="C63" s="12"/>
    </row>
    <row r="64" spans="1:3">
      <c r="A64" s="6">
        <v>60063</v>
      </c>
      <c r="B64" s="6"/>
      <c r="C64" s="12">
        <v>2026</v>
      </c>
    </row>
    <row r="65" spans="1:3">
      <c r="A65" s="6">
        <v>60064</v>
      </c>
      <c r="B65" s="6"/>
      <c r="C65" s="12"/>
    </row>
    <row r="66" spans="1:3">
      <c r="A66" s="6">
        <v>60065</v>
      </c>
      <c r="B66" s="6"/>
      <c r="C66" s="12"/>
    </row>
    <row r="67" spans="1:3">
      <c r="A67" s="6">
        <v>60066</v>
      </c>
      <c r="B67" s="6"/>
      <c r="C67" s="12"/>
    </row>
    <row r="68" spans="1:3">
      <c r="A68" s="6">
        <v>60067</v>
      </c>
      <c r="B68" s="6"/>
      <c r="C68" s="12"/>
    </row>
    <row r="69" spans="1:3">
      <c r="A69" s="6">
        <v>60068</v>
      </c>
      <c r="B69" s="6"/>
      <c r="C69" s="12">
        <v>2026</v>
      </c>
    </row>
    <row r="70" spans="1:3">
      <c r="A70" s="6">
        <v>60069</v>
      </c>
      <c r="B70" s="6"/>
      <c r="C70" s="12"/>
    </row>
    <row r="71" spans="1:3">
      <c r="A71" s="6">
        <v>60070</v>
      </c>
      <c r="B71" s="6"/>
      <c r="C71" s="12">
        <v>2026</v>
      </c>
    </row>
    <row r="72" spans="1:3">
      <c r="A72" s="6">
        <v>60071</v>
      </c>
      <c r="B72" s="6"/>
      <c r="C72" s="12"/>
    </row>
    <row r="73" spans="1:3">
      <c r="A73" s="6">
        <v>60072</v>
      </c>
      <c r="B73" s="6">
        <v>2025</v>
      </c>
      <c r="C73" s="12"/>
    </row>
    <row r="74" spans="1:3">
      <c r="A74" s="6">
        <v>60073</v>
      </c>
      <c r="B74" s="6"/>
      <c r="C74" s="12"/>
    </row>
    <row r="75" spans="1:3">
      <c r="A75" s="6">
        <v>60074</v>
      </c>
      <c r="B75" s="6"/>
      <c r="C75" s="12">
        <v>2026</v>
      </c>
    </row>
    <row r="76" spans="1:3">
      <c r="A76" s="6">
        <v>60075</v>
      </c>
      <c r="B76" s="6"/>
      <c r="C76" s="12"/>
    </row>
    <row r="77" spans="1:3">
      <c r="A77" s="6">
        <v>60076</v>
      </c>
      <c r="B77" s="6"/>
      <c r="C77" s="12"/>
    </row>
    <row r="78" spans="1:3">
      <c r="A78" s="6">
        <v>60077</v>
      </c>
      <c r="B78" s="6"/>
      <c r="C78" s="12"/>
    </row>
    <row r="79" spans="1:3">
      <c r="A79" s="6">
        <v>60078</v>
      </c>
      <c r="B79" s="6"/>
      <c r="C79" s="12"/>
    </row>
    <row r="80" spans="1:3">
      <c r="A80" s="6">
        <v>60079</v>
      </c>
      <c r="B80" s="6"/>
      <c r="C80" s="12">
        <v>2026</v>
      </c>
    </row>
    <row r="81" spans="1:3">
      <c r="A81" s="6">
        <v>60080</v>
      </c>
      <c r="B81" s="6"/>
      <c r="C81" s="12"/>
    </row>
    <row r="82" spans="1:3">
      <c r="A82" s="6">
        <v>60081</v>
      </c>
      <c r="B82" s="6"/>
      <c r="C82" s="12"/>
    </row>
    <row r="83" spans="1:3">
      <c r="A83" s="6">
        <v>60082</v>
      </c>
      <c r="B83" s="6">
        <v>2024</v>
      </c>
      <c r="C83" s="12"/>
    </row>
    <row r="84" spans="1:3">
      <c r="A84" s="6">
        <v>60083</v>
      </c>
      <c r="B84" s="6"/>
      <c r="C84" s="12">
        <v>2026</v>
      </c>
    </row>
    <row r="85" spans="1:3">
      <c r="A85" s="6">
        <v>60084</v>
      </c>
      <c r="B85" s="6"/>
      <c r="C85" s="12"/>
    </row>
    <row r="86" spans="1:3">
      <c r="A86" s="6">
        <v>60085</v>
      </c>
      <c r="B86" s="6"/>
      <c r="C86" s="12"/>
    </row>
    <row r="87" spans="1:3">
      <c r="A87" s="6">
        <v>60086</v>
      </c>
      <c r="B87" s="6"/>
      <c r="C87" s="12"/>
    </row>
    <row r="88" spans="1:3">
      <c r="A88" s="6">
        <v>60087</v>
      </c>
      <c r="B88" s="6"/>
      <c r="C88" s="12"/>
    </row>
    <row r="89" spans="1:3">
      <c r="A89" s="6">
        <v>60088</v>
      </c>
      <c r="B89" s="6"/>
      <c r="C89" s="12"/>
    </row>
    <row r="90" spans="1:3">
      <c r="A90" s="6">
        <v>60089</v>
      </c>
      <c r="B90" s="6">
        <v>2022</v>
      </c>
      <c r="C90" s="12"/>
    </row>
    <row r="91" spans="1:3">
      <c r="A91" s="6">
        <v>60090</v>
      </c>
      <c r="B91" s="6"/>
      <c r="C91" s="12"/>
    </row>
    <row r="92" spans="1:3">
      <c r="A92" s="6">
        <v>60091</v>
      </c>
      <c r="B92" s="6"/>
      <c r="C92" s="12">
        <v>2026</v>
      </c>
    </row>
    <row r="93" spans="1:3">
      <c r="A93" s="6">
        <v>60092</v>
      </c>
      <c r="B93" s="6"/>
      <c r="C93" s="12"/>
    </row>
    <row r="94" spans="1:3">
      <c r="A94" s="6">
        <v>60093</v>
      </c>
      <c r="B94" s="6"/>
      <c r="C94" s="12">
        <v>2026</v>
      </c>
    </row>
    <row r="95" spans="1:3">
      <c r="A95" s="6">
        <v>60094</v>
      </c>
      <c r="B95" s="6"/>
      <c r="C95" s="12"/>
    </row>
    <row r="96" spans="1:3">
      <c r="A96" s="6">
        <v>60095</v>
      </c>
      <c r="B96" s="6"/>
      <c r="C96" s="12">
        <v>2026</v>
      </c>
    </row>
    <row r="97" spans="1:3">
      <c r="A97" s="6">
        <v>60096</v>
      </c>
      <c r="B97" s="6">
        <v>2022</v>
      </c>
      <c r="C97" s="12">
        <v>2026</v>
      </c>
    </row>
    <row r="98" spans="1:3">
      <c r="A98" s="6">
        <v>60097</v>
      </c>
      <c r="B98" s="6"/>
      <c r="C98" s="12"/>
    </row>
    <row r="99" spans="1:3">
      <c r="A99" s="6">
        <v>60098</v>
      </c>
      <c r="B99" s="6"/>
      <c r="C99" s="12"/>
    </row>
    <row r="100" spans="1:3">
      <c r="A100" s="6">
        <v>60099</v>
      </c>
      <c r="B100" s="6"/>
      <c r="C100" s="12"/>
    </row>
    <row r="101" spans="1:3">
      <c r="A101" s="6">
        <v>60100</v>
      </c>
      <c r="B101" s="6"/>
      <c r="C101" s="12"/>
    </row>
    <row r="102" spans="1:3">
      <c r="A102" s="6">
        <v>60101</v>
      </c>
      <c r="B102" s="6"/>
      <c r="C102" s="12"/>
    </row>
    <row r="103" spans="1:3">
      <c r="A103" s="6">
        <v>60102</v>
      </c>
      <c r="B103" s="6"/>
      <c r="C103" s="12"/>
    </row>
    <row r="104" spans="1:3">
      <c r="A104" s="6">
        <v>60103</v>
      </c>
      <c r="B104" s="6"/>
      <c r="C104" s="12">
        <v>2026</v>
      </c>
    </row>
    <row r="105" spans="1:3">
      <c r="A105" s="6">
        <v>60104</v>
      </c>
      <c r="B105" s="6"/>
      <c r="C105" s="12">
        <v>2026</v>
      </c>
    </row>
    <row r="106" spans="1:3">
      <c r="A106" s="6">
        <v>60105</v>
      </c>
      <c r="B106" s="6"/>
      <c r="C106" s="12">
        <v>2027</v>
      </c>
    </row>
    <row r="107" spans="1:3">
      <c r="A107" s="6">
        <v>60106</v>
      </c>
      <c r="B107" s="6"/>
      <c r="C107" s="12"/>
    </row>
    <row r="108" spans="1:3">
      <c r="A108" s="6">
        <v>60107</v>
      </c>
      <c r="B108" s="6">
        <v>2024</v>
      </c>
      <c r="C108" s="12"/>
    </row>
    <row r="109" spans="1:3">
      <c r="A109" s="6">
        <v>60108</v>
      </c>
      <c r="B109" s="6"/>
      <c r="C109" s="12">
        <v>2027</v>
      </c>
    </row>
    <row r="110" spans="1:3">
      <c r="A110" s="6">
        <v>60109</v>
      </c>
      <c r="B110" s="6"/>
      <c r="C110" s="12"/>
    </row>
    <row r="111" spans="1:3">
      <c r="A111" s="6">
        <v>60110</v>
      </c>
      <c r="B111" s="6"/>
      <c r="C111" s="12"/>
    </row>
    <row r="112" spans="1:3">
      <c r="A112" s="6">
        <v>60111</v>
      </c>
      <c r="B112" s="6"/>
      <c r="C112" s="12"/>
    </row>
    <row r="113" spans="1:3">
      <c r="A113" s="6">
        <v>60112</v>
      </c>
      <c r="B113" s="6"/>
      <c r="C113" s="12"/>
    </row>
    <row r="114" spans="1:3">
      <c r="A114" s="6">
        <v>60113</v>
      </c>
      <c r="B114" s="6">
        <v>2021</v>
      </c>
      <c r="C114" s="12">
        <v>2026</v>
      </c>
    </row>
    <row r="115" spans="1:3">
      <c r="A115" s="6">
        <v>60114</v>
      </c>
      <c r="B115" s="6"/>
      <c r="C115" s="12">
        <v>2026</v>
      </c>
    </row>
    <row r="116" spans="1:3">
      <c r="A116" s="6">
        <v>60115</v>
      </c>
      <c r="B116" s="6">
        <v>2021</v>
      </c>
      <c r="C116" s="12"/>
    </row>
    <row r="117" spans="1:3">
      <c r="A117" s="6">
        <v>60116</v>
      </c>
      <c r="B117" s="6"/>
      <c r="C117" s="12"/>
    </row>
    <row r="118" spans="1:3">
      <c r="A118" s="6">
        <v>60117</v>
      </c>
      <c r="B118" s="6"/>
      <c r="C118" s="12"/>
    </row>
    <row r="119" spans="1:3">
      <c r="A119" s="6">
        <v>60118</v>
      </c>
      <c r="B119" s="6">
        <v>2024</v>
      </c>
      <c r="C119" s="12"/>
    </row>
    <row r="120" spans="1:3">
      <c r="A120" s="6">
        <v>60119</v>
      </c>
      <c r="B120" s="6">
        <v>2025</v>
      </c>
      <c r="C120" s="12"/>
    </row>
    <row r="121" spans="1:3">
      <c r="A121" s="6">
        <v>60120</v>
      </c>
      <c r="B121" s="6">
        <v>2025</v>
      </c>
      <c r="C121" s="12"/>
    </row>
    <row r="122" spans="1:3">
      <c r="A122" s="6">
        <v>60121</v>
      </c>
      <c r="B122" s="6"/>
      <c r="C122" s="12">
        <v>2026</v>
      </c>
    </row>
    <row r="123" spans="1:3">
      <c r="A123" s="6">
        <v>60122</v>
      </c>
      <c r="B123" s="6"/>
      <c r="C123" s="12"/>
    </row>
    <row r="124" spans="1:3">
      <c r="A124" s="6">
        <v>60123</v>
      </c>
      <c r="B124" s="6"/>
      <c r="C124" s="12">
        <v>2027</v>
      </c>
    </row>
    <row r="125" spans="1:3">
      <c r="A125" s="6">
        <v>60124</v>
      </c>
      <c r="B125" s="6">
        <v>2022</v>
      </c>
      <c r="C125" s="12"/>
    </row>
    <row r="126" spans="1:3">
      <c r="A126" s="6">
        <v>60125</v>
      </c>
      <c r="B126" s="6">
        <v>2022</v>
      </c>
      <c r="C126" s="12"/>
    </row>
    <row r="127" spans="1:3">
      <c r="A127" s="6">
        <v>60126</v>
      </c>
      <c r="B127" s="6"/>
      <c r="C127" s="12"/>
    </row>
    <row r="128" spans="1:3">
      <c r="A128" s="6">
        <v>60127</v>
      </c>
      <c r="B128" s="6"/>
      <c r="C128" s="12">
        <v>2027</v>
      </c>
    </row>
    <row r="129" spans="1:3">
      <c r="A129" s="6">
        <v>60128</v>
      </c>
      <c r="B129" s="6"/>
      <c r="C129" s="12"/>
    </row>
    <row r="130" spans="1:3">
      <c r="A130" s="6">
        <v>60129</v>
      </c>
      <c r="B130" s="6"/>
      <c r="C130" s="12"/>
    </row>
    <row r="131" spans="1:3">
      <c r="A131" s="6">
        <v>60130</v>
      </c>
      <c r="B131" s="6">
        <v>2025</v>
      </c>
      <c r="C131" s="12">
        <v>2027</v>
      </c>
    </row>
    <row r="132" spans="1:3">
      <c r="A132" s="6">
        <v>60131</v>
      </c>
      <c r="B132" s="6">
        <v>2025</v>
      </c>
      <c r="C132" s="12"/>
    </row>
    <row r="133" spans="1:3">
      <c r="A133" s="6">
        <v>60132</v>
      </c>
      <c r="B133" s="6">
        <v>2025</v>
      </c>
      <c r="C133" s="12"/>
    </row>
    <row r="134" spans="1:3">
      <c r="A134" s="6">
        <v>60133</v>
      </c>
      <c r="B134" s="6"/>
      <c r="C134" s="12"/>
    </row>
    <row r="135" spans="1:3">
      <c r="A135" s="6">
        <v>60134</v>
      </c>
      <c r="B135" s="6"/>
      <c r="C135" s="12"/>
    </row>
    <row r="136" spans="1:3">
      <c r="A136" s="6">
        <v>60135</v>
      </c>
      <c r="B136" s="6"/>
      <c r="C136" s="12">
        <v>2026</v>
      </c>
    </row>
    <row r="137" spans="1:3">
      <c r="A137" s="6">
        <v>60136</v>
      </c>
      <c r="B137" s="6"/>
      <c r="C137" s="12"/>
    </row>
    <row r="138" spans="1:3">
      <c r="A138" s="6">
        <v>60137</v>
      </c>
      <c r="B138" s="6"/>
      <c r="C138" s="12">
        <v>2026</v>
      </c>
    </row>
    <row r="139" spans="1:3">
      <c r="A139" s="6">
        <v>60138</v>
      </c>
      <c r="B139" s="6"/>
      <c r="C139" s="12"/>
    </row>
    <row r="140" spans="1:3">
      <c r="A140" s="6">
        <v>60139</v>
      </c>
      <c r="B140" s="6">
        <v>2025</v>
      </c>
      <c r="C140" s="12"/>
    </row>
    <row r="141" spans="1:3">
      <c r="A141" s="6">
        <v>60140</v>
      </c>
      <c r="B141" s="6"/>
      <c r="C141" s="12"/>
    </row>
    <row r="142" spans="1:3">
      <c r="A142" s="6">
        <v>60141</v>
      </c>
      <c r="B142" s="6">
        <v>2022</v>
      </c>
      <c r="C142" s="12"/>
    </row>
    <row r="143" spans="1:3">
      <c r="A143" s="6">
        <v>60142</v>
      </c>
      <c r="B143" s="6"/>
      <c r="C143" s="12"/>
    </row>
    <row r="144" spans="1:3">
      <c r="A144" s="6">
        <v>60143</v>
      </c>
      <c r="B144" s="6"/>
      <c r="C144" s="12"/>
    </row>
    <row r="145" spans="1:3">
      <c r="A145" s="6">
        <v>60144</v>
      </c>
      <c r="B145" s="6"/>
      <c r="C145" s="12"/>
    </row>
    <row r="146" spans="1:3">
      <c r="A146" s="6">
        <v>60146</v>
      </c>
      <c r="B146" s="6"/>
      <c r="C146" s="12"/>
    </row>
    <row r="147" spans="1:3">
      <c r="A147" s="6">
        <v>60147</v>
      </c>
      <c r="B147" s="6"/>
      <c r="C147" s="12"/>
    </row>
    <row r="148" spans="1:3">
      <c r="A148" s="6">
        <v>60148</v>
      </c>
      <c r="B148" s="6"/>
      <c r="C148" s="12"/>
    </row>
    <row r="149" spans="1:3">
      <c r="A149" s="6">
        <v>60149</v>
      </c>
      <c r="B149" s="6"/>
      <c r="C149" s="12"/>
    </row>
    <row r="150" spans="1:3">
      <c r="A150" s="6">
        <v>60150</v>
      </c>
      <c r="B150" s="6"/>
      <c r="C150" s="12"/>
    </row>
    <row r="151" spans="1:3">
      <c r="A151" s="6">
        <v>60151</v>
      </c>
      <c r="B151" s="6">
        <v>2021</v>
      </c>
      <c r="C151" s="12"/>
    </row>
    <row r="152" spans="1:3">
      <c r="A152" s="6">
        <v>60152</v>
      </c>
      <c r="B152" s="6"/>
      <c r="C152" s="12">
        <v>2026</v>
      </c>
    </row>
    <row r="153" spans="1:3">
      <c r="A153" s="6">
        <v>60153</v>
      </c>
      <c r="B153" s="6"/>
      <c r="C153" s="12">
        <v>2026</v>
      </c>
    </row>
    <row r="154" spans="1:3">
      <c r="A154" s="6">
        <v>60154</v>
      </c>
      <c r="B154" s="6">
        <v>2023</v>
      </c>
      <c r="C154" s="12"/>
    </row>
    <row r="155" spans="1:3">
      <c r="A155" s="6">
        <v>60155</v>
      </c>
      <c r="B155" s="6"/>
      <c r="C155" s="12"/>
    </row>
    <row r="156" spans="1:3">
      <c r="A156" s="6">
        <v>60156</v>
      </c>
      <c r="B156" s="6">
        <v>2025</v>
      </c>
      <c r="C156" s="12"/>
    </row>
    <row r="157" spans="1:3">
      <c r="A157" s="6">
        <v>60157</v>
      </c>
      <c r="B157" s="6"/>
      <c r="C157" s="12"/>
    </row>
    <row r="158" spans="1:3">
      <c r="A158" s="6">
        <v>60158</v>
      </c>
      <c r="B158" s="6"/>
      <c r="C158" s="12"/>
    </row>
    <row r="159" spans="1:3">
      <c r="A159" s="6">
        <v>60159</v>
      </c>
      <c r="B159" s="6"/>
      <c r="C159" s="12"/>
    </row>
    <row r="160" spans="1:3">
      <c r="A160" s="6">
        <v>60160</v>
      </c>
      <c r="B160" s="6"/>
      <c r="C160" s="12">
        <v>2026</v>
      </c>
    </row>
    <row r="161" spans="1:3">
      <c r="A161" s="6">
        <v>60161</v>
      </c>
      <c r="B161" s="6"/>
      <c r="C161" s="12">
        <v>2026</v>
      </c>
    </row>
    <row r="162" spans="1:3">
      <c r="A162" s="6">
        <v>60162</v>
      </c>
      <c r="B162" s="6"/>
      <c r="C162" s="12"/>
    </row>
    <row r="163" spans="1:3">
      <c r="A163" s="6">
        <v>60163</v>
      </c>
      <c r="B163" s="6"/>
      <c r="C163" s="12"/>
    </row>
    <row r="164" spans="1:3">
      <c r="A164" s="6">
        <v>60164</v>
      </c>
      <c r="B164" s="6">
        <v>2024</v>
      </c>
      <c r="C164" s="12"/>
    </row>
    <row r="165" spans="1:3">
      <c r="A165" s="6">
        <v>60165</v>
      </c>
      <c r="B165" s="6"/>
      <c r="C165" s="12"/>
    </row>
    <row r="166" spans="1:3">
      <c r="A166" s="6">
        <v>60166</v>
      </c>
      <c r="B166" s="6"/>
      <c r="C166" s="12"/>
    </row>
    <row r="167" spans="1:3">
      <c r="A167" s="6">
        <v>60167</v>
      </c>
      <c r="B167" s="6"/>
      <c r="C167" s="12">
        <v>2026</v>
      </c>
    </row>
    <row r="168" spans="1:3">
      <c r="A168" s="6">
        <v>60168</v>
      </c>
      <c r="B168" s="6"/>
      <c r="C168" s="12">
        <v>2026</v>
      </c>
    </row>
    <row r="169" spans="1:3">
      <c r="A169" s="6">
        <v>60169</v>
      </c>
      <c r="B169" s="6"/>
      <c r="C169" s="12"/>
    </row>
    <row r="170" spans="1:3">
      <c r="A170" s="6">
        <v>60170</v>
      </c>
      <c r="B170" s="6"/>
      <c r="C170" s="12"/>
    </row>
    <row r="171" spans="1:3">
      <c r="A171" s="6">
        <v>60171</v>
      </c>
      <c r="B171" s="6"/>
      <c r="C171" s="12">
        <v>2026</v>
      </c>
    </row>
    <row r="172" spans="1:3">
      <c r="A172" s="6">
        <v>60172</v>
      </c>
      <c r="B172" s="6"/>
      <c r="C172" s="12"/>
    </row>
    <row r="173" spans="1:3">
      <c r="A173" s="6">
        <v>60173</v>
      </c>
      <c r="B173" s="6"/>
      <c r="C173" s="12"/>
    </row>
    <row r="174" spans="1:3">
      <c r="A174" s="6">
        <v>60174</v>
      </c>
      <c r="B174" s="6"/>
      <c r="C174" s="12"/>
    </row>
    <row r="175" spans="1:3">
      <c r="A175" s="6">
        <v>60175</v>
      </c>
      <c r="B175" s="6"/>
      <c r="C175" s="12"/>
    </row>
    <row r="176" spans="1:3">
      <c r="A176" s="6">
        <v>60176</v>
      </c>
      <c r="B176" s="6"/>
      <c r="C176" s="12">
        <v>2027</v>
      </c>
    </row>
    <row r="177" spans="1:3">
      <c r="A177" s="6">
        <v>60178</v>
      </c>
      <c r="B177" s="6"/>
      <c r="C177" s="12"/>
    </row>
    <row r="178" spans="1:3">
      <c r="A178" s="6">
        <v>60179</v>
      </c>
      <c r="B178" s="6"/>
      <c r="C178" s="12"/>
    </row>
    <row r="179" spans="1:3">
      <c r="A179" s="6">
        <v>60180</v>
      </c>
      <c r="B179" s="6"/>
      <c r="C179" s="12"/>
    </row>
    <row r="180" spans="1:3">
      <c r="A180" s="6">
        <v>60181</v>
      </c>
      <c r="B180" s="6">
        <v>2023</v>
      </c>
      <c r="C180" s="12"/>
    </row>
    <row r="181" spans="1:3">
      <c r="A181" s="6">
        <v>60182</v>
      </c>
      <c r="B181" s="6">
        <v>2023</v>
      </c>
      <c r="C181" s="12"/>
    </row>
    <row r="182" spans="1:3">
      <c r="A182" s="6">
        <v>60183</v>
      </c>
      <c r="B182" s="6"/>
      <c r="C182" s="12">
        <v>2027</v>
      </c>
    </row>
    <row r="183" spans="1:3">
      <c r="A183" s="6">
        <v>60184</v>
      </c>
      <c r="B183" s="6"/>
      <c r="C183" s="12"/>
    </row>
    <row r="184" spans="1:3">
      <c r="A184" s="6">
        <v>60185</v>
      </c>
      <c r="B184" s="6"/>
      <c r="C184" s="12"/>
    </row>
    <row r="185" spans="1:3">
      <c r="A185" s="6">
        <v>60186</v>
      </c>
      <c r="B185" s="6"/>
      <c r="C185" s="12"/>
    </row>
    <row r="186" spans="1:3">
      <c r="A186" s="6">
        <v>60187</v>
      </c>
      <c r="B186" s="6"/>
      <c r="C186" s="12">
        <v>2027</v>
      </c>
    </row>
    <row r="187" spans="1:3">
      <c r="A187" s="6">
        <v>60188</v>
      </c>
      <c r="B187" s="6"/>
      <c r="C187" s="12">
        <v>2027</v>
      </c>
    </row>
    <row r="188" spans="1:3">
      <c r="A188" s="6">
        <v>60189</v>
      </c>
      <c r="B188" s="6"/>
      <c r="C188" s="12">
        <v>2027</v>
      </c>
    </row>
    <row r="189" spans="1:3">
      <c r="A189" s="6">
        <v>60190</v>
      </c>
      <c r="B189" s="6">
        <v>2021</v>
      </c>
      <c r="C189" s="12"/>
    </row>
    <row r="190" spans="1:3">
      <c r="A190" s="6">
        <v>60191</v>
      </c>
      <c r="B190" s="6"/>
      <c r="C190" s="12"/>
    </row>
    <row r="191" spans="1:3">
      <c r="A191" s="6">
        <v>60192</v>
      </c>
      <c r="B191" s="6"/>
      <c r="C191" s="12"/>
    </row>
    <row r="192" spans="1:3">
      <c r="A192" s="6">
        <v>60193</v>
      </c>
      <c r="B192" s="6"/>
      <c r="C192" s="12"/>
    </row>
    <row r="193" spans="1:3">
      <c r="A193" s="6">
        <v>60194</v>
      </c>
      <c r="B193" s="6"/>
      <c r="C193" s="12"/>
    </row>
    <row r="194" spans="1:3">
      <c r="A194" s="6">
        <v>60195</v>
      </c>
      <c r="B194" s="6"/>
      <c r="C194" s="12"/>
    </row>
    <row r="195" spans="1:3">
      <c r="A195" s="6">
        <v>60196</v>
      </c>
      <c r="B195" s="6"/>
      <c r="C195" s="12">
        <v>2026</v>
      </c>
    </row>
    <row r="196" spans="1:3">
      <c r="A196" s="6">
        <v>60197</v>
      </c>
      <c r="B196" s="6"/>
      <c r="C196" s="12"/>
    </row>
    <row r="197" spans="1:3">
      <c r="A197" s="6">
        <v>60198</v>
      </c>
      <c r="B197" s="6"/>
      <c r="C197" s="12"/>
    </row>
    <row r="198" spans="1:3">
      <c r="A198" s="6">
        <v>60199</v>
      </c>
      <c r="B198" s="6"/>
      <c r="C198" s="12"/>
    </row>
    <row r="199" spans="1:3">
      <c r="A199" s="6">
        <v>60200</v>
      </c>
      <c r="B199" s="6"/>
      <c r="C199" s="12"/>
    </row>
    <row r="200" spans="1:3">
      <c r="A200" s="6">
        <v>60201</v>
      </c>
      <c r="B200" s="6"/>
      <c r="C200" s="12"/>
    </row>
    <row r="201" spans="1:3">
      <c r="A201" s="6">
        <v>60202</v>
      </c>
      <c r="B201" s="6">
        <v>2025</v>
      </c>
      <c r="C201" s="12"/>
    </row>
    <row r="202" spans="1:3">
      <c r="A202" s="6">
        <v>60203</v>
      </c>
      <c r="B202" s="6">
        <v>2025</v>
      </c>
      <c r="C202" s="12"/>
    </row>
    <row r="203" spans="1:3">
      <c r="A203" s="6">
        <v>60204</v>
      </c>
      <c r="B203" s="6"/>
      <c r="C203" s="12"/>
    </row>
    <row r="204" spans="1:3">
      <c r="A204" s="6">
        <v>60205</v>
      </c>
      <c r="B204" s="6"/>
      <c r="C204" s="12"/>
    </row>
    <row r="205" spans="1:3">
      <c r="A205" s="6">
        <v>60206</v>
      </c>
      <c r="B205" s="6"/>
      <c r="C205" s="12">
        <v>2026</v>
      </c>
    </row>
    <row r="206" spans="1:3">
      <c r="A206" s="6">
        <v>60207</v>
      </c>
      <c r="B206" s="6"/>
      <c r="C206" s="12"/>
    </row>
    <row r="207" spans="1:3">
      <c r="A207" s="6">
        <v>60208</v>
      </c>
      <c r="B207" s="6"/>
      <c r="C207" s="12"/>
    </row>
    <row r="208" spans="1:3">
      <c r="A208" s="6">
        <v>60209</v>
      </c>
      <c r="B208" s="6"/>
      <c r="C208" s="12"/>
    </row>
    <row r="209" spans="1:3">
      <c r="A209" s="6">
        <v>60211</v>
      </c>
      <c r="B209" s="6"/>
      <c r="C209" s="12"/>
    </row>
    <row r="210" spans="1:3">
      <c r="A210" s="6">
        <v>60212</v>
      </c>
      <c r="B210" s="6"/>
      <c r="C210" s="12"/>
    </row>
    <row r="211" spans="1:3">
      <c r="A211" s="6">
        <v>60213</v>
      </c>
      <c r="B211" s="6"/>
      <c r="C211" s="12">
        <v>2026</v>
      </c>
    </row>
    <row r="212" spans="1:3">
      <c r="A212" s="6">
        <v>60214</v>
      </c>
      <c r="B212" s="6">
        <v>2023</v>
      </c>
      <c r="C212" s="12"/>
    </row>
    <row r="213" spans="1:3">
      <c r="A213" s="6">
        <v>60215</v>
      </c>
      <c r="B213" s="6"/>
      <c r="C213" s="12"/>
    </row>
    <row r="214" spans="1:3">
      <c r="A214" s="6">
        <v>60216</v>
      </c>
      <c r="B214" s="6"/>
      <c r="C214" s="12">
        <v>2026</v>
      </c>
    </row>
    <row r="215" spans="1:3">
      <c r="A215" s="6">
        <v>60217</v>
      </c>
      <c r="B215" s="6"/>
      <c r="C215" s="12"/>
    </row>
    <row r="216" spans="1:3">
      <c r="A216" s="6">
        <v>60218</v>
      </c>
      <c r="B216" s="6"/>
      <c r="C216" s="12"/>
    </row>
    <row r="217" spans="1:3">
      <c r="A217" s="6">
        <v>60219</v>
      </c>
      <c r="B217" s="6"/>
      <c r="C217" s="12"/>
    </row>
    <row r="218" spans="1:3">
      <c r="A218" s="6">
        <v>60220</v>
      </c>
      <c r="B218" s="6"/>
      <c r="C218" s="12">
        <v>2027</v>
      </c>
    </row>
    <row r="219" spans="1:3">
      <c r="A219" s="6">
        <v>60221</v>
      </c>
      <c r="B219" s="6"/>
      <c r="C219" s="12"/>
    </row>
    <row r="220" spans="1:3">
      <c r="A220" s="6">
        <v>60222</v>
      </c>
      <c r="B220" s="6"/>
      <c r="C220" s="12"/>
    </row>
    <row r="221" spans="1:3">
      <c r="A221" s="6">
        <v>60223</v>
      </c>
      <c r="B221" s="6"/>
      <c r="C221" s="12"/>
    </row>
    <row r="222" spans="1:3">
      <c r="A222" s="6">
        <v>60224</v>
      </c>
      <c r="B222" s="6"/>
      <c r="C222" s="12">
        <v>2027</v>
      </c>
    </row>
    <row r="223" spans="1:3">
      <c r="A223" s="6">
        <v>60225</v>
      </c>
      <c r="B223" s="6"/>
      <c r="C223" s="12"/>
    </row>
    <row r="224" spans="1:3">
      <c r="A224" s="6">
        <v>60226</v>
      </c>
      <c r="B224" s="6"/>
      <c r="C224" s="12"/>
    </row>
    <row r="225" spans="1:3">
      <c r="A225" s="6">
        <v>60227</v>
      </c>
      <c r="B225" s="6">
        <v>2025</v>
      </c>
      <c r="C225" s="12"/>
    </row>
    <row r="226" spans="1:3">
      <c r="A226" s="6">
        <v>60228</v>
      </c>
      <c r="B226" s="6">
        <v>2021</v>
      </c>
      <c r="C226" s="12"/>
    </row>
    <row r="227" spans="1:3">
      <c r="A227" s="6">
        <v>60229</v>
      </c>
      <c r="B227" s="6">
        <v>2021</v>
      </c>
      <c r="C227" s="12"/>
    </row>
    <row r="228" spans="1:3">
      <c r="A228" s="6">
        <v>60230</v>
      </c>
      <c r="B228" s="6"/>
      <c r="C228" s="12"/>
    </row>
    <row r="229" spans="1:3">
      <c r="A229" s="6">
        <v>60231</v>
      </c>
      <c r="B229" s="6"/>
      <c r="C229" s="12">
        <v>2027</v>
      </c>
    </row>
    <row r="230" spans="1:3">
      <c r="A230" s="6">
        <v>60232</v>
      </c>
      <c r="B230" s="6"/>
      <c r="C230" s="12"/>
    </row>
    <row r="231" spans="1:3">
      <c r="A231" s="6">
        <v>60233</v>
      </c>
      <c r="B231" s="6"/>
      <c r="C231" s="12"/>
    </row>
    <row r="232" spans="1:3">
      <c r="A232" s="6">
        <v>60234</v>
      </c>
      <c r="B232" s="6"/>
      <c r="C232" s="12"/>
    </row>
    <row r="233" spans="1:3">
      <c r="A233" s="6">
        <v>60235</v>
      </c>
      <c r="B233" s="6"/>
      <c r="C233" s="12"/>
    </row>
    <row r="234" spans="1:3">
      <c r="A234" s="6">
        <v>60236</v>
      </c>
      <c r="B234" s="6"/>
      <c r="C234" s="12"/>
    </row>
    <row r="235" spans="1:3">
      <c r="A235" s="6">
        <v>60237</v>
      </c>
      <c r="B235" s="6"/>
      <c r="C235" s="12">
        <v>2026</v>
      </c>
    </row>
    <row r="236" spans="1:3">
      <c r="A236" s="6">
        <v>60238</v>
      </c>
      <c r="B236" s="6"/>
      <c r="C236" s="12"/>
    </row>
    <row r="237" spans="1:3">
      <c r="A237" s="6">
        <v>60239</v>
      </c>
      <c r="B237" s="6"/>
      <c r="C237" s="12"/>
    </row>
    <row r="238" spans="1:3">
      <c r="A238" s="6">
        <v>60240</v>
      </c>
      <c r="B238" s="6"/>
      <c r="C238" s="12">
        <v>2026</v>
      </c>
    </row>
    <row r="239" spans="1:3">
      <c r="A239" s="6">
        <v>60241</v>
      </c>
      <c r="B239" s="6"/>
      <c r="C239" s="12">
        <v>2026</v>
      </c>
    </row>
    <row r="240" spans="1:3">
      <c r="A240" s="6">
        <v>60242</v>
      </c>
      <c r="B240" s="6"/>
      <c r="C240" s="12"/>
    </row>
    <row r="241" spans="1:3">
      <c r="A241" s="6">
        <v>60243</v>
      </c>
      <c r="B241" s="6"/>
      <c r="C241" s="12"/>
    </row>
    <row r="242" spans="1:3">
      <c r="A242" s="6">
        <v>60244</v>
      </c>
      <c r="B242" s="6"/>
      <c r="C242" s="12"/>
    </row>
    <row r="243" spans="1:3">
      <c r="A243" s="6">
        <v>60245</v>
      </c>
      <c r="B243" s="6"/>
      <c r="C243" s="12"/>
    </row>
    <row r="244" spans="1:3">
      <c r="A244" s="6">
        <v>60246</v>
      </c>
      <c r="B244" s="6"/>
      <c r="C244" s="12"/>
    </row>
    <row r="245" spans="1:3">
      <c r="A245" s="6">
        <v>60247</v>
      </c>
      <c r="B245" s="6"/>
      <c r="C245" s="12"/>
    </row>
    <row r="246" spans="1:3">
      <c r="A246" s="6">
        <v>60248</v>
      </c>
      <c r="B246" s="6"/>
      <c r="C246" s="12"/>
    </row>
    <row r="247" spans="1:3">
      <c r="A247" s="6">
        <v>60249</v>
      </c>
      <c r="B247" s="6"/>
      <c r="C247" s="12"/>
    </row>
    <row r="248" spans="1:3">
      <c r="A248" s="6">
        <v>60252</v>
      </c>
      <c r="B248" s="6"/>
      <c r="C248" s="12"/>
    </row>
    <row r="249" spans="1:3">
      <c r="A249" s="6">
        <v>60253</v>
      </c>
      <c r="B249" s="6"/>
      <c r="C249" s="12"/>
    </row>
    <row r="250" spans="1:3">
      <c r="A250" s="6">
        <v>60254</v>
      </c>
      <c r="B250" s="6"/>
      <c r="C250" s="12"/>
    </row>
    <row r="251" spans="1:3">
      <c r="A251" s="6">
        <v>60255</v>
      </c>
      <c r="B251" s="6"/>
      <c r="C251" s="12"/>
    </row>
    <row r="252" spans="1:3">
      <c r="A252" s="6">
        <v>60256</v>
      </c>
      <c r="B252" s="6"/>
      <c r="C252" s="12"/>
    </row>
    <row r="253" spans="1:3">
      <c r="A253" s="6">
        <v>60257</v>
      </c>
      <c r="B253" s="6"/>
      <c r="C253" s="12">
        <v>2026</v>
      </c>
    </row>
    <row r="254" spans="1:3">
      <c r="A254" s="6">
        <v>60258</v>
      </c>
      <c r="B254" s="6"/>
      <c r="C254" s="12"/>
    </row>
    <row r="255" spans="1:3">
      <c r="A255" s="6">
        <v>60259</v>
      </c>
      <c r="B255" s="6"/>
      <c r="C255" s="12"/>
    </row>
    <row r="256" spans="1:3">
      <c r="A256" s="6">
        <v>60260</v>
      </c>
      <c r="B256" s="6"/>
      <c r="C256" s="12"/>
    </row>
    <row r="257" spans="1:3">
      <c r="A257" s="6">
        <v>60261</v>
      </c>
      <c r="B257" s="6"/>
      <c r="C257" s="12"/>
    </row>
    <row r="258" spans="1:3">
      <c r="A258" s="6">
        <v>60262</v>
      </c>
      <c r="B258" s="6"/>
      <c r="C258" s="12"/>
    </row>
    <row r="259" spans="1:3">
      <c r="A259" s="6">
        <v>60263</v>
      </c>
      <c r="B259" s="6"/>
      <c r="C259" s="12"/>
    </row>
    <row r="260" spans="1:3">
      <c r="A260" s="6">
        <v>60264</v>
      </c>
      <c r="B260" s="6"/>
      <c r="C260" s="12"/>
    </row>
    <row r="261" spans="1:3">
      <c r="A261" s="6">
        <v>60265</v>
      </c>
      <c r="B261" s="6"/>
      <c r="C261" s="12"/>
    </row>
    <row r="262" spans="1:3">
      <c r="A262" s="6">
        <v>60266</v>
      </c>
      <c r="B262" s="6"/>
      <c r="C262" s="12"/>
    </row>
    <row r="263" spans="1:3">
      <c r="A263" s="6">
        <v>60267</v>
      </c>
      <c r="B263" s="6"/>
      <c r="C263" s="12"/>
    </row>
    <row r="264" spans="1:3">
      <c r="A264" s="6">
        <v>60268</v>
      </c>
      <c r="B264" s="6"/>
      <c r="C264" s="12"/>
    </row>
    <row r="265" spans="1:3">
      <c r="A265" s="6">
        <v>60269</v>
      </c>
      <c r="B265" s="6"/>
      <c r="C265" s="12">
        <v>2026</v>
      </c>
    </row>
    <row r="266" spans="1:3">
      <c r="A266" s="6">
        <v>60270</v>
      </c>
      <c r="B266" s="6"/>
      <c r="C266" s="12"/>
    </row>
    <row r="267" spans="1:3">
      <c r="A267" s="6">
        <v>60271</v>
      </c>
      <c r="B267" s="6"/>
      <c r="C267" s="12"/>
    </row>
    <row r="268" spans="1:3">
      <c r="A268" s="6">
        <v>60273</v>
      </c>
      <c r="B268" s="6"/>
      <c r="C268" s="12"/>
    </row>
    <row r="269" spans="1:3">
      <c r="A269" s="6">
        <v>60274</v>
      </c>
      <c r="B269" s="6"/>
      <c r="C269" s="12"/>
    </row>
    <row r="270" spans="1:3">
      <c r="A270" s="6">
        <v>60275</v>
      </c>
      <c r="B270" s="6"/>
      <c r="C270" s="12"/>
    </row>
    <row r="271" spans="1:3">
      <c r="A271" s="6">
        <v>60276</v>
      </c>
      <c r="B271" s="6"/>
      <c r="C271" s="12">
        <v>2027</v>
      </c>
    </row>
    <row r="272" spans="1:3">
      <c r="A272" s="6">
        <v>60277</v>
      </c>
      <c r="B272" s="6">
        <v>2025</v>
      </c>
      <c r="C272" s="12"/>
    </row>
    <row r="273" spans="1:3">
      <c r="A273" s="6">
        <v>60279</v>
      </c>
      <c r="B273" s="6"/>
      <c r="C273" s="12"/>
    </row>
    <row r="274" spans="1:3">
      <c r="A274" s="6">
        <v>60280</v>
      </c>
      <c r="B274" s="6"/>
      <c r="C274" s="12"/>
    </row>
    <row r="275" spans="1:3">
      <c r="A275" s="6">
        <v>60281</v>
      </c>
      <c r="B275" s="6"/>
      <c r="C275" s="12">
        <v>2027</v>
      </c>
    </row>
    <row r="276" spans="1:3">
      <c r="A276" s="6">
        <v>60282</v>
      </c>
      <c r="B276" s="6"/>
      <c r="C276" s="12"/>
    </row>
    <row r="277" spans="1:3">
      <c r="A277" s="6">
        <v>60283</v>
      </c>
      <c r="B277" s="6"/>
      <c r="C277" s="12"/>
    </row>
    <row r="278" spans="1:3">
      <c r="A278" s="6">
        <v>60284</v>
      </c>
      <c r="B278" s="6"/>
      <c r="C278" s="12"/>
    </row>
    <row r="279" spans="1:3">
      <c r="A279" s="6">
        <v>60285</v>
      </c>
      <c r="B279" s="6"/>
      <c r="C279" s="12">
        <v>2026</v>
      </c>
    </row>
    <row r="280" spans="1:3">
      <c r="A280" s="6">
        <v>60286</v>
      </c>
      <c r="B280" s="6"/>
      <c r="C280" s="12">
        <v>2026</v>
      </c>
    </row>
    <row r="281" spans="1:3">
      <c r="A281" s="6">
        <v>60287</v>
      </c>
      <c r="B281" s="6"/>
      <c r="C281" s="12"/>
    </row>
    <row r="282" spans="1:3">
      <c r="A282" s="6">
        <v>60288</v>
      </c>
      <c r="B282" s="6"/>
      <c r="C282" s="12"/>
    </row>
    <row r="283" spans="1:3">
      <c r="A283" s="6">
        <v>60289</v>
      </c>
      <c r="B283" s="6"/>
      <c r="C283" s="12"/>
    </row>
    <row r="284" spans="1:3">
      <c r="A284" s="6">
        <v>60290</v>
      </c>
      <c r="B284" s="6"/>
      <c r="C284" s="12"/>
    </row>
    <row r="285" spans="1:3">
      <c r="A285" s="6">
        <v>60291</v>
      </c>
      <c r="B285" s="6"/>
      <c r="C285" s="12"/>
    </row>
    <row r="286" spans="1:3">
      <c r="A286" s="6">
        <v>60292</v>
      </c>
      <c r="B286" s="6"/>
      <c r="C286" s="12"/>
    </row>
    <row r="287" spans="1:3">
      <c r="A287" s="6">
        <v>60293</v>
      </c>
      <c r="B287" s="6"/>
      <c r="C287" s="12"/>
    </row>
    <row r="288" spans="1:3">
      <c r="A288" s="6">
        <v>60294</v>
      </c>
      <c r="B288" s="6"/>
      <c r="C288" s="12"/>
    </row>
    <row r="289" spans="1:3">
      <c r="A289" s="6">
        <v>60295</v>
      </c>
      <c r="B289" s="6"/>
      <c r="C289" s="12"/>
    </row>
    <row r="290" spans="1:3">
      <c r="A290" s="6">
        <v>60296</v>
      </c>
      <c r="B290" s="6"/>
      <c r="C290" s="12"/>
    </row>
    <row r="291" spans="1:3">
      <c r="A291" s="6">
        <v>60297</v>
      </c>
      <c r="B291" s="6"/>
      <c r="C291" s="12"/>
    </row>
    <row r="292" spans="1:3">
      <c r="A292" s="6">
        <v>60298</v>
      </c>
      <c r="B292" s="6"/>
      <c r="C292" s="12"/>
    </row>
    <row r="293" spans="1:3">
      <c r="A293" s="6">
        <v>60299</v>
      </c>
      <c r="B293" s="6"/>
      <c r="C293" s="12"/>
    </row>
    <row r="294" spans="1:3">
      <c r="A294" s="6">
        <v>60300</v>
      </c>
      <c r="B294" s="6"/>
      <c r="C294" s="12">
        <v>2027</v>
      </c>
    </row>
    <row r="295" spans="1:3">
      <c r="A295" s="6">
        <v>60301</v>
      </c>
      <c r="B295" s="6"/>
      <c r="C295" s="12">
        <v>2027</v>
      </c>
    </row>
    <row r="296" spans="1:3">
      <c r="A296" s="6">
        <v>60302</v>
      </c>
      <c r="B296" s="6"/>
      <c r="C296" s="12"/>
    </row>
    <row r="297" spans="1:3">
      <c r="A297" s="6">
        <v>60303</v>
      </c>
      <c r="B297" s="6"/>
      <c r="C297" s="12"/>
    </row>
    <row r="298" spans="1:3">
      <c r="A298" s="6">
        <v>60304</v>
      </c>
      <c r="B298" s="6">
        <v>2024</v>
      </c>
      <c r="C298" s="12"/>
    </row>
    <row r="299" spans="1:3">
      <c r="A299" s="6">
        <v>60305</v>
      </c>
      <c r="B299" s="6"/>
      <c r="C299" s="12"/>
    </row>
    <row r="300" spans="1:3">
      <c r="A300" s="6">
        <v>60306</v>
      </c>
      <c r="B300" s="6"/>
      <c r="C300" s="12"/>
    </row>
    <row r="301" spans="1:3">
      <c r="A301" s="6">
        <v>60307</v>
      </c>
      <c r="B301" s="6"/>
      <c r="C301" s="12"/>
    </row>
    <row r="302" spans="1:3">
      <c r="A302" s="6">
        <v>60308</v>
      </c>
      <c r="B302" s="6"/>
      <c r="C302" s="12"/>
    </row>
    <row r="303" spans="1:3">
      <c r="A303" s="6">
        <v>60309</v>
      </c>
      <c r="B303" s="6"/>
      <c r="C303" s="12">
        <v>2026</v>
      </c>
    </row>
    <row r="304" spans="1:3">
      <c r="A304" s="6">
        <v>60310</v>
      </c>
      <c r="B304" s="6"/>
      <c r="C304" s="12"/>
    </row>
    <row r="305" spans="1:3">
      <c r="A305" s="6">
        <v>60311</v>
      </c>
      <c r="B305" s="6"/>
      <c r="C305" s="12"/>
    </row>
    <row r="306" spans="1:3">
      <c r="A306" s="6">
        <v>60312</v>
      </c>
      <c r="B306" s="6">
        <v>2025</v>
      </c>
      <c r="C306" s="12"/>
    </row>
    <row r="307" spans="1:3">
      <c r="A307" s="6">
        <v>60313</v>
      </c>
      <c r="B307" s="6"/>
      <c r="C307" s="12"/>
    </row>
    <row r="308" spans="1:3">
      <c r="A308" s="6">
        <v>60315</v>
      </c>
      <c r="B308" s="6"/>
      <c r="C308" s="12"/>
    </row>
    <row r="309" spans="1:3">
      <c r="A309" s="6">
        <v>60316</v>
      </c>
      <c r="B309" s="6"/>
      <c r="C309" s="12"/>
    </row>
    <row r="310" spans="1:3">
      <c r="A310" s="6">
        <v>60317</v>
      </c>
      <c r="B310" s="6">
        <v>2024</v>
      </c>
      <c r="C310" s="12"/>
    </row>
    <row r="311" spans="1:3">
      <c r="A311" s="6">
        <v>60318</v>
      </c>
      <c r="B311" s="6"/>
      <c r="C311" s="12"/>
    </row>
    <row r="312" spans="1:3">
      <c r="A312" s="6">
        <v>60319</v>
      </c>
      <c r="B312" s="6"/>
      <c r="C312" s="12"/>
    </row>
    <row r="313" spans="1:3">
      <c r="A313" s="6">
        <v>60320</v>
      </c>
      <c r="B313" s="6"/>
      <c r="C313" s="12"/>
    </row>
    <row r="314" spans="1:3">
      <c r="A314" s="6">
        <v>60321</v>
      </c>
      <c r="B314" s="6"/>
      <c r="C314" s="12"/>
    </row>
    <row r="315" spans="1:3">
      <c r="A315" s="6">
        <v>60322</v>
      </c>
      <c r="B315" s="6"/>
      <c r="C315" s="12"/>
    </row>
    <row r="316" spans="1:3">
      <c r="A316" s="6">
        <v>60323</v>
      </c>
      <c r="B316" s="6"/>
      <c r="C316" s="12"/>
    </row>
    <row r="317" spans="1:3">
      <c r="A317" s="6">
        <v>60324</v>
      </c>
      <c r="B317" s="6"/>
      <c r="C317" s="12"/>
    </row>
    <row r="318" spans="1:3">
      <c r="A318" s="6">
        <v>60326</v>
      </c>
      <c r="B318" s="6"/>
      <c r="C318" s="12"/>
    </row>
    <row r="319" spans="1:3">
      <c r="A319" s="6">
        <v>60327</v>
      </c>
      <c r="B319" s="6"/>
      <c r="C319" s="12"/>
    </row>
    <row r="320" spans="1:3">
      <c r="A320" s="6">
        <v>60328</v>
      </c>
      <c r="B320" s="6"/>
      <c r="C320" s="12"/>
    </row>
    <row r="321" spans="1:3">
      <c r="A321" s="6">
        <v>60329</v>
      </c>
      <c r="B321" s="6"/>
      <c r="C321" s="12"/>
    </row>
    <row r="322" spans="1:3">
      <c r="A322" s="6">
        <v>60330</v>
      </c>
      <c r="B322" s="6"/>
      <c r="C322" s="12">
        <v>2027</v>
      </c>
    </row>
    <row r="323" spans="1:3">
      <c r="A323" s="6">
        <v>60331</v>
      </c>
      <c r="B323" s="6"/>
      <c r="C323" s="12">
        <v>2027</v>
      </c>
    </row>
    <row r="324" spans="1:3">
      <c r="A324" s="6">
        <v>60332</v>
      </c>
      <c r="B324" s="6"/>
      <c r="C324" s="12"/>
    </row>
    <row r="325" spans="1:3">
      <c r="A325" s="6">
        <v>60333</v>
      </c>
      <c r="B325" s="6">
        <v>2024</v>
      </c>
      <c r="C325" s="12"/>
    </row>
    <row r="326" spans="1:3">
      <c r="A326" s="6">
        <v>60334</v>
      </c>
      <c r="B326" s="6">
        <v>2024</v>
      </c>
      <c r="C326" s="12"/>
    </row>
    <row r="327" spans="1:3">
      <c r="A327" s="6">
        <v>60335</v>
      </c>
      <c r="B327" s="6"/>
      <c r="C327" s="12"/>
    </row>
    <row r="328" spans="1:3">
      <c r="A328" s="6">
        <v>60336</v>
      </c>
      <c r="B328" s="6"/>
      <c r="C328" s="12"/>
    </row>
    <row r="329" spans="1:3">
      <c r="A329" s="6">
        <v>60337</v>
      </c>
      <c r="B329" s="6">
        <v>2025</v>
      </c>
      <c r="C329" s="12"/>
    </row>
    <row r="330" spans="1:3">
      <c r="A330" s="6">
        <v>60338</v>
      </c>
      <c r="B330" s="6"/>
      <c r="C330" s="12"/>
    </row>
    <row r="331" spans="1:3">
      <c r="A331" s="6">
        <v>60339</v>
      </c>
      <c r="B331" s="6"/>
      <c r="C331" s="12">
        <v>2027</v>
      </c>
    </row>
    <row r="332" spans="1:3">
      <c r="A332" s="6">
        <v>60340</v>
      </c>
      <c r="B332" s="6"/>
      <c r="C332" s="12"/>
    </row>
    <row r="333" spans="1:3">
      <c r="A333" s="6">
        <v>60342</v>
      </c>
      <c r="B333" s="6"/>
      <c r="C333" s="12">
        <v>2027</v>
      </c>
    </row>
    <row r="334" spans="1:3">
      <c r="A334" s="6">
        <v>60343</v>
      </c>
      <c r="B334" s="6"/>
      <c r="C334" s="12"/>
    </row>
    <row r="335" spans="1:3">
      <c r="A335" s="6">
        <v>60344</v>
      </c>
      <c r="B335" s="6"/>
      <c r="C335" s="12"/>
    </row>
    <row r="336" spans="1:3">
      <c r="A336" s="6">
        <v>60345</v>
      </c>
      <c r="B336" s="6">
        <v>2025</v>
      </c>
      <c r="C336" s="12"/>
    </row>
    <row r="337" spans="1:3">
      <c r="A337" s="6">
        <v>60346</v>
      </c>
      <c r="B337" s="6">
        <v>2025</v>
      </c>
      <c r="C337" s="12"/>
    </row>
    <row r="338" spans="1:3">
      <c r="A338" s="6">
        <v>60347</v>
      </c>
      <c r="B338" s="6"/>
      <c r="C338" s="12"/>
    </row>
    <row r="339" spans="1:3">
      <c r="A339" s="6">
        <v>60348</v>
      </c>
      <c r="B339" s="6"/>
      <c r="C339" s="12"/>
    </row>
    <row r="340" spans="1:3">
      <c r="A340" s="6">
        <v>60349</v>
      </c>
      <c r="B340" s="6"/>
      <c r="C340" s="12"/>
    </row>
    <row r="341" spans="1:3">
      <c r="A341" s="6">
        <v>60350</v>
      </c>
      <c r="B341" s="6"/>
      <c r="C341" s="12"/>
    </row>
    <row r="342" spans="1:3">
      <c r="A342" s="6">
        <v>60351</v>
      </c>
      <c r="B342" s="6"/>
      <c r="C342" s="12"/>
    </row>
    <row r="343" spans="1:3">
      <c r="A343" s="6">
        <v>60352</v>
      </c>
      <c r="B343" s="6"/>
      <c r="C343" s="12"/>
    </row>
    <row r="344" spans="1:3">
      <c r="A344" s="6">
        <v>60353</v>
      </c>
      <c r="B344" s="6"/>
      <c r="C344" s="12">
        <v>2026</v>
      </c>
    </row>
    <row r="345" spans="1:3">
      <c r="A345" s="6">
        <v>60354</v>
      </c>
      <c r="B345" s="6"/>
      <c r="C345" s="12">
        <v>2026</v>
      </c>
    </row>
    <row r="346" spans="1:3">
      <c r="A346" s="6">
        <v>60355</v>
      </c>
      <c r="B346" s="6"/>
      <c r="C346" s="12">
        <v>2027</v>
      </c>
    </row>
    <row r="347" spans="1:3">
      <c r="A347" s="6">
        <v>60356</v>
      </c>
      <c r="B347" s="6"/>
      <c r="C347" s="12">
        <v>2026</v>
      </c>
    </row>
    <row r="348" spans="1:3">
      <c r="A348" s="6">
        <v>60357</v>
      </c>
      <c r="B348" s="6"/>
      <c r="C348" s="12">
        <v>2026</v>
      </c>
    </row>
    <row r="349" spans="1:3">
      <c r="A349" s="6">
        <v>60358</v>
      </c>
      <c r="B349" s="6"/>
      <c r="C349" s="12">
        <v>2026</v>
      </c>
    </row>
    <row r="350" spans="1:3">
      <c r="A350" s="6">
        <v>60359</v>
      </c>
      <c r="B350" s="6"/>
      <c r="C350" s="12"/>
    </row>
    <row r="351" spans="1:3">
      <c r="A351" s="6">
        <v>60360</v>
      </c>
      <c r="B351" s="6"/>
      <c r="C351" s="12"/>
    </row>
    <row r="352" spans="1:3">
      <c r="A352" s="6">
        <v>60361</v>
      </c>
      <c r="B352" s="6"/>
      <c r="C352" s="12"/>
    </row>
    <row r="353" spans="1:3">
      <c r="A353" s="6">
        <v>60362</v>
      </c>
      <c r="B353" s="6"/>
      <c r="C353" s="12"/>
    </row>
    <row r="354" spans="1:3">
      <c r="A354" s="6">
        <v>60363</v>
      </c>
      <c r="B354" s="6"/>
      <c r="C354" s="12"/>
    </row>
    <row r="355" spans="1:3">
      <c r="A355" s="6">
        <v>60364</v>
      </c>
      <c r="B355" s="6"/>
      <c r="C355" s="12"/>
    </row>
    <row r="356" spans="1:3">
      <c r="A356" s="6">
        <v>60365</v>
      </c>
      <c r="B356" s="6"/>
      <c r="C356" s="12"/>
    </row>
    <row r="357" spans="1:3">
      <c r="A357" s="6">
        <v>60366</v>
      </c>
      <c r="B357" s="6"/>
      <c r="C357" s="12"/>
    </row>
    <row r="358" spans="1:3">
      <c r="A358" s="6">
        <v>60367</v>
      </c>
      <c r="B358" s="6"/>
      <c r="C358" s="12"/>
    </row>
    <row r="359" spans="1:3">
      <c r="A359" s="6">
        <v>60368</v>
      </c>
      <c r="B359" s="6"/>
      <c r="C359" s="12"/>
    </row>
    <row r="360" spans="1:3">
      <c r="A360" s="6">
        <v>60369</v>
      </c>
      <c r="B360" s="6"/>
      <c r="C360" s="12"/>
    </row>
    <row r="361" spans="1:3">
      <c r="A361" s="6">
        <v>60370</v>
      </c>
      <c r="B361" s="6"/>
      <c r="C361" s="12"/>
    </row>
    <row r="362" spans="1:3">
      <c r="A362" s="6">
        <v>60371</v>
      </c>
      <c r="B362" s="6"/>
      <c r="C362" s="12"/>
    </row>
    <row r="363" spans="1:3">
      <c r="A363" s="6">
        <v>60381</v>
      </c>
      <c r="B363" s="6">
        <v>2021</v>
      </c>
      <c r="C36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C11E-94B6-4A85-967A-E560D39B8923}">
  <sheetPr>
    <tabColor rgb="FFFFFF00"/>
  </sheetPr>
  <dimension ref="A1:F363"/>
  <sheetViews>
    <sheetView workbookViewId="0">
      <pane ySplit="1" topLeftCell="A2" activePane="bottomLeft" state="frozen"/>
      <selection pane="bottomLeft" activeCell="B5" sqref="B5"/>
    </sheetView>
  </sheetViews>
  <sheetFormatPr defaultRowHeight="15"/>
  <cols>
    <col min="1" max="1" width="13.140625" customWidth="1"/>
    <col min="2" max="6" width="34.42578125" customWidth="1"/>
  </cols>
  <sheetData>
    <row r="1" spans="1:6" ht="30.75" customHeight="1">
      <c r="A1" s="1" t="s">
        <v>0</v>
      </c>
      <c r="B1" s="13" t="s">
        <v>1052</v>
      </c>
      <c r="C1" s="13" t="s">
        <v>1053</v>
      </c>
      <c r="D1" s="14" t="s">
        <v>1054</v>
      </c>
      <c r="E1" s="14" t="s">
        <v>1055</v>
      </c>
      <c r="F1" s="14" t="s">
        <v>1056</v>
      </c>
    </row>
    <row r="2" spans="1:6">
      <c r="A2" s="15">
        <v>60000</v>
      </c>
      <c r="B2" s="16"/>
      <c r="C2" s="17"/>
      <c r="D2" s="18"/>
      <c r="E2" s="18"/>
      <c r="F2" s="18"/>
    </row>
    <row r="3" spans="1:6">
      <c r="A3" s="6">
        <v>60001</v>
      </c>
      <c r="B3" s="19" t="s">
        <v>1057</v>
      </c>
      <c r="C3" s="20"/>
      <c r="D3" s="18"/>
      <c r="E3" s="18"/>
      <c r="F3" s="18"/>
    </row>
    <row r="4" spans="1:6">
      <c r="A4" s="6">
        <v>60002</v>
      </c>
      <c r="B4" s="19" t="s">
        <v>1057</v>
      </c>
      <c r="C4" s="20"/>
      <c r="D4" s="18"/>
      <c r="E4" s="18"/>
      <c r="F4" s="18"/>
    </row>
    <row r="5" spans="1:6">
      <c r="A5" s="6">
        <v>60003</v>
      </c>
      <c r="B5" s="19" t="s">
        <v>1058</v>
      </c>
      <c r="C5" s="20"/>
      <c r="D5" s="18"/>
      <c r="E5" s="18"/>
      <c r="F5" s="18"/>
    </row>
    <row r="6" spans="1:6">
      <c r="A6" s="6">
        <v>60004</v>
      </c>
      <c r="B6" s="19" t="s">
        <v>1059</v>
      </c>
      <c r="C6" s="20"/>
      <c r="D6" s="18"/>
      <c r="E6" s="18"/>
      <c r="F6" s="18"/>
    </row>
    <row r="7" spans="1:6">
      <c r="A7" s="6">
        <v>60005</v>
      </c>
      <c r="B7" s="19" t="s">
        <v>1060</v>
      </c>
      <c r="C7" s="20"/>
      <c r="D7" s="18"/>
      <c r="E7" s="18"/>
      <c r="F7" s="18"/>
    </row>
    <row r="8" spans="1:6">
      <c r="A8" s="6">
        <v>60006</v>
      </c>
      <c r="B8" s="19" t="s">
        <v>1061</v>
      </c>
      <c r="C8" s="20"/>
      <c r="D8" s="18"/>
      <c r="E8" s="18"/>
      <c r="F8" s="18"/>
    </row>
    <row r="9" spans="1:6">
      <c r="A9" s="6">
        <v>60007</v>
      </c>
      <c r="B9" s="19" t="s">
        <v>1060</v>
      </c>
      <c r="C9" s="20"/>
      <c r="D9" s="18"/>
      <c r="E9" s="18"/>
      <c r="F9" s="18"/>
    </row>
    <row r="10" spans="1:6">
      <c r="A10" s="6">
        <v>60008</v>
      </c>
      <c r="B10" s="19" t="s">
        <v>1062</v>
      </c>
      <c r="C10" s="20"/>
      <c r="D10" s="18"/>
      <c r="E10" s="18"/>
      <c r="F10" s="18"/>
    </row>
    <row r="11" spans="1:6">
      <c r="A11" s="6">
        <v>60009</v>
      </c>
      <c r="B11" s="19" t="s">
        <v>1063</v>
      </c>
      <c r="C11" s="20"/>
      <c r="D11" s="18"/>
      <c r="E11" s="18"/>
      <c r="F11" s="18"/>
    </row>
    <row r="12" spans="1:6">
      <c r="A12" s="6">
        <v>60010</v>
      </c>
      <c r="B12" s="19" t="s">
        <v>1058</v>
      </c>
      <c r="C12" s="20"/>
      <c r="D12" s="18"/>
      <c r="E12" s="18"/>
      <c r="F12" s="18"/>
    </row>
    <row r="13" spans="1:6">
      <c r="A13" s="6">
        <v>60011</v>
      </c>
      <c r="B13" s="19" t="s">
        <v>1064</v>
      </c>
      <c r="C13" s="20"/>
      <c r="D13" s="18"/>
      <c r="E13" s="18"/>
      <c r="F13" s="18"/>
    </row>
    <row r="14" spans="1:6">
      <c r="A14" s="6">
        <v>60012</v>
      </c>
      <c r="B14" s="19" t="s">
        <v>1065</v>
      </c>
      <c r="C14" s="20"/>
      <c r="D14" s="18"/>
      <c r="E14" s="18"/>
      <c r="F14" s="18"/>
    </row>
    <row r="15" spans="1:6">
      <c r="A15" s="6">
        <v>60013</v>
      </c>
      <c r="B15" s="19" t="s">
        <v>1066</v>
      </c>
      <c r="C15" s="20"/>
      <c r="D15" s="18"/>
      <c r="E15" s="18"/>
      <c r="F15" s="18"/>
    </row>
    <row r="16" spans="1:6">
      <c r="A16" s="6">
        <v>60014</v>
      </c>
      <c r="B16" s="19" t="s">
        <v>1067</v>
      </c>
      <c r="C16" s="20" t="s">
        <v>1068</v>
      </c>
      <c r="D16" s="18"/>
      <c r="E16" s="18"/>
      <c r="F16" s="18"/>
    </row>
    <row r="17" spans="1:6">
      <c r="A17" s="6">
        <v>60015</v>
      </c>
      <c r="B17" s="19" t="s">
        <v>1058</v>
      </c>
      <c r="C17" s="20" t="s">
        <v>1069</v>
      </c>
      <c r="D17" s="18"/>
      <c r="E17" s="18"/>
      <c r="F17" s="18"/>
    </row>
    <row r="18" spans="1:6">
      <c r="A18" s="6">
        <v>60016</v>
      </c>
      <c r="B18" s="19" t="s">
        <v>1070</v>
      </c>
      <c r="C18" s="20"/>
      <c r="D18" s="18"/>
      <c r="E18" s="18"/>
      <c r="F18" s="18"/>
    </row>
    <row r="19" spans="1:6">
      <c r="A19" s="6">
        <v>60017</v>
      </c>
      <c r="B19" s="19" t="s">
        <v>1065</v>
      </c>
      <c r="C19" s="20" t="s">
        <v>1071</v>
      </c>
      <c r="D19" s="18"/>
      <c r="E19" s="18"/>
      <c r="F19" s="18"/>
    </row>
    <row r="20" spans="1:6">
      <c r="A20" s="6">
        <v>60018</v>
      </c>
      <c r="B20" s="19" t="s">
        <v>1065</v>
      </c>
      <c r="C20" s="20" t="s">
        <v>1071</v>
      </c>
      <c r="D20" s="18"/>
      <c r="E20" s="18"/>
      <c r="F20" s="18"/>
    </row>
    <row r="21" spans="1:6">
      <c r="A21" s="6">
        <v>60019</v>
      </c>
      <c r="B21" s="19" t="s">
        <v>1057</v>
      </c>
      <c r="C21" s="20"/>
      <c r="D21" s="18"/>
      <c r="E21" s="18"/>
      <c r="F21" s="18"/>
    </row>
    <row r="22" spans="1:6">
      <c r="A22" s="6">
        <v>60020</v>
      </c>
      <c r="B22" s="19" t="s">
        <v>1066</v>
      </c>
      <c r="C22" s="20"/>
      <c r="D22" s="18"/>
      <c r="E22" s="18"/>
      <c r="F22" s="18"/>
    </row>
    <row r="23" spans="1:6">
      <c r="A23" s="6">
        <v>60021</v>
      </c>
      <c r="B23" s="19"/>
      <c r="C23" s="20"/>
      <c r="D23" s="18"/>
      <c r="E23" s="18"/>
      <c r="F23" s="18"/>
    </row>
    <row r="24" spans="1:6">
      <c r="A24" s="6">
        <v>60022</v>
      </c>
      <c r="B24" s="19"/>
      <c r="C24" s="20"/>
      <c r="D24" s="18"/>
      <c r="E24" s="18"/>
      <c r="F24" s="18"/>
    </row>
    <row r="25" spans="1:6">
      <c r="A25" s="6">
        <v>60023</v>
      </c>
      <c r="B25" s="19" t="s">
        <v>1072</v>
      </c>
      <c r="C25" s="20"/>
      <c r="D25" s="18"/>
      <c r="E25" s="18"/>
      <c r="F25" s="18"/>
    </row>
    <row r="26" spans="1:6">
      <c r="A26" s="6">
        <v>60024</v>
      </c>
      <c r="B26" s="19"/>
      <c r="C26" s="20"/>
      <c r="D26" s="18"/>
      <c r="E26" s="18"/>
      <c r="F26" s="18"/>
    </row>
    <row r="27" spans="1:6">
      <c r="A27" s="6">
        <v>60025</v>
      </c>
      <c r="B27" s="19"/>
      <c r="C27" s="20"/>
      <c r="D27" s="18"/>
      <c r="E27" s="18"/>
      <c r="F27" s="18"/>
    </row>
    <row r="28" spans="1:6">
      <c r="A28" s="6">
        <v>60026</v>
      </c>
      <c r="B28" s="19"/>
      <c r="C28" s="20"/>
      <c r="D28" s="18"/>
      <c r="E28" s="18"/>
      <c r="F28" s="18"/>
    </row>
    <row r="29" spans="1:6">
      <c r="A29" s="6">
        <v>60027</v>
      </c>
      <c r="B29" s="19"/>
      <c r="C29" s="20"/>
      <c r="D29" s="18"/>
      <c r="E29" s="18"/>
      <c r="F29" s="18"/>
    </row>
    <row r="30" spans="1:6">
      <c r="A30" s="6">
        <v>60028</v>
      </c>
      <c r="B30" s="19" t="s">
        <v>1073</v>
      </c>
      <c r="C30" s="20"/>
      <c r="D30" s="18"/>
      <c r="E30" s="18"/>
      <c r="F30" s="18"/>
    </row>
    <row r="31" spans="1:6">
      <c r="A31" s="6">
        <v>60029</v>
      </c>
      <c r="B31" s="19"/>
      <c r="C31" s="20"/>
      <c r="D31" s="18"/>
      <c r="E31" s="18"/>
      <c r="F31" s="18"/>
    </row>
    <row r="32" spans="1:6">
      <c r="A32" s="6">
        <v>60030</v>
      </c>
      <c r="B32" s="19"/>
      <c r="C32" s="20"/>
      <c r="D32" s="18"/>
      <c r="E32" s="18"/>
      <c r="F32" s="18"/>
    </row>
    <row r="33" spans="1:6">
      <c r="A33" s="6">
        <v>60031</v>
      </c>
      <c r="B33" s="19"/>
      <c r="C33" s="20"/>
      <c r="D33" s="18"/>
      <c r="E33" s="18"/>
      <c r="F33" s="18"/>
    </row>
    <row r="34" spans="1:6">
      <c r="A34" s="6">
        <v>60032</v>
      </c>
      <c r="B34" s="19"/>
      <c r="C34" s="20"/>
      <c r="D34" s="18"/>
      <c r="E34" s="18"/>
      <c r="F34" s="18"/>
    </row>
    <row r="35" spans="1:6">
      <c r="A35" s="6">
        <v>60033</v>
      </c>
      <c r="B35" s="19"/>
      <c r="C35" s="20"/>
      <c r="D35" s="18"/>
      <c r="E35" s="18"/>
      <c r="F35" s="18"/>
    </row>
    <row r="36" spans="1:6">
      <c r="A36" s="6">
        <v>60034</v>
      </c>
      <c r="B36" s="19"/>
      <c r="C36" s="20"/>
      <c r="D36" s="18"/>
      <c r="E36" s="18"/>
      <c r="F36" s="18"/>
    </row>
    <row r="37" spans="1:6">
      <c r="A37" s="6">
        <v>60035</v>
      </c>
      <c r="B37" s="19"/>
      <c r="C37" s="20"/>
      <c r="D37" s="18"/>
      <c r="E37" s="18"/>
      <c r="F37" s="18"/>
    </row>
    <row r="38" spans="1:6">
      <c r="A38" s="6">
        <v>60036</v>
      </c>
      <c r="B38" s="19"/>
      <c r="C38" s="20"/>
      <c r="D38" s="18"/>
      <c r="E38" s="18"/>
      <c r="F38" s="18"/>
    </row>
    <row r="39" spans="1:6">
      <c r="A39" s="6">
        <v>60038</v>
      </c>
      <c r="B39" s="19"/>
      <c r="C39" s="20"/>
      <c r="D39" s="18"/>
      <c r="E39" s="18"/>
      <c r="F39" s="18"/>
    </row>
    <row r="40" spans="1:6">
      <c r="A40" s="6">
        <v>60039</v>
      </c>
      <c r="B40" s="19"/>
      <c r="C40" s="20"/>
      <c r="D40" s="18"/>
      <c r="E40" s="18"/>
      <c r="F40" s="18"/>
    </row>
    <row r="41" spans="1:6">
      <c r="A41" s="6">
        <v>60040</v>
      </c>
      <c r="B41" s="19" t="s">
        <v>1070</v>
      </c>
      <c r="C41" s="20"/>
      <c r="D41" s="18"/>
      <c r="E41" s="18"/>
      <c r="F41" s="18"/>
    </row>
    <row r="42" spans="1:6">
      <c r="A42" s="6">
        <v>60041</v>
      </c>
      <c r="B42" s="19"/>
      <c r="C42" s="20"/>
      <c r="D42" s="18"/>
      <c r="E42" s="18"/>
      <c r="F42" s="18"/>
    </row>
    <row r="43" spans="1:6">
      <c r="A43" s="6">
        <v>60042</v>
      </c>
      <c r="B43" s="19" t="s">
        <v>1074</v>
      </c>
      <c r="C43" s="20"/>
      <c r="D43" s="18"/>
      <c r="E43" s="18"/>
      <c r="F43" s="18"/>
    </row>
    <row r="44" spans="1:6">
      <c r="A44" s="6">
        <v>60043</v>
      </c>
      <c r="B44" s="19"/>
      <c r="C44" s="20"/>
      <c r="D44" s="18"/>
      <c r="E44" s="18"/>
      <c r="F44" s="18"/>
    </row>
    <row r="45" spans="1:6">
      <c r="A45" s="6">
        <v>60044</v>
      </c>
      <c r="B45" s="19"/>
      <c r="C45" s="20"/>
      <c r="D45" s="18"/>
      <c r="E45" s="18"/>
      <c r="F45" s="18"/>
    </row>
    <row r="46" spans="1:6">
      <c r="A46" s="6">
        <v>60045</v>
      </c>
      <c r="B46" s="19" t="s">
        <v>1075</v>
      </c>
      <c r="C46" s="20"/>
      <c r="D46" s="18"/>
      <c r="E46" s="18"/>
      <c r="F46" s="18"/>
    </row>
    <row r="47" spans="1:6">
      <c r="A47" s="6">
        <v>60046</v>
      </c>
      <c r="B47" s="19"/>
      <c r="C47" s="20"/>
      <c r="D47" s="18"/>
      <c r="E47" s="18"/>
      <c r="F47" s="18"/>
    </row>
    <row r="48" spans="1:6">
      <c r="A48" s="6">
        <v>60047</v>
      </c>
      <c r="B48" s="19"/>
      <c r="C48" s="20"/>
      <c r="D48" s="18"/>
      <c r="E48" s="18"/>
      <c r="F48" s="18"/>
    </row>
    <row r="49" spans="1:6">
      <c r="A49" s="6">
        <v>60048</v>
      </c>
      <c r="B49" s="19" t="s">
        <v>1063</v>
      </c>
      <c r="C49" s="20"/>
      <c r="D49" s="18"/>
      <c r="E49" s="18"/>
      <c r="F49" s="18"/>
    </row>
    <row r="50" spans="1:6">
      <c r="A50" s="6">
        <v>60049</v>
      </c>
      <c r="B50" s="19"/>
      <c r="C50" s="20"/>
      <c r="D50" s="18"/>
      <c r="E50" s="18"/>
      <c r="F50" s="18"/>
    </row>
    <row r="51" spans="1:6">
      <c r="A51" s="6">
        <v>60050</v>
      </c>
      <c r="B51" s="19"/>
      <c r="C51" s="20"/>
      <c r="D51" s="18"/>
      <c r="E51" s="18"/>
      <c r="F51" s="18"/>
    </row>
    <row r="52" spans="1:6">
      <c r="A52" s="6">
        <v>60051</v>
      </c>
      <c r="B52" s="19"/>
      <c r="C52" s="20"/>
      <c r="D52" s="18"/>
      <c r="E52" s="18"/>
      <c r="F52" s="18"/>
    </row>
    <row r="53" spans="1:6">
      <c r="A53" s="6">
        <v>60052</v>
      </c>
      <c r="B53" s="19"/>
      <c r="C53" s="20"/>
      <c r="D53" s="18"/>
      <c r="E53" s="18"/>
      <c r="F53" s="18"/>
    </row>
    <row r="54" spans="1:6">
      <c r="A54" s="6">
        <v>60053</v>
      </c>
      <c r="B54" s="19" t="s">
        <v>1076</v>
      </c>
      <c r="C54" s="20"/>
      <c r="D54" s="18"/>
      <c r="E54" s="18"/>
      <c r="F54" s="18"/>
    </row>
    <row r="55" spans="1:6">
      <c r="A55" s="6">
        <v>60054</v>
      </c>
      <c r="B55" s="19"/>
      <c r="C55" s="20"/>
      <c r="D55" s="18"/>
      <c r="E55" s="18"/>
      <c r="F55" s="18"/>
    </row>
    <row r="56" spans="1:6">
      <c r="A56" s="6">
        <v>60056</v>
      </c>
      <c r="B56" s="19"/>
      <c r="C56" s="20"/>
      <c r="D56" s="18"/>
      <c r="E56" s="18"/>
      <c r="F56" s="18"/>
    </row>
    <row r="57" spans="1:6">
      <c r="A57" s="6">
        <v>60057</v>
      </c>
      <c r="B57" s="19"/>
      <c r="C57" s="20"/>
      <c r="D57" s="18"/>
      <c r="E57" s="18"/>
      <c r="F57" s="18"/>
    </row>
    <row r="58" spans="1:6">
      <c r="A58" s="6">
        <v>60058</v>
      </c>
      <c r="B58" s="19"/>
      <c r="C58" s="20"/>
      <c r="D58" s="18"/>
      <c r="E58" s="18"/>
      <c r="F58" s="18"/>
    </row>
    <row r="59" spans="1:6">
      <c r="A59" s="6">
        <v>60059</v>
      </c>
      <c r="B59" s="19"/>
      <c r="C59" s="20"/>
      <c r="D59" s="18"/>
      <c r="E59" s="18"/>
      <c r="F59" s="18"/>
    </row>
    <row r="60" spans="1:6">
      <c r="A60" s="6">
        <v>60060</v>
      </c>
      <c r="B60" s="19"/>
      <c r="C60" s="20"/>
      <c r="D60" s="18"/>
      <c r="E60" s="18"/>
      <c r="F60" s="18"/>
    </row>
    <row r="61" spans="1:6">
      <c r="A61" s="6">
        <v>60061</v>
      </c>
      <c r="B61" s="19"/>
      <c r="C61" s="20"/>
      <c r="D61" s="18"/>
      <c r="E61" s="18"/>
      <c r="F61" s="18"/>
    </row>
    <row r="62" spans="1:6">
      <c r="A62" s="6">
        <v>60062</v>
      </c>
      <c r="B62" s="19"/>
      <c r="C62" s="20"/>
      <c r="D62" s="18"/>
      <c r="E62" s="18"/>
      <c r="F62" s="18"/>
    </row>
    <row r="63" spans="1:6">
      <c r="A63" s="6">
        <v>60063</v>
      </c>
      <c r="B63" s="19"/>
      <c r="C63" s="20"/>
      <c r="D63" s="18"/>
      <c r="E63" s="18"/>
      <c r="F63" s="18"/>
    </row>
    <row r="64" spans="1:6">
      <c r="A64" s="6">
        <v>60064</v>
      </c>
      <c r="B64" s="19"/>
      <c r="C64" s="20"/>
      <c r="D64" s="18"/>
      <c r="E64" s="18"/>
      <c r="F64" s="18"/>
    </row>
    <row r="65" spans="1:6">
      <c r="A65" s="6">
        <v>60065</v>
      </c>
      <c r="B65" s="19"/>
      <c r="C65" s="20"/>
      <c r="D65" s="18"/>
      <c r="E65" s="18"/>
      <c r="F65" s="18"/>
    </row>
    <row r="66" spans="1:6">
      <c r="A66" s="6">
        <v>60066</v>
      </c>
      <c r="B66" s="19"/>
      <c r="C66" s="20"/>
      <c r="D66" s="18"/>
      <c r="E66" s="18"/>
      <c r="F66" s="18"/>
    </row>
    <row r="67" spans="1:6">
      <c r="A67" s="6">
        <v>60067</v>
      </c>
      <c r="B67" s="19"/>
      <c r="C67" s="20"/>
      <c r="D67" s="18"/>
      <c r="E67" s="18"/>
      <c r="F67" s="18"/>
    </row>
    <row r="68" spans="1:6">
      <c r="A68" s="6">
        <v>60068</v>
      </c>
      <c r="B68" s="19"/>
      <c r="C68" s="20"/>
      <c r="D68" s="18"/>
      <c r="E68" s="18"/>
      <c r="F68" s="18"/>
    </row>
    <row r="69" spans="1:6">
      <c r="A69" s="6">
        <v>60069</v>
      </c>
      <c r="B69" s="19" t="s">
        <v>1063</v>
      </c>
      <c r="C69" s="20"/>
      <c r="D69" s="18"/>
      <c r="E69" s="18"/>
      <c r="F69" s="18"/>
    </row>
    <row r="70" spans="1:6">
      <c r="A70" s="6">
        <v>60070</v>
      </c>
      <c r="B70" s="19"/>
      <c r="C70" s="20"/>
      <c r="D70" s="18"/>
      <c r="E70" s="18"/>
      <c r="F70" s="18"/>
    </row>
    <row r="71" spans="1:6">
      <c r="A71" s="6">
        <v>60071</v>
      </c>
      <c r="B71" s="19"/>
      <c r="C71" s="20"/>
      <c r="D71" s="18"/>
      <c r="E71" s="18"/>
      <c r="F71" s="18"/>
    </row>
    <row r="72" spans="1:6">
      <c r="A72" s="6">
        <v>60072</v>
      </c>
      <c r="B72" s="19"/>
      <c r="C72" s="20"/>
      <c r="D72" s="18"/>
      <c r="E72" s="18"/>
      <c r="F72" s="18"/>
    </row>
    <row r="73" spans="1:6">
      <c r="A73" s="6">
        <v>60073</v>
      </c>
      <c r="B73" s="19" t="s">
        <v>1065</v>
      </c>
      <c r="C73" s="20"/>
      <c r="D73" s="18"/>
      <c r="E73" s="18"/>
      <c r="F73" s="18"/>
    </row>
    <row r="74" spans="1:6">
      <c r="A74" s="6">
        <v>60074</v>
      </c>
      <c r="B74" s="19"/>
      <c r="C74" s="20"/>
      <c r="D74" s="18"/>
      <c r="E74" s="18"/>
      <c r="F74" s="18"/>
    </row>
    <row r="75" spans="1:6">
      <c r="A75" s="6">
        <v>60075</v>
      </c>
      <c r="B75" s="19"/>
      <c r="C75" s="20"/>
      <c r="D75" s="18"/>
      <c r="E75" s="18"/>
      <c r="F75" s="18"/>
    </row>
    <row r="76" spans="1:6">
      <c r="A76" s="6">
        <v>60076</v>
      </c>
      <c r="B76" s="19"/>
      <c r="C76" s="20"/>
      <c r="D76" s="18"/>
      <c r="E76" s="18"/>
      <c r="F76" s="18"/>
    </row>
    <row r="77" spans="1:6">
      <c r="A77" s="6">
        <v>60077</v>
      </c>
      <c r="B77" s="19"/>
      <c r="C77" s="20"/>
      <c r="D77" s="18"/>
      <c r="E77" s="18"/>
      <c r="F77" s="18"/>
    </row>
    <row r="78" spans="1:6">
      <c r="A78" s="6">
        <v>60078</v>
      </c>
      <c r="B78" s="19"/>
      <c r="C78" s="20"/>
      <c r="D78" s="18"/>
      <c r="E78" s="18"/>
      <c r="F78" s="18"/>
    </row>
    <row r="79" spans="1:6">
      <c r="A79" s="6">
        <v>60079</v>
      </c>
      <c r="B79" s="19"/>
      <c r="C79" s="20"/>
      <c r="D79" s="18"/>
      <c r="E79" s="18"/>
      <c r="F79" s="18"/>
    </row>
    <row r="80" spans="1:6">
      <c r="A80" s="6">
        <v>60080</v>
      </c>
      <c r="B80" s="19"/>
      <c r="C80" s="20"/>
      <c r="D80" s="18"/>
      <c r="E80" s="18"/>
      <c r="F80" s="18"/>
    </row>
    <row r="81" spans="1:6">
      <c r="A81" s="6">
        <v>60081</v>
      </c>
      <c r="B81" s="19"/>
      <c r="C81" s="20"/>
      <c r="D81" s="18"/>
      <c r="E81" s="18"/>
      <c r="F81" s="18"/>
    </row>
    <row r="82" spans="1:6">
      <c r="A82" s="6">
        <v>60082</v>
      </c>
      <c r="B82" s="19"/>
      <c r="C82" s="20"/>
      <c r="D82" s="18"/>
      <c r="E82" s="18"/>
      <c r="F82" s="18"/>
    </row>
    <row r="83" spans="1:6">
      <c r="A83" s="6">
        <v>60083</v>
      </c>
      <c r="B83" s="19"/>
      <c r="C83" s="20"/>
      <c r="D83" s="18"/>
      <c r="E83" s="18"/>
      <c r="F83" s="18"/>
    </row>
    <row r="84" spans="1:6">
      <c r="A84" s="6">
        <v>60085</v>
      </c>
      <c r="B84" s="19"/>
      <c r="C84" s="20"/>
      <c r="D84" s="18"/>
      <c r="E84" s="18"/>
      <c r="F84" s="18"/>
    </row>
    <row r="85" spans="1:6">
      <c r="A85" s="6">
        <v>60086</v>
      </c>
      <c r="B85" s="19"/>
      <c r="C85" s="20"/>
      <c r="D85" s="18"/>
      <c r="E85" s="18"/>
      <c r="F85" s="18"/>
    </row>
    <row r="86" spans="1:6">
      <c r="A86" s="6">
        <v>60087</v>
      </c>
      <c r="B86" s="19"/>
      <c r="C86" s="20"/>
      <c r="D86" s="18"/>
      <c r="E86" s="18"/>
      <c r="F86" s="18"/>
    </row>
    <row r="87" spans="1:6">
      <c r="A87" s="6">
        <v>60088</v>
      </c>
      <c r="B87" s="19"/>
      <c r="C87" s="20"/>
      <c r="D87" s="18"/>
      <c r="E87" s="18"/>
      <c r="F87" s="18"/>
    </row>
    <row r="88" spans="1:6">
      <c r="A88" s="6">
        <v>60089</v>
      </c>
      <c r="B88" s="19"/>
      <c r="C88" s="20"/>
      <c r="D88" s="18"/>
      <c r="E88" s="18"/>
      <c r="F88" s="18"/>
    </row>
    <row r="89" spans="1:6">
      <c r="A89" s="6">
        <v>60090</v>
      </c>
      <c r="B89" s="19"/>
      <c r="C89" s="20"/>
      <c r="D89" s="18"/>
      <c r="E89" s="18"/>
      <c r="F89" s="18"/>
    </row>
    <row r="90" spans="1:6">
      <c r="A90" s="6">
        <v>60091</v>
      </c>
      <c r="B90" s="19" t="s">
        <v>1075</v>
      </c>
      <c r="C90" s="20"/>
      <c r="D90" s="18"/>
      <c r="E90" s="18"/>
      <c r="F90" s="18"/>
    </row>
    <row r="91" spans="1:6">
      <c r="A91" s="6">
        <v>60092</v>
      </c>
      <c r="B91" s="19" t="s">
        <v>1073</v>
      </c>
      <c r="C91" s="20"/>
      <c r="D91" s="18"/>
      <c r="E91" s="18"/>
      <c r="F91" s="18"/>
    </row>
    <row r="92" spans="1:6">
      <c r="A92" s="6">
        <v>60093</v>
      </c>
      <c r="B92" s="19"/>
      <c r="C92" s="20"/>
      <c r="D92" s="18"/>
      <c r="E92" s="18"/>
      <c r="F92" s="18"/>
    </row>
    <row r="93" spans="1:6">
      <c r="A93" s="6">
        <v>60094</v>
      </c>
      <c r="B93" s="19" t="s">
        <v>1061</v>
      </c>
      <c r="C93" s="20"/>
      <c r="D93" s="18"/>
      <c r="E93" s="18"/>
      <c r="F93" s="18"/>
    </row>
    <row r="94" spans="1:6">
      <c r="A94" s="6">
        <v>60095</v>
      </c>
      <c r="B94" s="19"/>
      <c r="C94" s="20"/>
      <c r="D94" s="18"/>
      <c r="E94" s="18"/>
      <c r="F94" s="18"/>
    </row>
    <row r="95" spans="1:6">
      <c r="A95" s="6">
        <v>60096</v>
      </c>
      <c r="B95" s="19"/>
      <c r="C95" s="20"/>
      <c r="D95" s="18"/>
      <c r="E95" s="18"/>
      <c r="F95" s="18"/>
    </row>
    <row r="96" spans="1:6">
      <c r="A96" s="6">
        <v>60097</v>
      </c>
      <c r="B96" s="19"/>
      <c r="C96" s="20"/>
      <c r="D96" s="18"/>
      <c r="E96" s="18"/>
      <c r="F96" s="18"/>
    </row>
    <row r="97" spans="1:6">
      <c r="A97" s="6">
        <v>60098</v>
      </c>
      <c r="B97" s="19"/>
      <c r="C97" s="20"/>
      <c r="D97" s="18"/>
      <c r="E97" s="18"/>
      <c r="F97" s="18"/>
    </row>
    <row r="98" spans="1:6">
      <c r="A98" s="6">
        <v>60099</v>
      </c>
      <c r="B98" s="19"/>
      <c r="C98" s="20"/>
      <c r="D98" s="18"/>
      <c r="E98" s="18"/>
      <c r="F98" s="18"/>
    </row>
    <row r="99" spans="1:6">
      <c r="A99" s="6">
        <v>60100</v>
      </c>
      <c r="B99" s="19"/>
      <c r="C99" s="20"/>
      <c r="D99" s="18"/>
      <c r="E99" s="18"/>
      <c r="F99" s="18"/>
    </row>
    <row r="100" spans="1:6">
      <c r="A100" s="6">
        <v>60102</v>
      </c>
      <c r="B100" s="19"/>
      <c r="C100" s="20"/>
      <c r="D100" s="18"/>
      <c r="E100" s="18"/>
      <c r="F100" s="18"/>
    </row>
    <row r="101" spans="1:6">
      <c r="A101" s="6">
        <v>60103</v>
      </c>
      <c r="B101" s="19"/>
      <c r="C101" s="20"/>
      <c r="D101" s="18"/>
      <c r="E101" s="18"/>
      <c r="F101" s="18"/>
    </row>
    <row r="102" spans="1:6">
      <c r="A102" s="6">
        <v>60104</v>
      </c>
      <c r="B102" s="19"/>
      <c r="C102" s="20"/>
      <c r="D102" s="18"/>
      <c r="E102" s="18"/>
      <c r="F102" s="18"/>
    </row>
    <row r="103" spans="1:6">
      <c r="A103" s="6">
        <v>60105</v>
      </c>
      <c r="B103" s="19"/>
      <c r="C103" s="20"/>
      <c r="D103" s="18"/>
      <c r="E103" s="18"/>
      <c r="F103" s="18"/>
    </row>
    <row r="104" spans="1:6">
      <c r="A104" s="6">
        <v>60106</v>
      </c>
      <c r="B104" s="19"/>
      <c r="C104" s="20"/>
      <c r="D104" s="18"/>
      <c r="E104" s="18"/>
      <c r="F104" s="18"/>
    </row>
    <row r="105" spans="1:6">
      <c r="A105" s="6">
        <v>60107</v>
      </c>
      <c r="B105" s="19"/>
      <c r="C105" s="20"/>
      <c r="D105" s="18"/>
      <c r="E105" s="18"/>
      <c r="F105" s="18"/>
    </row>
    <row r="106" spans="1:6">
      <c r="A106" s="6">
        <v>60108</v>
      </c>
      <c r="B106" s="19"/>
      <c r="C106" s="20"/>
      <c r="D106" s="18"/>
      <c r="E106" s="18"/>
      <c r="F106" s="18"/>
    </row>
    <row r="107" spans="1:6">
      <c r="A107" s="6">
        <v>60109</v>
      </c>
      <c r="B107" s="19"/>
      <c r="C107" s="20"/>
      <c r="D107" s="18"/>
      <c r="E107" s="18"/>
      <c r="F107" s="18"/>
    </row>
    <row r="108" spans="1:6">
      <c r="A108" s="6">
        <v>60110</v>
      </c>
      <c r="B108" s="19"/>
      <c r="C108" s="20"/>
      <c r="D108" s="18"/>
      <c r="E108" s="18"/>
      <c r="F108" s="18"/>
    </row>
    <row r="109" spans="1:6">
      <c r="A109" s="6">
        <v>60111</v>
      </c>
      <c r="B109" s="19"/>
      <c r="C109" s="20"/>
      <c r="D109" s="18"/>
      <c r="E109" s="18"/>
      <c r="F109" s="18"/>
    </row>
    <row r="110" spans="1:6">
      <c r="A110" s="6">
        <v>60112</v>
      </c>
      <c r="B110" s="19"/>
      <c r="C110" s="20"/>
      <c r="D110" s="18"/>
      <c r="E110" s="18"/>
      <c r="F110" s="18"/>
    </row>
    <row r="111" spans="1:6">
      <c r="A111" s="6">
        <v>60113</v>
      </c>
      <c r="B111" s="19"/>
      <c r="C111" s="20"/>
      <c r="D111" s="18"/>
      <c r="E111" s="18"/>
      <c r="F111" s="18"/>
    </row>
    <row r="112" spans="1:6">
      <c r="A112" s="6">
        <v>60114</v>
      </c>
      <c r="B112" s="19"/>
      <c r="C112" s="20"/>
      <c r="D112" s="18"/>
      <c r="E112" s="18"/>
      <c r="F112" s="18"/>
    </row>
    <row r="113" spans="1:6">
      <c r="A113" s="6">
        <v>60115</v>
      </c>
      <c r="B113" s="19"/>
      <c r="C113" s="20"/>
      <c r="D113" s="18"/>
      <c r="E113" s="18"/>
      <c r="F113" s="18"/>
    </row>
    <row r="114" spans="1:6">
      <c r="A114" s="6">
        <v>60116</v>
      </c>
      <c r="B114" s="19"/>
      <c r="C114" s="20"/>
      <c r="D114" s="18"/>
      <c r="E114" s="18"/>
      <c r="F114" s="18"/>
    </row>
    <row r="115" spans="1:6">
      <c r="A115" s="6">
        <v>60117</v>
      </c>
      <c r="B115" s="19"/>
      <c r="C115" s="20"/>
      <c r="D115" s="18"/>
      <c r="E115" s="18"/>
      <c r="F115" s="18"/>
    </row>
    <row r="116" spans="1:6">
      <c r="A116" s="6">
        <v>60118</v>
      </c>
      <c r="B116" s="19"/>
      <c r="C116" s="20"/>
      <c r="D116" s="18"/>
      <c r="E116" s="18"/>
      <c r="F116" s="18"/>
    </row>
    <row r="117" spans="1:6">
      <c r="A117" s="6">
        <v>60119</v>
      </c>
      <c r="B117" s="19"/>
      <c r="C117" s="20"/>
      <c r="D117" s="18"/>
      <c r="E117" s="18"/>
      <c r="F117" s="18"/>
    </row>
    <row r="118" spans="1:6">
      <c r="A118" s="6">
        <v>60120</v>
      </c>
      <c r="B118" s="19"/>
      <c r="C118" s="20"/>
      <c r="D118" s="18"/>
      <c r="E118" s="18"/>
      <c r="F118" s="18"/>
    </row>
    <row r="119" spans="1:6">
      <c r="A119" s="6">
        <v>60121</v>
      </c>
      <c r="B119" s="19"/>
      <c r="C119" s="20"/>
      <c r="D119" s="18"/>
      <c r="E119" s="18"/>
      <c r="F119" s="18"/>
    </row>
    <row r="120" spans="1:6">
      <c r="A120" s="6">
        <v>60122</v>
      </c>
      <c r="B120" s="19"/>
      <c r="C120" s="20"/>
      <c r="D120" s="18"/>
      <c r="E120" s="18"/>
      <c r="F120" s="18"/>
    </row>
    <row r="121" spans="1:6">
      <c r="A121" s="6">
        <v>60123</v>
      </c>
      <c r="B121" s="19"/>
      <c r="C121" s="20"/>
      <c r="D121" s="18"/>
      <c r="E121" s="18"/>
      <c r="F121" s="18"/>
    </row>
    <row r="122" spans="1:6">
      <c r="A122" s="6">
        <v>60124</v>
      </c>
      <c r="B122" s="19"/>
      <c r="C122" s="20"/>
      <c r="D122" s="18"/>
      <c r="E122" s="18"/>
      <c r="F122" s="18"/>
    </row>
    <row r="123" spans="1:6">
      <c r="A123" s="6">
        <v>60125</v>
      </c>
      <c r="B123" s="19"/>
      <c r="C123" s="20"/>
      <c r="D123" s="18"/>
      <c r="E123" s="18"/>
      <c r="F123" s="18"/>
    </row>
    <row r="124" spans="1:6">
      <c r="A124" s="6">
        <v>60126</v>
      </c>
      <c r="B124" s="19"/>
      <c r="C124" s="20"/>
      <c r="D124" s="18"/>
      <c r="E124" s="18"/>
      <c r="F124" s="18"/>
    </row>
    <row r="125" spans="1:6">
      <c r="A125" s="6">
        <v>60127</v>
      </c>
      <c r="B125" s="19"/>
      <c r="C125" s="20"/>
      <c r="D125" s="18"/>
      <c r="E125" s="18"/>
      <c r="F125" s="18"/>
    </row>
    <row r="126" spans="1:6">
      <c r="A126" s="6">
        <v>60128</v>
      </c>
      <c r="B126" s="19"/>
      <c r="C126" s="20"/>
      <c r="D126" s="18"/>
      <c r="E126" s="18"/>
      <c r="F126" s="18"/>
    </row>
    <row r="127" spans="1:6">
      <c r="A127" s="6">
        <v>60129</v>
      </c>
      <c r="B127" s="19"/>
      <c r="C127" s="20"/>
      <c r="D127" s="18"/>
      <c r="E127" s="18"/>
      <c r="F127" s="18"/>
    </row>
    <row r="128" spans="1:6">
      <c r="A128" s="6">
        <v>60130</v>
      </c>
      <c r="B128" s="19"/>
      <c r="C128" s="20"/>
      <c r="D128" s="18"/>
      <c r="E128" s="18"/>
      <c r="F128" s="18"/>
    </row>
    <row r="129" spans="1:6">
      <c r="A129" s="6">
        <v>60131</v>
      </c>
      <c r="B129" s="19"/>
      <c r="C129" s="20"/>
      <c r="D129" s="18"/>
      <c r="E129" s="18"/>
      <c r="F129" s="18"/>
    </row>
    <row r="130" spans="1:6">
      <c r="A130" s="6">
        <v>60132</v>
      </c>
      <c r="B130" s="19"/>
      <c r="C130" s="20"/>
      <c r="D130" s="18"/>
      <c r="E130" s="18"/>
      <c r="F130" s="18"/>
    </row>
    <row r="131" spans="1:6">
      <c r="A131" s="6">
        <v>60133</v>
      </c>
      <c r="B131" s="19"/>
      <c r="C131" s="20"/>
      <c r="D131" s="18"/>
      <c r="E131" s="18"/>
      <c r="F131" s="18"/>
    </row>
    <row r="132" spans="1:6">
      <c r="A132" s="6">
        <v>60135</v>
      </c>
      <c r="B132" s="19"/>
      <c r="C132" s="20"/>
      <c r="D132" s="18"/>
      <c r="E132" s="18"/>
      <c r="F132" s="18"/>
    </row>
    <row r="133" spans="1:6">
      <c r="A133" s="6">
        <v>60136</v>
      </c>
      <c r="B133" s="19"/>
      <c r="C133" s="20"/>
      <c r="D133" s="18"/>
      <c r="E133" s="18"/>
      <c r="F133" s="18"/>
    </row>
    <row r="134" spans="1:6">
      <c r="A134" s="6">
        <v>60137</v>
      </c>
      <c r="B134" s="19"/>
      <c r="C134" s="20"/>
      <c r="D134" s="18"/>
      <c r="E134" s="18"/>
      <c r="F134" s="18"/>
    </row>
    <row r="135" spans="1:6">
      <c r="A135" s="6">
        <v>60138</v>
      </c>
      <c r="B135" s="19"/>
      <c r="C135" s="20"/>
      <c r="D135" s="18"/>
      <c r="E135" s="18"/>
      <c r="F135" s="18"/>
    </row>
    <row r="136" spans="1:6">
      <c r="A136" s="6">
        <v>60139</v>
      </c>
      <c r="B136" s="19"/>
      <c r="C136" s="20"/>
      <c r="D136" s="18"/>
      <c r="E136" s="18"/>
      <c r="F136" s="18"/>
    </row>
    <row r="137" spans="1:6">
      <c r="A137" s="6">
        <v>60140</v>
      </c>
      <c r="B137" s="19"/>
      <c r="C137" s="20"/>
      <c r="D137" s="18"/>
      <c r="E137" s="18"/>
      <c r="F137" s="18"/>
    </row>
    <row r="138" spans="1:6">
      <c r="A138" s="6">
        <v>60141</v>
      </c>
      <c r="B138" s="19"/>
      <c r="C138" s="20"/>
      <c r="D138" s="18"/>
      <c r="E138" s="18"/>
      <c r="F138" s="18"/>
    </row>
    <row r="139" spans="1:6">
      <c r="A139" s="6">
        <v>60142</v>
      </c>
      <c r="B139" s="19"/>
      <c r="C139" s="20"/>
      <c r="D139" s="18"/>
      <c r="E139" s="18"/>
      <c r="F139" s="18"/>
    </row>
    <row r="140" spans="1:6">
      <c r="A140" s="6">
        <v>60143</v>
      </c>
      <c r="B140" s="19"/>
      <c r="C140" s="20"/>
      <c r="D140" s="18"/>
      <c r="E140" s="18"/>
      <c r="F140" s="18"/>
    </row>
    <row r="141" spans="1:6">
      <c r="A141" s="6">
        <v>60144</v>
      </c>
      <c r="B141" s="19"/>
      <c r="C141" s="20"/>
      <c r="D141" s="18"/>
      <c r="E141" s="18"/>
      <c r="F141" s="18"/>
    </row>
    <row r="142" spans="1:6">
      <c r="A142" s="6">
        <v>60146</v>
      </c>
      <c r="B142" s="19"/>
      <c r="C142" s="20"/>
      <c r="D142" s="18"/>
      <c r="E142" s="18"/>
      <c r="F142" s="18"/>
    </row>
    <row r="143" spans="1:6">
      <c r="A143" s="6">
        <v>60147</v>
      </c>
      <c r="B143" s="19"/>
      <c r="C143" s="20"/>
      <c r="D143" s="18"/>
      <c r="E143" s="18"/>
      <c r="F143" s="18"/>
    </row>
    <row r="144" spans="1:6">
      <c r="A144" s="6">
        <v>60148</v>
      </c>
      <c r="B144" s="19"/>
      <c r="C144" s="20"/>
      <c r="D144" s="18"/>
      <c r="E144" s="18"/>
      <c r="F144" s="18"/>
    </row>
    <row r="145" spans="1:6">
      <c r="A145" s="6">
        <v>60150</v>
      </c>
      <c r="B145" s="19"/>
      <c r="C145" s="20"/>
      <c r="D145" s="18"/>
      <c r="E145" s="18"/>
      <c r="F145" s="18"/>
    </row>
    <row r="146" spans="1:6">
      <c r="A146" s="6">
        <v>60151</v>
      </c>
      <c r="B146" s="19"/>
      <c r="C146" s="20"/>
      <c r="D146" s="18"/>
      <c r="E146" s="18"/>
      <c r="F146" s="18"/>
    </row>
    <row r="147" spans="1:6">
      <c r="A147" s="6">
        <v>60152</v>
      </c>
      <c r="B147" s="19"/>
      <c r="C147" s="20"/>
      <c r="D147" s="18"/>
      <c r="E147" s="18"/>
      <c r="F147" s="18"/>
    </row>
    <row r="148" spans="1:6">
      <c r="A148" s="6">
        <v>60153</v>
      </c>
      <c r="B148" s="19"/>
      <c r="C148" s="20"/>
      <c r="D148" s="18"/>
      <c r="E148" s="18"/>
      <c r="F148" s="18"/>
    </row>
    <row r="149" spans="1:6">
      <c r="A149" s="6">
        <v>60154</v>
      </c>
      <c r="B149" s="19"/>
      <c r="C149" s="20"/>
      <c r="D149" s="18"/>
      <c r="E149" s="18"/>
      <c r="F149" s="18"/>
    </row>
    <row r="150" spans="1:6">
      <c r="A150" s="6">
        <v>60155</v>
      </c>
      <c r="B150" s="19"/>
      <c r="C150" s="20"/>
      <c r="D150" s="18"/>
      <c r="E150" s="18"/>
      <c r="F150" s="18"/>
    </row>
    <row r="151" spans="1:6">
      <c r="A151" s="6">
        <v>60156</v>
      </c>
      <c r="B151" s="19"/>
      <c r="C151" s="20"/>
      <c r="D151" s="18"/>
      <c r="E151" s="18"/>
      <c r="F151" s="18"/>
    </row>
    <row r="152" spans="1:6">
      <c r="A152" s="6">
        <v>60157</v>
      </c>
      <c r="B152" s="19"/>
      <c r="C152" s="20"/>
      <c r="D152" s="18"/>
      <c r="E152" s="18"/>
      <c r="F152" s="18"/>
    </row>
    <row r="153" spans="1:6">
      <c r="A153" s="6">
        <v>60159</v>
      </c>
      <c r="B153" s="19"/>
      <c r="C153" s="20"/>
      <c r="D153" s="18"/>
      <c r="E153" s="18"/>
      <c r="F153" s="18"/>
    </row>
    <row r="154" spans="1:6">
      <c r="A154" s="6">
        <v>60160</v>
      </c>
      <c r="B154" s="19"/>
      <c r="C154" s="20"/>
      <c r="D154" s="18"/>
      <c r="E154" s="18"/>
      <c r="F154" s="18"/>
    </row>
    <row r="155" spans="1:6">
      <c r="A155" s="6">
        <v>60161</v>
      </c>
      <c r="B155" s="19"/>
      <c r="C155" s="20"/>
      <c r="D155" s="18"/>
      <c r="E155" s="18"/>
      <c r="F155" s="18"/>
    </row>
    <row r="156" spans="1:6">
      <c r="A156" s="6">
        <v>60162</v>
      </c>
      <c r="B156" s="19"/>
      <c r="C156" s="20"/>
      <c r="D156" s="18"/>
      <c r="E156" s="18"/>
      <c r="F156" s="18"/>
    </row>
    <row r="157" spans="1:6">
      <c r="A157" s="6">
        <v>60163</v>
      </c>
      <c r="B157" s="19"/>
      <c r="C157" s="20"/>
      <c r="D157" s="18"/>
      <c r="E157" s="18"/>
      <c r="F157" s="18"/>
    </row>
    <row r="158" spans="1:6">
      <c r="A158" s="6">
        <v>60164</v>
      </c>
      <c r="B158" s="19"/>
      <c r="C158" s="20"/>
      <c r="D158" s="18"/>
      <c r="E158" s="18"/>
      <c r="F158" s="18"/>
    </row>
    <row r="159" spans="1:6">
      <c r="A159" s="6">
        <v>60165</v>
      </c>
      <c r="B159" s="19"/>
      <c r="C159" s="20"/>
      <c r="D159" s="18"/>
      <c r="E159" s="18"/>
      <c r="F159" s="18"/>
    </row>
    <row r="160" spans="1:6">
      <c r="A160" s="6">
        <v>60166</v>
      </c>
      <c r="B160" s="19"/>
      <c r="C160" s="20"/>
      <c r="D160" s="18"/>
      <c r="E160" s="18"/>
      <c r="F160" s="18"/>
    </row>
    <row r="161" spans="1:6">
      <c r="A161" s="6">
        <v>60167</v>
      </c>
      <c r="B161" s="19" t="s">
        <v>1074</v>
      </c>
      <c r="C161" s="20"/>
      <c r="D161" s="18"/>
      <c r="E161" s="18"/>
      <c r="F161" s="18"/>
    </row>
    <row r="162" spans="1:6">
      <c r="A162" s="6">
        <v>60168</v>
      </c>
      <c r="B162" s="19"/>
      <c r="C162" s="20"/>
      <c r="D162" s="18"/>
      <c r="E162" s="18"/>
      <c r="F162" s="18"/>
    </row>
    <row r="163" spans="1:6">
      <c r="A163" s="6">
        <v>60169</v>
      </c>
      <c r="B163" s="19"/>
      <c r="C163" s="20"/>
      <c r="D163" s="18"/>
      <c r="E163" s="18"/>
      <c r="F163" s="18"/>
    </row>
    <row r="164" spans="1:6">
      <c r="A164" s="6">
        <v>60170</v>
      </c>
      <c r="B164" s="19"/>
      <c r="C164" s="20"/>
      <c r="D164" s="18"/>
      <c r="E164" s="18"/>
      <c r="F164" s="18"/>
    </row>
    <row r="165" spans="1:6">
      <c r="A165" s="6">
        <v>60171</v>
      </c>
      <c r="B165" s="19"/>
      <c r="C165" s="20"/>
      <c r="D165" s="18"/>
      <c r="E165" s="18"/>
      <c r="F165" s="18"/>
    </row>
    <row r="166" spans="1:6">
      <c r="A166" s="6">
        <v>60172</v>
      </c>
      <c r="B166" s="19"/>
      <c r="C166" s="20"/>
      <c r="D166" s="18"/>
      <c r="E166" s="18"/>
      <c r="F166" s="18"/>
    </row>
    <row r="167" spans="1:6">
      <c r="A167" s="6">
        <v>60173</v>
      </c>
      <c r="B167" s="19"/>
      <c r="C167" s="20"/>
      <c r="D167" s="18"/>
      <c r="E167" s="18"/>
      <c r="F167" s="18"/>
    </row>
    <row r="168" spans="1:6">
      <c r="A168" s="6">
        <v>60174</v>
      </c>
      <c r="B168" s="19"/>
      <c r="C168" s="20"/>
      <c r="D168" s="18"/>
      <c r="E168" s="18"/>
      <c r="F168" s="18"/>
    </row>
    <row r="169" spans="1:6">
      <c r="A169" s="6">
        <v>60175</v>
      </c>
      <c r="B169" s="19" t="s">
        <v>1075</v>
      </c>
      <c r="C169" s="20"/>
      <c r="D169" s="18"/>
      <c r="E169" s="18"/>
      <c r="F169" s="18"/>
    </row>
    <row r="170" spans="1:6">
      <c r="A170" s="6">
        <v>60176</v>
      </c>
      <c r="B170" s="19" t="s">
        <v>1077</v>
      </c>
      <c r="C170" s="20" t="s">
        <v>1078</v>
      </c>
      <c r="D170" s="18"/>
      <c r="E170" s="18"/>
      <c r="F170" s="18"/>
    </row>
    <row r="171" spans="1:6">
      <c r="A171" s="6">
        <v>60178</v>
      </c>
      <c r="B171" s="19"/>
      <c r="C171" s="20"/>
      <c r="D171" s="18"/>
      <c r="E171" s="18"/>
      <c r="F171" s="18"/>
    </row>
    <row r="172" spans="1:6">
      <c r="A172" s="6">
        <v>60179</v>
      </c>
      <c r="B172" s="19" t="s">
        <v>1066</v>
      </c>
      <c r="C172" s="20"/>
      <c r="D172" s="18"/>
      <c r="E172" s="18"/>
      <c r="F172" s="18"/>
    </row>
    <row r="173" spans="1:6">
      <c r="A173" s="6">
        <v>60180</v>
      </c>
      <c r="B173" s="19" t="s">
        <v>1057</v>
      </c>
      <c r="C173" s="20"/>
      <c r="D173" s="18"/>
      <c r="E173" s="18"/>
      <c r="F173" s="18"/>
    </row>
    <row r="174" spans="1:6">
      <c r="A174" s="6">
        <v>60181</v>
      </c>
      <c r="B174" s="19"/>
      <c r="C174" s="20"/>
      <c r="D174" s="18"/>
      <c r="E174" s="18"/>
      <c r="F174" s="18"/>
    </row>
    <row r="175" spans="1:6">
      <c r="A175" s="6">
        <v>60182</v>
      </c>
      <c r="B175" s="19"/>
      <c r="C175" s="20"/>
      <c r="D175" s="18"/>
      <c r="E175" s="18"/>
      <c r="F175" s="18"/>
    </row>
    <row r="176" spans="1:6">
      <c r="A176" s="6">
        <v>60183</v>
      </c>
      <c r="B176" s="19"/>
      <c r="C176" s="20"/>
      <c r="D176" s="18"/>
      <c r="E176" s="18"/>
      <c r="F176" s="18"/>
    </row>
    <row r="177" spans="1:6">
      <c r="A177" s="6">
        <v>60184</v>
      </c>
      <c r="B177" s="19"/>
      <c r="C177" s="20"/>
      <c r="D177" s="18"/>
      <c r="E177" s="18"/>
      <c r="F177" s="18"/>
    </row>
    <row r="178" spans="1:6">
      <c r="A178" s="6">
        <v>60187</v>
      </c>
      <c r="B178" s="19"/>
      <c r="C178" s="20"/>
      <c r="D178" s="18"/>
      <c r="E178" s="18"/>
      <c r="F178" s="18"/>
    </row>
    <row r="179" spans="1:6">
      <c r="A179" s="6">
        <v>60188</v>
      </c>
      <c r="B179" s="19"/>
      <c r="C179" s="20"/>
      <c r="D179" s="18"/>
      <c r="E179" s="18"/>
      <c r="F179" s="18"/>
    </row>
    <row r="180" spans="1:6">
      <c r="A180" s="6">
        <v>60189</v>
      </c>
      <c r="B180" s="19"/>
      <c r="C180" s="20"/>
      <c r="D180" s="18"/>
      <c r="E180" s="18"/>
      <c r="F180" s="18"/>
    </row>
    <row r="181" spans="1:6">
      <c r="A181" s="6">
        <v>60190</v>
      </c>
      <c r="B181" s="19"/>
      <c r="C181" s="20"/>
      <c r="D181" s="18"/>
      <c r="E181" s="18"/>
      <c r="F181" s="18"/>
    </row>
    <row r="182" spans="1:6">
      <c r="A182" s="6">
        <v>60191</v>
      </c>
      <c r="B182" s="19"/>
      <c r="C182" s="20"/>
      <c r="D182" s="18"/>
      <c r="E182" s="18"/>
      <c r="F182" s="18"/>
    </row>
    <row r="183" spans="1:6">
      <c r="A183" s="6">
        <v>60192</v>
      </c>
      <c r="B183" s="19"/>
      <c r="C183" s="20"/>
      <c r="D183" s="18"/>
      <c r="E183" s="18"/>
      <c r="F183" s="18"/>
    </row>
    <row r="184" spans="1:6">
      <c r="A184" s="6">
        <v>60193</v>
      </c>
      <c r="B184" s="19"/>
      <c r="C184" s="20"/>
      <c r="D184" s="18"/>
      <c r="E184" s="18"/>
      <c r="F184" s="18"/>
    </row>
    <row r="185" spans="1:6">
      <c r="A185" s="6">
        <v>60194</v>
      </c>
      <c r="B185" s="19"/>
      <c r="C185" s="20"/>
      <c r="D185" s="18"/>
      <c r="E185" s="18"/>
      <c r="F185" s="18"/>
    </row>
    <row r="186" spans="1:6">
      <c r="A186" s="6">
        <v>60195</v>
      </c>
      <c r="B186" s="19"/>
      <c r="C186" s="20"/>
      <c r="D186" s="18"/>
      <c r="E186" s="18"/>
      <c r="F186" s="18"/>
    </row>
    <row r="187" spans="1:6">
      <c r="A187" s="6">
        <v>60196</v>
      </c>
      <c r="B187" s="19"/>
      <c r="C187" s="20"/>
      <c r="D187" s="18"/>
      <c r="E187" s="18"/>
      <c r="F187" s="18"/>
    </row>
    <row r="188" spans="1:6">
      <c r="A188" s="6">
        <v>60197</v>
      </c>
      <c r="B188" s="19"/>
      <c r="C188" s="20"/>
      <c r="D188" s="18"/>
      <c r="E188" s="18"/>
      <c r="F188" s="18"/>
    </row>
    <row r="189" spans="1:6">
      <c r="A189" s="6">
        <v>60198</v>
      </c>
      <c r="B189" s="19"/>
      <c r="C189" s="20"/>
      <c r="D189" s="18"/>
      <c r="E189" s="18"/>
      <c r="F189" s="18"/>
    </row>
    <row r="190" spans="1:6">
      <c r="A190" s="6">
        <v>60199</v>
      </c>
      <c r="B190" s="19"/>
      <c r="C190" s="20"/>
      <c r="D190" s="18"/>
      <c r="E190" s="18"/>
      <c r="F190" s="18"/>
    </row>
    <row r="191" spans="1:6">
      <c r="A191" s="6">
        <v>60200</v>
      </c>
      <c r="B191" s="19"/>
      <c r="C191" s="20"/>
      <c r="D191" s="18"/>
      <c r="E191" s="18"/>
      <c r="F191" s="18"/>
    </row>
    <row r="192" spans="1:6">
      <c r="A192" s="6">
        <v>60201</v>
      </c>
      <c r="B192" s="19"/>
      <c r="C192" s="20"/>
      <c r="D192" s="18"/>
      <c r="E192" s="18"/>
      <c r="F192" s="18"/>
    </row>
    <row r="193" spans="1:6">
      <c r="A193" s="6">
        <v>60202</v>
      </c>
      <c r="B193" s="19"/>
      <c r="C193" s="20"/>
      <c r="D193" s="18"/>
      <c r="E193" s="18"/>
      <c r="F193" s="18"/>
    </row>
    <row r="194" spans="1:6">
      <c r="A194" s="6">
        <v>60203</v>
      </c>
      <c r="B194" s="19"/>
      <c r="C194" s="20"/>
      <c r="D194" s="18"/>
      <c r="E194" s="18"/>
      <c r="F194" s="18"/>
    </row>
    <row r="195" spans="1:6">
      <c r="A195" s="6">
        <v>60204</v>
      </c>
      <c r="B195" s="19"/>
      <c r="C195" s="20"/>
      <c r="D195" s="18"/>
      <c r="E195" s="18"/>
      <c r="F195" s="18"/>
    </row>
    <row r="196" spans="1:6">
      <c r="A196" s="6">
        <v>60205</v>
      </c>
      <c r="B196" s="19"/>
      <c r="C196" s="20"/>
      <c r="D196" s="18"/>
      <c r="E196" s="18"/>
      <c r="F196" s="18"/>
    </row>
    <row r="197" spans="1:6">
      <c r="A197" s="6">
        <v>60206</v>
      </c>
      <c r="B197" s="19"/>
      <c r="C197" s="20"/>
      <c r="D197" s="18"/>
      <c r="E197" s="18"/>
      <c r="F197" s="18"/>
    </row>
    <row r="198" spans="1:6">
      <c r="A198" s="6">
        <v>60207</v>
      </c>
      <c r="B198" s="19"/>
      <c r="C198" s="20"/>
      <c r="D198" s="18"/>
      <c r="E198" s="18"/>
      <c r="F198" s="18"/>
    </row>
    <row r="199" spans="1:6">
      <c r="A199" s="6">
        <v>60208</v>
      </c>
      <c r="B199" s="19"/>
      <c r="C199" s="20"/>
      <c r="D199" s="18"/>
      <c r="E199" s="18"/>
      <c r="F199" s="18"/>
    </row>
    <row r="200" spans="1:6">
      <c r="A200" s="6">
        <v>60209</v>
      </c>
      <c r="B200" s="19"/>
      <c r="C200" s="20"/>
      <c r="D200" s="18"/>
      <c r="E200" s="18"/>
      <c r="F200" s="18"/>
    </row>
    <row r="201" spans="1:6">
      <c r="A201" s="6">
        <v>60211</v>
      </c>
      <c r="B201" s="19"/>
      <c r="C201" s="20"/>
      <c r="D201" s="18"/>
      <c r="E201" s="18"/>
      <c r="F201" s="18"/>
    </row>
    <row r="202" spans="1:6">
      <c r="A202" s="6">
        <v>60212</v>
      </c>
      <c r="B202" s="19"/>
      <c r="C202" s="20"/>
      <c r="D202" s="18"/>
      <c r="E202" s="18"/>
      <c r="F202" s="18"/>
    </row>
    <row r="203" spans="1:6">
      <c r="A203" s="6">
        <v>60213</v>
      </c>
      <c r="B203" s="19"/>
      <c r="C203" s="20"/>
      <c r="D203" s="18"/>
      <c r="E203" s="18"/>
      <c r="F203" s="18"/>
    </row>
    <row r="204" spans="1:6">
      <c r="A204" s="6">
        <v>60214</v>
      </c>
      <c r="B204" s="19"/>
      <c r="C204" s="20"/>
      <c r="D204" s="18"/>
      <c r="E204" s="18"/>
      <c r="F204" s="18"/>
    </row>
    <row r="205" spans="1:6">
      <c r="A205" s="6">
        <v>60215</v>
      </c>
      <c r="B205" s="19"/>
      <c r="C205" s="20"/>
      <c r="D205" s="18"/>
      <c r="E205" s="18"/>
      <c r="F205" s="18"/>
    </row>
    <row r="206" spans="1:6">
      <c r="A206" s="6">
        <v>60216</v>
      </c>
      <c r="B206" s="19"/>
      <c r="C206" s="20"/>
      <c r="D206" s="18"/>
      <c r="E206" s="18"/>
      <c r="F206" s="18"/>
    </row>
    <row r="207" spans="1:6">
      <c r="A207" s="6">
        <v>60217</v>
      </c>
      <c r="B207" s="19"/>
      <c r="C207" s="20"/>
      <c r="D207" s="18"/>
      <c r="E207" s="18"/>
      <c r="F207" s="18"/>
    </row>
    <row r="208" spans="1:6">
      <c r="A208" s="6">
        <v>60218</v>
      </c>
      <c r="B208" s="19"/>
      <c r="C208" s="20"/>
      <c r="D208" s="18"/>
      <c r="E208" s="18"/>
      <c r="F208" s="18"/>
    </row>
    <row r="209" spans="1:6">
      <c r="A209" s="6">
        <v>60219</v>
      </c>
      <c r="B209" s="19"/>
      <c r="C209" s="20"/>
      <c r="D209" s="18"/>
      <c r="E209" s="18"/>
      <c r="F209" s="18"/>
    </row>
    <row r="210" spans="1:6">
      <c r="A210" s="6">
        <v>60220</v>
      </c>
      <c r="B210" s="19"/>
      <c r="C210" s="20"/>
      <c r="D210" s="18"/>
      <c r="E210" s="18"/>
      <c r="F210" s="18"/>
    </row>
    <row r="211" spans="1:6">
      <c r="A211" s="6">
        <v>60221</v>
      </c>
      <c r="B211" s="19"/>
      <c r="C211" s="20"/>
      <c r="D211" s="18"/>
      <c r="E211" s="18"/>
      <c r="F211" s="18"/>
    </row>
    <row r="212" spans="1:6">
      <c r="A212" s="6">
        <v>60222</v>
      </c>
      <c r="B212" s="19"/>
      <c r="C212" s="20"/>
      <c r="D212" s="18"/>
      <c r="E212" s="18"/>
      <c r="F212" s="18"/>
    </row>
    <row r="213" spans="1:6">
      <c r="A213" s="6">
        <v>60223</v>
      </c>
      <c r="B213" s="19"/>
      <c r="C213" s="20"/>
      <c r="D213" s="18"/>
      <c r="E213" s="18"/>
      <c r="F213" s="18"/>
    </row>
    <row r="214" spans="1:6">
      <c r="A214" s="6">
        <v>60224</v>
      </c>
      <c r="B214" s="19"/>
      <c r="C214" s="20"/>
      <c r="D214" s="18"/>
      <c r="E214" s="18"/>
      <c r="F214" s="18"/>
    </row>
    <row r="215" spans="1:6">
      <c r="A215" s="6">
        <v>60225</v>
      </c>
      <c r="B215" s="19"/>
      <c r="C215" s="20"/>
      <c r="D215" s="18"/>
      <c r="E215" s="18"/>
      <c r="F215" s="18"/>
    </row>
    <row r="216" spans="1:6">
      <c r="A216" s="6">
        <v>60226</v>
      </c>
      <c r="B216" s="19"/>
      <c r="C216" s="20"/>
      <c r="D216" s="18"/>
      <c r="E216" s="18"/>
      <c r="F216" s="18"/>
    </row>
    <row r="217" spans="1:6">
      <c r="A217" s="6">
        <v>60227</v>
      </c>
      <c r="B217" s="19"/>
      <c r="C217" s="20"/>
      <c r="D217" s="18"/>
      <c r="E217" s="18"/>
      <c r="F217" s="18"/>
    </row>
    <row r="218" spans="1:6">
      <c r="A218" s="6">
        <v>60228</v>
      </c>
      <c r="B218" s="19" t="s">
        <v>1057</v>
      </c>
      <c r="C218" s="20"/>
      <c r="D218" s="18"/>
      <c r="E218" s="18"/>
      <c r="F218" s="18"/>
    </row>
    <row r="219" spans="1:6">
      <c r="A219" s="6">
        <v>60229</v>
      </c>
      <c r="B219" s="19" t="s">
        <v>1058</v>
      </c>
      <c r="C219" s="20"/>
      <c r="D219" s="18"/>
      <c r="E219" s="18"/>
      <c r="F219" s="18"/>
    </row>
    <row r="220" spans="1:6">
      <c r="A220" s="6">
        <v>60230</v>
      </c>
      <c r="B220" s="19"/>
      <c r="C220" s="20"/>
      <c r="D220" s="18"/>
      <c r="E220" s="18"/>
      <c r="F220" s="18"/>
    </row>
    <row r="221" spans="1:6">
      <c r="A221" s="6">
        <v>60231</v>
      </c>
      <c r="B221" s="19"/>
      <c r="C221" s="20"/>
      <c r="D221" s="18"/>
      <c r="E221" s="18"/>
      <c r="F221" s="18"/>
    </row>
    <row r="222" spans="1:6">
      <c r="A222" s="6">
        <v>60232</v>
      </c>
      <c r="B222" s="19"/>
      <c r="C222" s="20"/>
      <c r="D222" s="18"/>
      <c r="E222" s="18"/>
      <c r="F222" s="18"/>
    </row>
    <row r="223" spans="1:6">
      <c r="A223" s="6">
        <v>60233</v>
      </c>
      <c r="B223" s="19"/>
      <c r="C223" s="20"/>
      <c r="D223" s="18"/>
      <c r="E223" s="18"/>
      <c r="F223" s="18"/>
    </row>
    <row r="224" spans="1:6">
      <c r="A224" s="6">
        <v>60234</v>
      </c>
      <c r="B224" s="19"/>
      <c r="C224" s="20"/>
      <c r="D224" s="18"/>
      <c r="E224" s="18"/>
      <c r="F224" s="18"/>
    </row>
    <row r="225" spans="1:6">
      <c r="A225" s="6">
        <v>60235</v>
      </c>
      <c r="B225" s="19"/>
      <c r="C225" s="20"/>
      <c r="D225" s="18"/>
      <c r="E225" s="18"/>
      <c r="F225" s="18"/>
    </row>
    <row r="226" spans="1:6">
      <c r="A226" s="6">
        <v>60236</v>
      </c>
      <c r="B226" s="19"/>
      <c r="C226" s="20"/>
      <c r="D226" s="18"/>
      <c r="E226" s="18"/>
      <c r="F226" s="18"/>
    </row>
    <row r="227" spans="1:6">
      <c r="A227" s="6">
        <v>60237</v>
      </c>
      <c r="B227" s="19"/>
      <c r="C227" s="20"/>
      <c r="D227" s="18"/>
      <c r="E227" s="18"/>
      <c r="F227" s="18"/>
    </row>
    <row r="228" spans="1:6">
      <c r="A228" s="6">
        <v>60238</v>
      </c>
      <c r="B228" s="19"/>
      <c r="C228" s="20"/>
      <c r="D228" s="18"/>
      <c r="E228" s="18"/>
      <c r="F228" s="18"/>
    </row>
    <row r="229" spans="1:6">
      <c r="A229" s="6">
        <v>60239</v>
      </c>
      <c r="B229" s="19"/>
      <c r="C229" s="20"/>
      <c r="D229" s="18"/>
      <c r="E229" s="18"/>
      <c r="F229" s="18"/>
    </row>
    <row r="230" spans="1:6">
      <c r="A230" s="6">
        <v>60240</v>
      </c>
      <c r="B230" s="19"/>
      <c r="C230" s="20"/>
      <c r="D230" s="18"/>
      <c r="E230" s="18"/>
      <c r="F230" s="18"/>
    </row>
    <row r="231" spans="1:6">
      <c r="A231" s="6">
        <v>60241</v>
      </c>
      <c r="B231" s="19"/>
      <c r="C231" s="20"/>
      <c r="D231" s="18"/>
      <c r="E231" s="18"/>
      <c r="F231" s="18"/>
    </row>
    <row r="232" spans="1:6">
      <c r="A232" s="6">
        <v>60242</v>
      </c>
      <c r="B232" s="19"/>
      <c r="C232" s="20"/>
      <c r="D232" s="18"/>
      <c r="E232" s="18"/>
      <c r="F232" s="18"/>
    </row>
    <row r="233" spans="1:6">
      <c r="A233" s="6">
        <v>60243</v>
      </c>
      <c r="B233" s="19"/>
      <c r="C233" s="20"/>
      <c r="D233" s="18"/>
      <c r="E233" s="18"/>
      <c r="F233" s="18"/>
    </row>
    <row r="234" spans="1:6">
      <c r="A234" s="6">
        <v>60244</v>
      </c>
      <c r="B234" s="19" t="s">
        <v>1063</v>
      </c>
      <c r="C234" s="20"/>
      <c r="D234" s="18"/>
      <c r="E234" s="18"/>
      <c r="F234" s="18"/>
    </row>
    <row r="235" spans="1:6">
      <c r="A235" s="6">
        <v>60245</v>
      </c>
      <c r="B235" s="19" t="s">
        <v>1061</v>
      </c>
      <c r="C235" s="20"/>
      <c r="D235" s="18"/>
      <c r="E235" s="18"/>
      <c r="F235" s="18"/>
    </row>
    <row r="236" spans="1:6">
      <c r="A236" s="6">
        <v>60246</v>
      </c>
      <c r="B236" s="19"/>
      <c r="C236" s="20"/>
      <c r="D236" s="18"/>
      <c r="E236" s="18"/>
      <c r="F236" s="18"/>
    </row>
    <row r="237" spans="1:6">
      <c r="A237" s="6">
        <v>60247</v>
      </c>
      <c r="B237" s="19"/>
      <c r="C237" s="20"/>
      <c r="D237" s="18"/>
      <c r="E237" s="18"/>
      <c r="F237" s="18"/>
    </row>
    <row r="238" spans="1:6">
      <c r="A238" s="6">
        <v>60248</v>
      </c>
      <c r="B238" s="19"/>
      <c r="C238" s="20"/>
      <c r="D238" s="18"/>
      <c r="E238" s="18"/>
      <c r="F238" s="18"/>
    </row>
    <row r="239" spans="1:6">
      <c r="A239" s="6">
        <v>60249</v>
      </c>
      <c r="B239" s="19" t="s">
        <v>1063</v>
      </c>
      <c r="C239" s="20"/>
      <c r="D239" s="18"/>
      <c r="E239" s="18"/>
      <c r="F239" s="18"/>
    </row>
    <row r="240" spans="1:6">
      <c r="A240" s="6">
        <v>60252</v>
      </c>
      <c r="B240" s="19"/>
      <c r="C240" s="20"/>
      <c r="D240" s="18"/>
      <c r="E240" s="18"/>
      <c r="F240" s="18"/>
    </row>
    <row r="241" spans="1:6">
      <c r="A241" s="6">
        <v>60253</v>
      </c>
      <c r="B241" s="19"/>
      <c r="C241" s="20"/>
      <c r="D241" s="18"/>
      <c r="E241" s="18"/>
      <c r="F241" s="18"/>
    </row>
    <row r="242" spans="1:6">
      <c r="A242" s="6">
        <v>60254</v>
      </c>
      <c r="B242" s="19"/>
      <c r="C242" s="20"/>
      <c r="D242" s="18"/>
      <c r="E242" s="18"/>
      <c r="F242" s="18"/>
    </row>
    <row r="243" spans="1:6">
      <c r="A243" s="6">
        <v>60255</v>
      </c>
      <c r="B243" s="19"/>
      <c r="C243" s="20"/>
      <c r="D243" s="18"/>
      <c r="E243" s="18"/>
      <c r="F243" s="18"/>
    </row>
    <row r="244" spans="1:6">
      <c r="A244" s="6">
        <v>60256</v>
      </c>
      <c r="B244" s="19"/>
      <c r="C244" s="20"/>
      <c r="D244" s="18"/>
      <c r="E244" s="18"/>
      <c r="F244" s="18"/>
    </row>
    <row r="245" spans="1:6">
      <c r="A245" s="6">
        <v>60257</v>
      </c>
      <c r="B245" s="19"/>
      <c r="C245" s="20"/>
      <c r="D245" s="18"/>
      <c r="E245" s="18"/>
      <c r="F245" s="18"/>
    </row>
    <row r="246" spans="1:6">
      <c r="A246" s="6">
        <v>60258</v>
      </c>
      <c r="B246" s="19"/>
      <c r="C246" s="20"/>
      <c r="D246" s="18"/>
      <c r="E246" s="18"/>
      <c r="F246" s="18"/>
    </row>
    <row r="247" spans="1:6">
      <c r="A247" s="6">
        <v>60259</v>
      </c>
      <c r="B247" s="19" t="s">
        <v>1057</v>
      </c>
      <c r="C247" s="20"/>
      <c r="D247" s="18"/>
      <c r="E247" s="18"/>
      <c r="F247" s="18"/>
    </row>
    <row r="248" spans="1:6">
      <c r="A248" s="6">
        <v>60260</v>
      </c>
      <c r="B248" s="19"/>
      <c r="C248" s="20"/>
      <c r="D248" s="18"/>
      <c r="E248" s="18"/>
      <c r="F248" s="18"/>
    </row>
    <row r="249" spans="1:6">
      <c r="A249" s="6">
        <v>60261</v>
      </c>
      <c r="B249" s="19" t="s">
        <v>1062</v>
      </c>
      <c r="C249" s="20"/>
      <c r="D249" s="18"/>
      <c r="E249" s="18"/>
      <c r="F249" s="18"/>
    </row>
    <row r="250" spans="1:6">
      <c r="A250" s="6">
        <v>60262</v>
      </c>
      <c r="B250" s="19"/>
      <c r="C250" s="20"/>
      <c r="D250" s="18"/>
      <c r="E250" s="18"/>
      <c r="F250" s="18"/>
    </row>
    <row r="251" spans="1:6">
      <c r="A251" s="6">
        <v>60263</v>
      </c>
      <c r="B251" s="19" t="s">
        <v>1067</v>
      </c>
      <c r="C251" s="20" t="s">
        <v>1068</v>
      </c>
      <c r="D251" s="18"/>
      <c r="E251" s="18"/>
      <c r="F251" s="18"/>
    </row>
    <row r="252" spans="1:6">
      <c r="A252" s="6">
        <v>60264</v>
      </c>
      <c r="B252" s="19"/>
      <c r="C252" s="20"/>
      <c r="D252" s="18"/>
      <c r="E252" s="18"/>
      <c r="F252" s="18"/>
    </row>
    <row r="253" spans="1:6">
      <c r="A253" s="6">
        <v>60265</v>
      </c>
      <c r="B253" s="19"/>
      <c r="C253" s="20"/>
      <c r="D253" s="18"/>
      <c r="E253" s="18"/>
      <c r="F253" s="18"/>
    </row>
    <row r="254" spans="1:6">
      <c r="A254" s="6">
        <v>60266</v>
      </c>
      <c r="B254" s="19" t="s">
        <v>1071</v>
      </c>
      <c r="C254" s="20"/>
      <c r="D254" s="18"/>
      <c r="E254" s="18"/>
      <c r="F254" s="18"/>
    </row>
    <row r="255" spans="1:6">
      <c r="A255" s="6">
        <v>60267</v>
      </c>
      <c r="B255" s="19"/>
      <c r="C255" s="20"/>
      <c r="D255" s="18"/>
      <c r="E255" s="18"/>
      <c r="F255" s="18"/>
    </row>
    <row r="256" spans="1:6">
      <c r="A256" s="6">
        <v>60268</v>
      </c>
      <c r="B256" s="19"/>
      <c r="C256" s="20"/>
      <c r="D256" s="18"/>
      <c r="E256" s="18"/>
      <c r="F256" s="18"/>
    </row>
    <row r="257" spans="1:6">
      <c r="A257" s="6">
        <v>60269</v>
      </c>
      <c r="B257" s="19"/>
      <c r="C257" s="20"/>
      <c r="D257" s="18"/>
      <c r="E257" s="18"/>
      <c r="F257" s="18"/>
    </row>
    <row r="258" spans="1:6">
      <c r="A258" s="6">
        <v>60270</v>
      </c>
      <c r="B258" s="19"/>
      <c r="C258" s="20"/>
      <c r="D258" s="18"/>
      <c r="E258" s="18"/>
      <c r="F258" s="18"/>
    </row>
    <row r="259" spans="1:6">
      <c r="A259" s="6">
        <v>60271</v>
      </c>
      <c r="B259" s="19"/>
      <c r="C259" s="20"/>
      <c r="D259" s="18"/>
      <c r="E259" s="18"/>
      <c r="F259" s="18"/>
    </row>
    <row r="260" spans="1:6">
      <c r="A260" s="6">
        <v>60273</v>
      </c>
      <c r="B260" s="19"/>
      <c r="C260" s="20"/>
      <c r="D260" s="18"/>
      <c r="E260" s="18"/>
      <c r="F260" s="18"/>
    </row>
    <row r="261" spans="1:6">
      <c r="A261" s="6">
        <v>60274</v>
      </c>
      <c r="B261" s="19"/>
      <c r="C261" s="20"/>
      <c r="D261" s="18"/>
      <c r="E261" s="18"/>
      <c r="F261" s="18"/>
    </row>
    <row r="262" spans="1:6">
      <c r="A262" s="6">
        <v>60275</v>
      </c>
      <c r="B262" s="19"/>
      <c r="C262" s="20"/>
      <c r="D262" s="18"/>
      <c r="E262" s="18"/>
      <c r="F262" s="18"/>
    </row>
    <row r="263" spans="1:6">
      <c r="A263" s="6">
        <v>60276</v>
      </c>
      <c r="B263" s="19" t="s">
        <v>1058</v>
      </c>
      <c r="C263" s="20" t="s">
        <v>1069</v>
      </c>
      <c r="D263" s="18"/>
      <c r="E263" s="18"/>
      <c r="F263" s="18"/>
    </row>
    <row r="264" spans="1:6">
      <c r="A264" s="6">
        <v>60277</v>
      </c>
      <c r="B264" s="19"/>
      <c r="C264" s="20"/>
      <c r="D264" s="18"/>
      <c r="E264" s="18"/>
      <c r="F264" s="18"/>
    </row>
    <row r="265" spans="1:6">
      <c r="A265" s="6">
        <v>60279</v>
      </c>
      <c r="B265" s="19"/>
      <c r="C265" s="20"/>
      <c r="D265" s="18"/>
      <c r="E265" s="18"/>
      <c r="F265" s="18"/>
    </row>
    <row r="266" spans="1:6">
      <c r="A266" s="6">
        <v>60280</v>
      </c>
      <c r="B266" s="19"/>
      <c r="C266" s="20"/>
      <c r="D266" s="18"/>
      <c r="E266" s="18"/>
      <c r="F266" s="18"/>
    </row>
    <row r="267" spans="1:6">
      <c r="A267" s="6">
        <v>60281</v>
      </c>
      <c r="B267" s="19"/>
      <c r="C267" s="20"/>
      <c r="D267" s="18"/>
      <c r="E267" s="18"/>
      <c r="F267" s="18"/>
    </row>
    <row r="268" spans="1:6">
      <c r="A268" s="6">
        <v>60282</v>
      </c>
      <c r="B268" s="19"/>
      <c r="C268" s="20"/>
      <c r="D268" s="18"/>
      <c r="E268" s="18"/>
      <c r="F268" s="18"/>
    </row>
    <row r="269" spans="1:6">
      <c r="A269" s="6">
        <v>60283</v>
      </c>
      <c r="B269" s="19"/>
      <c r="C269" s="20"/>
      <c r="D269" s="18"/>
      <c r="E269" s="18"/>
      <c r="F269" s="18"/>
    </row>
    <row r="270" spans="1:6">
      <c r="A270" s="6">
        <v>60284</v>
      </c>
      <c r="B270" s="19"/>
      <c r="C270" s="20"/>
      <c r="D270" s="18"/>
      <c r="E270" s="18"/>
      <c r="F270" s="18"/>
    </row>
    <row r="271" spans="1:6">
      <c r="A271" s="6">
        <v>60285</v>
      </c>
      <c r="B271" s="19"/>
      <c r="C271" s="20"/>
      <c r="D271" s="18"/>
      <c r="E271" s="18"/>
      <c r="F271" s="18"/>
    </row>
    <row r="272" spans="1:6">
      <c r="A272" s="6">
        <v>60286</v>
      </c>
      <c r="B272" s="19"/>
      <c r="C272" s="20"/>
      <c r="D272" s="18"/>
      <c r="E272" s="18"/>
      <c r="F272" s="18"/>
    </row>
    <row r="273" spans="1:6">
      <c r="A273" s="6">
        <v>60287</v>
      </c>
      <c r="B273" s="19"/>
      <c r="C273" s="20"/>
      <c r="D273" s="18"/>
      <c r="E273" s="18"/>
      <c r="F273" s="18"/>
    </row>
    <row r="274" spans="1:6">
      <c r="A274" s="6">
        <v>60288</v>
      </c>
      <c r="B274" s="19"/>
      <c r="C274" s="20"/>
      <c r="D274" s="18"/>
      <c r="E274" s="18"/>
      <c r="F274" s="18"/>
    </row>
    <row r="275" spans="1:6">
      <c r="A275" s="6">
        <v>60289</v>
      </c>
      <c r="B275" s="19"/>
      <c r="C275" s="20"/>
      <c r="D275" s="18"/>
      <c r="E275" s="18"/>
      <c r="F275" s="18"/>
    </row>
    <row r="276" spans="1:6">
      <c r="A276" s="6">
        <v>60290</v>
      </c>
      <c r="B276" s="19"/>
      <c r="C276" s="20"/>
      <c r="D276" s="18"/>
      <c r="E276" s="18"/>
      <c r="F276" s="18"/>
    </row>
    <row r="277" spans="1:6">
      <c r="A277" s="6">
        <v>60291</v>
      </c>
      <c r="B277" s="19"/>
      <c r="C277" s="20"/>
      <c r="D277" s="18"/>
      <c r="E277" s="18"/>
      <c r="F277" s="18"/>
    </row>
    <row r="278" spans="1:6">
      <c r="A278" s="6">
        <v>60292</v>
      </c>
      <c r="B278" s="19"/>
      <c r="C278" s="20"/>
      <c r="D278" s="18"/>
      <c r="E278" s="18"/>
      <c r="F278" s="18"/>
    </row>
    <row r="279" spans="1:6">
      <c r="A279" s="6">
        <v>60293</v>
      </c>
      <c r="B279" s="19"/>
      <c r="C279" s="20"/>
      <c r="D279" s="18"/>
      <c r="E279" s="18"/>
      <c r="F279" s="18"/>
    </row>
    <row r="280" spans="1:6">
      <c r="A280" s="6">
        <v>60294</v>
      </c>
      <c r="B280" s="19"/>
      <c r="C280" s="20"/>
      <c r="D280" s="18"/>
      <c r="E280" s="18"/>
      <c r="F280" s="18"/>
    </row>
    <row r="281" spans="1:6">
      <c r="A281" s="6">
        <v>60295</v>
      </c>
      <c r="B281" s="19"/>
      <c r="C281" s="20"/>
      <c r="D281" s="18"/>
      <c r="E281" s="18"/>
      <c r="F281" s="18"/>
    </row>
    <row r="282" spans="1:6">
      <c r="A282" s="6">
        <v>60296</v>
      </c>
      <c r="B282" s="19"/>
      <c r="C282" s="20"/>
      <c r="D282" s="18"/>
      <c r="E282" s="18"/>
      <c r="F282" s="18"/>
    </row>
    <row r="283" spans="1:6">
      <c r="A283" s="6">
        <v>60297</v>
      </c>
      <c r="B283" s="19"/>
      <c r="C283" s="20"/>
      <c r="D283" s="18"/>
      <c r="E283" s="18"/>
      <c r="F283" s="18"/>
    </row>
    <row r="284" spans="1:6">
      <c r="A284" s="6">
        <v>60298</v>
      </c>
      <c r="B284" s="19"/>
      <c r="C284" s="20"/>
      <c r="D284" s="18"/>
      <c r="E284" s="18"/>
      <c r="F284" s="18"/>
    </row>
    <row r="285" spans="1:6">
      <c r="A285" s="6">
        <v>60299</v>
      </c>
      <c r="B285" s="19"/>
      <c r="C285" s="20"/>
      <c r="D285" s="18"/>
      <c r="E285" s="18"/>
      <c r="F285" s="18"/>
    </row>
    <row r="286" spans="1:6">
      <c r="A286" s="6">
        <v>60300</v>
      </c>
      <c r="B286" s="19"/>
      <c r="C286" s="20"/>
      <c r="D286" s="18"/>
      <c r="E286" s="18"/>
      <c r="F286" s="18"/>
    </row>
    <row r="287" spans="1:6">
      <c r="A287" s="6">
        <v>60301</v>
      </c>
      <c r="B287" s="19" t="s">
        <v>1065</v>
      </c>
      <c r="C287" s="20"/>
      <c r="D287" s="18"/>
      <c r="E287" s="18"/>
      <c r="F287" s="18"/>
    </row>
    <row r="288" spans="1:6">
      <c r="A288" s="6">
        <v>60302</v>
      </c>
      <c r="B288" s="19" t="s">
        <v>1057</v>
      </c>
      <c r="C288" s="20"/>
      <c r="D288" s="18"/>
      <c r="E288" s="18"/>
      <c r="F288" s="18"/>
    </row>
    <row r="289" spans="1:6">
      <c r="A289" s="6">
        <v>60303</v>
      </c>
      <c r="B289" s="19"/>
      <c r="C289" s="20"/>
      <c r="D289" s="18"/>
      <c r="E289" s="18"/>
      <c r="F289" s="18"/>
    </row>
    <row r="290" spans="1:6">
      <c r="A290" s="6">
        <v>60304</v>
      </c>
      <c r="B290" s="19"/>
      <c r="C290" s="20"/>
      <c r="D290" s="18"/>
      <c r="E290" s="18"/>
      <c r="F290" s="18"/>
    </row>
    <row r="291" spans="1:6">
      <c r="A291" s="6">
        <v>60305</v>
      </c>
      <c r="B291" s="19"/>
      <c r="C291" s="20"/>
      <c r="D291" s="18"/>
      <c r="E291" s="18"/>
      <c r="F291" s="18"/>
    </row>
    <row r="292" spans="1:6">
      <c r="A292" s="6">
        <v>60306</v>
      </c>
      <c r="B292" s="19"/>
      <c r="C292" s="20"/>
      <c r="D292" s="18"/>
      <c r="E292" s="18"/>
      <c r="F292" s="18"/>
    </row>
    <row r="293" spans="1:6">
      <c r="A293" s="6">
        <v>60307</v>
      </c>
      <c r="B293" s="19"/>
      <c r="C293" s="20"/>
      <c r="D293" s="18"/>
      <c r="E293" s="18"/>
      <c r="F293" s="18"/>
    </row>
    <row r="294" spans="1:6">
      <c r="A294" s="6">
        <v>60308</v>
      </c>
      <c r="B294" s="19"/>
      <c r="C294" s="20"/>
      <c r="D294" s="18"/>
      <c r="E294" s="18"/>
      <c r="F294" s="18"/>
    </row>
    <row r="295" spans="1:6">
      <c r="A295" s="6">
        <v>60309</v>
      </c>
      <c r="B295" s="19"/>
      <c r="C295" s="20"/>
      <c r="D295" s="18"/>
      <c r="E295" s="18"/>
      <c r="F295" s="18"/>
    </row>
    <row r="296" spans="1:6">
      <c r="A296" s="6">
        <v>60310</v>
      </c>
      <c r="B296" s="19"/>
      <c r="C296" s="20"/>
      <c r="D296" s="18"/>
      <c r="E296" s="18"/>
      <c r="F296" s="18"/>
    </row>
    <row r="297" spans="1:6">
      <c r="A297" s="6">
        <v>60311</v>
      </c>
      <c r="B297" s="19"/>
      <c r="C297" s="20"/>
      <c r="D297" s="18"/>
      <c r="E297" s="18"/>
      <c r="F297" s="18"/>
    </row>
    <row r="298" spans="1:6">
      <c r="A298" s="6">
        <v>60312</v>
      </c>
      <c r="B298" s="19"/>
      <c r="C298" s="20"/>
      <c r="D298" s="18"/>
      <c r="E298" s="18"/>
      <c r="F298" s="18"/>
    </row>
    <row r="299" spans="1:6">
      <c r="A299" s="6">
        <v>60313</v>
      </c>
      <c r="B299" s="19" t="s">
        <v>1066</v>
      </c>
      <c r="C299" s="20"/>
      <c r="D299" s="18"/>
      <c r="E299" s="18"/>
      <c r="F299" s="18"/>
    </row>
    <row r="300" spans="1:6">
      <c r="A300" s="6">
        <v>60315</v>
      </c>
      <c r="B300" s="19"/>
      <c r="C300" s="20"/>
      <c r="D300" s="18"/>
      <c r="E300" s="18"/>
      <c r="F300" s="18"/>
    </row>
    <row r="301" spans="1:6">
      <c r="A301" s="6">
        <v>60316</v>
      </c>
      <c r="B301" s="19"/>
      <c r="C301" s="20"/>
      <c r="D301" s="18"/>
      <c r="E301" s="18"/>
      <c r="F301" s="18"/>
    </row>
    <row r="302" spans="1:6">
      <c r="A302" s="6">
        <v>60317</v>
      </c>
      <c r="B302" s="19"/>
      <c r="C302" s="20"/>
      <c r="D302" s="18"/>
      <c r="E302" s="18"/>
      <c r="F302" s="18"/>
    </row>
    <row r="303" spans="1:6">
      <c r="A303" s="6">
        <v>60318</v>
      </c>
      <c r="B303" s="19"/>
      <c r="C303" s="20"/>
      <c r="D303" s="18"/>
      <c r="E303" s="18"/>
      <c r="F303" s="18"/>
    </row>
    <row r="304" spans="1:6">
      <c r="A304" s="6">
        <v>60319</v>
      </c>
      <c r="B304" s="19"/>
      <c r="C304" s="20"/>
      <c r="D304" s="18"/>
      <c r="E304" s="18"/>
      <c r="F304" s="18"/>
    </row>
    <row r="305" spans="1:6">
      <c r="A305" s="6">
        <v>60320</v>
      </c>
      <c r="B305" s="19"/>
      <c r="C305" s="20"/>
      <c r="D305" s="18"/>
      <c r="E305" s="18"/>
      <c r="F305" s="18"/>
    </row>
    <row r="306" spans="1:6">
      <c r="A306" s="6">
        <v>60321</v>
      </c>
      <c r="B306" s="19"/>
      <c r="C306" s="20"/>
      <c r="D306" s="18"/>
      <c r="E306" s="18"/>
      <c r="F306" s="18"/>
    </row>
    <row r="307" spans="1:6">
      <c r="A307" s="6">
        <v>60322</v>
      </c>
      <c r="B307" s="19"/>
      <c r="C307" s="20"/>
      <c r="D307" s="18"/>
      <c r="E307" s="18"/>
      <c r="F307" s="18"/>
    </row>
    <row r="308" spans="1:6">
      <c r="A308" s="6">
        <v>60323</v>
      </c>
      <c r="B308" s="19"/>
      <c r="C308" s="20"/>
      <c r="D308" s="18"/>
      <c r="E308" s="18"/>
      <c r="F308" s="18"/>
    </row>
    <row r="309" spans="1:6">
      <c r="A309" s="6">
        <v>60324</v>
      </c>
      <c r="B309" s="19"/>
      <c r="C309" s="20"/>
      <c r="D309" s="18"/>
      <c r="E309" s="18"/>
      <c r="F309" s="18"/>
    </row>
    <row r="310" spans="1:6">
      <c r="A310" s="6">
        <v>60326</v>
      </c>
      <c r="B310" s="19"/>
      <c r="C310" s="20"/>
      <c r="D310" s="18"/>
      <c r="E310" s="18"/>
      <c r="F310" s="18"/>
    </row>
    <row r="311" spans="1:6">
      <c r="A311" s="6">
        <v>60327</v>
      </c>
      <c r="B311" s="19"/>
      <c r="C311" s="20"/>
      <c r="D311" s="18"/>
      <c r="E311" s="18"/>
      <c r="F311" s="18"/>
    </row>
    <row r="312" spans="1:6">
      <c r="A312" s="6">
        <v>60328</v>
      </c>
      <c r="B312" s="19"/>
      <c r="C312" s="20"/>
      <c r="D312" s="18"/>
      <c r="E312" s="18"/>
      <c r="F312" s="18"/>
    </row>
    <row r="313" spans="1:6">
      <c r="A313" s="6">
        <v>60330</v>
      </c>
      <c r="B313" s="19" t="s">
        <v>1065</v>
      </c>
      <c r="C313" s="20"/>
      <c r="D313" s="18"/>
      <c r="E313" s="18"/>
      <c r="F313" s="18"/>
    </row>
    <row r="314" spans="1:6">
      <c r="A314" s="6">
        <v>60331</v>
      </c>
      <c r="B314" s="19" t="s">
        <v>1057</v>
      </c>
      <c r="C314" s="20"/>
      <c r="D314" s="18"/>
      <c r="E314" s="18"/>
      <c r="F314" s="18"/>
    </row>
    <row r="315" spans="1:6">
      <c r="A315" s="6">
        <v>60332</v>
      </c>
      <c r="B315" s="19"/>
      <c r="C315" s="20"/>
      <c r="D315" s="18"/>
      <c r="E315" s="18"/>
      <c r="F315" s="18"/>
    </row>
    <row r="316" spans="1:6">
      <c r="A316" s="6">
        <v>60333</v>
      </c>
      <c r="B316" s="19"/>
      <c r="C316" s="20"/>
      <c r="D316" s="18"/>
      <c r="E316" s="18"/>
      <c r="F316" s="18"/>
    </row>
    <row r="317" spans="1:6">
      <c r="A317" s="6">
        <v>60334</v>
      </c>
      <c r="B317" s="19"/>
      <c r="C317" s="20"/>
      <c r="D317" s="18"/>
      <c r="E317" s="18"/>
      <c r="F317" s="18"/>
    </row>
    <row r="318" spans="1:6">
      <c r="A318" s="6">
        <v>60335</v>
      </c>
      <c r="B318" s="19"/>
      <c r="C318" s="20"/>
      <c r="D318" s="18"/>
      <c r="E318" s="18"/>
      <c r="F318" s="18"/>
    </row>
    <row r="319" spans="1:6">
      <c r="A319" s="6">
        <v>60337</v>
      </c>
      <c r="B319" s="19"/>
      <c r="C319" s="20"/>
      <c r="D319" s="18"/>
      <c r="E319" s="18"/>
      <c r="F319" s="18"/>
    </row>
    <row r="320" spans="1:6">
      <c r="A320" s="6">
        <v>60338</v>
      </c>
      <c r="B320" s="19"/>
      <c r="C320" s="20"/>
      <c r="D320" s="18"/>
      <c r="E320" s="18"/>
      <c r="F320" s="18"/>
    </row>
    <row r="321" spans="1:6">
      <c r="A321" s="6">
        <v>60339</v>
      </c>
      <c r="B321" s="19" t="s">
        <v>1062</v>
      </c>
      <c r="C321" s="20"/>
      <c r="D321" s="18"/>
      <c r="E321" s="18"/>
      <c r="F321" s="18"/>
    </row>
    <row r="322" spans="1:6">
      <c r="A322" s="6">
        <v>60340</v>
      </c>
      <c r="B322" s="19"/>
      <c r="C322" s="20"/>
      <c r="D322" s="18"/>
      <c r="E322" s="18"/>
      <c r="F322" s="18"/>
    </row>
    <row r="323" spans="1:6">
      <c r="A323" s="6">
        <v>60342</v>
      </c>
      <c r="B323" s="19"/>
      <c r="C323" s="20"/>
      <c r="D323" s="18"/>
      <c r="E323" s="18"/>
      <c r="F323" s="18"/>
    </row>
    <row r="324" spans="1:6">
      <c r="A324" s="6">
        <v>60343</v>
      </c>
      <c r="B324" s="19"/>
      <c r="C324" s="20"/>
      <c r="D324" s="18"/>
      <c r="E324" s="18"/>
      <c r="F324" s="18"/>
    </row>
    <row r="325" spans="1:6">
      <c r="A325" s="6">
        <v>60344</v>
      </c>
      <c r="B325" s="19"/>
      <c r="C325" s="20"/>
      <c r="D325" s="18"/>
      <c r="E325" s="18"/>
      <c r="F325" s="18"/>
    </row>
    <row r="326" spans="1:6">
      <c r="A326" s="6">
        <v>60345</v>
      </c>
      <c r="B326" s="19"/>
      <c r="C326" s="20"/>
      <c r="D326" s="18"/>
      <c r="E326" s="18"/>
      <c r="F326" s="18"/>
    </row>
    <row r="327" spans="1:6">
      <c r="A327" s="6">
        <v>60346</v>
      </c>
      <c r="B327" s="19"/>
      <c r="C327" s="20"/>
      <c r="D327" s="18"/>
      <c r="E327" s="18"/>
      <c r="F327" s="18"/>
    </row>
    <row r="328" spans="1:6">
      <c r="A328" s="6">
        <v>60347</v>
      </c>
      <c r="B328" s="19"/>
      <c r="C328" s="20"/>
      <c r="D328" s="18"/>
      <c r="E328" s="18"/>
      <c r="F328" s="18"/>
    </row>
    <row r="329" spans="1:6">
      <c r="A329" s="6">
        <v>60348</v>
      </c>
      <c r="B329" s="19"/>
      <c r="C329" s="20"/>
      <c r="D329" s="18"/>
      <c r="E329" s="18"/>
      <c r="F329" s="18"/>
    </row>
    <row r="330" spans="1:6">
      <c r="A330" s="6">
        <v>60349</v>
      </c>
      <c r="B330" s="19"/>
      <c r="C330" s="20"/>
      <c r="D330" s="18"/>
      <c r="E330" s="18"/>
      <c r="F330" s="18"/>
    </row>
    <row r="331" spans="1:6">
      <c r="A331" s="6">
        <v>60350</v>
      </c>
      <c r="B331" s="19"/>
      <c r="C331" s="20"/>
      <c r="D331" s="18"/>
      <c r="E331" s="18"/>
      <c r="F331" s="18"/>
    </row>
    <row r="332" spans="1:6">
      <c r="A332" s="6">
        <v>60351</v>
      </c>
      <c r="B332" s="19"/>
      <c r="C332" s="20"/>
      <c r="D332" s="18"/>
      <c r="E332" s="18"/>
      <c r="F332" s="18"/>
    </row>
    <row r="333" spans="1:6">
      <c r="A333" s="6">
        <v>60352</v>
      </c>
      <c r="B333" s="19"/>
      <c r="C333" s="20"/>
      <c r="D333" s="18"/>
      <c r="E333" s="18"/>
      <c r="F333" s="18"/>
    </row>
    <row r="334" spans="1:6">
      <c r="A334" s="6">
        <v>60353</v>
      </c>
      <c r="B334" s="19"/>
      <c r="C334" s="20"/>
      <c r="D334" s="18"/>
      <c r="E334" s="18"/>
      <c r="F334" s="18"/>
    </row>
    <row r="335" spans="1:6">
      <c r="A335" s="6">
        <v>60354</v>
      </c>
      <c r="B335" s="19"/>
      <c r="C335" s="20"/>
      <c r="D335" s="18"/>
      <c r="E335" s="18"/>
      <c r="F335" s="18"/>
    </row>
    <row r="336" spans="1:6">
      <c r="A336" s="6">
        <v>60355</v>
      </c>
      <c r="B336" s="19"/>
      <c r="C336" s="20"/>
      <c r="D336" s="18"/>
      <c r="E336" s="18"/>
      <c r="F336" s="18"/>
    </row>
    <row r="337" spans="1:6">
      <c r="A337" s="6">
        <v>60356</v>
      </c>
      <c r="B337" s="19"/>
      <c r="C337" s="20"/>
      <c r="D337" s="18"/>
      <c r="E337" s="18"/>
      <c r="F337" s="18"/>
    </row>
    <row r="338" spans="1:6">
      <c r="A338" s="6">
        <v>60357</v>
      </c>
      <c r="B338" s="19"/>
      <c r="C338" s="20"/>
      <c r="D338" s="18"/>
      <c r="E338" s="18"/>
      <c r="F338" s="18"/>
    </row>
    <row r="339" spans="1:6">
      <c r="A339" s="6">
        <v>60358</v>
      </c>
      <c r="B339" s="19"/>
      <c r="C339" s="20"/>
      <c r="D339" s="18"/>
      <c r="E339" s="18"/>
      <c r="F339" s="18"/>
    </row>
    <row r="340" spans="1:6">
      <c r="A340" s="6">
        <v>60359</v>
      </c>
      <c r="B340" s="19"/>
      <c r="C340" s="20"/>
      <c r="D340" s="18"/>
      <c r="E340" s="18"/>
      <c r="F340" s="18"/>
    </row>
    <row r="341" spans="1:6">
      <c r="A341" s="6">
        <v>60360</v>
      </c>
      <c r="B341" s="19"/>
      <c r="C341" s="20"/>
      <c r="D341" s="18"/>
      <c r="E341" s="18"/>
      <c r="F341" s="18"/>
    </row>
    <row r="342" spans="1:6">
      <c r="A342" s="6">
        <v>60361</v>
      </c>
      <c r="B342" s="19"/>
      <c r="C342" s="20"/>
      <c r="D342" s="18"/>
      <c r="E342" s="18"/>
      <c r="F342" s="18"/>
    </row>
    <row r="343" spans="1:6">
      <c r="A343" s="6">
        <v>60362</v>
      </c>
      <c r="B343" s="19"/>
      <c r="C343" s="20"/>
      <c r="D343" s="18"/>
      <c r="E343" s="18"/>
      <c r="F343" s="18"/>
    </row>
    <row r="344" spans="1:6">
      <c r="A344" s="6">
        <v>60363</v>
      </c>
      <c r="B344" s="19"/>
      <c r="C344" s="20"/>
      <c r="D344" s="18"/>
      <c r="E344" s="18"/>
      <c r="F344" s="18"/>
    </row>
    <row r="345" spans="1:6">
      <c r="A345" s="6">
        <v>60364</v>
      </c>
      <c r="B345" s="19"/>
      <c r="C345" s="20"/>
      <c r="D345" s="18"/>
      <c r="E345" s="18"/>
      <c r="F345" s="18"/>
    </row>
    <row r="346" spans="1:6">
      <c r="A346" s="6">
        <v>60365</v>
      </c>
      <c r="B346" s="19"/>
      <c r="C346" s="20"/>
      <c r="D346" s="18"/>
      <c r="E346" s="18"/>
      <c r="F346" s="18"/>
    </row>
    <row r="347" spans="1:6">
      <c r="A347" s="6">
        <v>60366</v>
      </c>
      <c r="B347" s="19"/>
      <c r="C347" s="20"/>
      <c r="D347" s="18"/>
      <c r="E347" s="18"/>
      <c r="F347" s="18"/>
    </row>
    <row r="348" spans="1:6">
      <c r="A348" s="6">
        <v>60367</v>
      </c>
      <c r="B348" s="19" t="s">
        <v>1063</v>
      </c>
      <c r="C348" s="20"/>
      <c r="D348" s="18"/>
      <c r="E348" s="18"/>
      <c r="F348" s="18"/>
    </row>
    <row r="349" spans="1:6">
      <c r="A349" s="6">
        <v>60368</v>
      </c>
      <c r="B349" s="19"/>
      <c r="C349" s="20"/>
      <c r="D349" s="18"/>
      <c r="E349" s="18"/>
      <c r="F349" s="18"/>
    </row>
    <row r="350" spans="1:6">
      <c r="A350" s="6">
        <v>60371</v>
      </c>
      <c r="B350" s="19"/>
      <c r="C350" s="20"/>
      <c r="D350" s="18"/>
      <c r="E350" s="18"/>
      <c r="F350" s="18"/>
    </row>
    <row r="351" spans="1:6">
      <c r="A351" s="6">
        <v>60374</v>
      </c>
      <c r="B351" s="19"/>
      <c r="C351" s="20"/>
      <c r="D351" s="18"/>
      <c r="E351" s="18"/>
      <c r="F351" s="18"/>
    </row>
    <row r="352" spans="1:6">
      <c r="A352" s="6">
        <v>60375</v>
      </c>
      <c r="B352" s="19" t="s">
        <v>1079</v>
      </c>
      <c r="C352" s="20"/>
      <c r="D352" s="18"/>
      <c r="E352" s="18"/>
      <c r="F352" s="18"/>
    </row>
    <row r="353" spans="1:6">
      <c r="A353" s="6">
        <v>60376</v>
      </c>
      <c r="B353" s="19"/>
      <c r="C353" s="20"/>
      <c r="D353" s="18"/>
      <c r="E353" s="18"/>
      <c r="F353" s="18"/>
    </row>
    <row r="354" spans="1:6">
      <c r="A354" s="6">
        <v>60377</v>
      </c>
      <c r="B354" s="19"/>
      <c r="C354" s="20"/>
      <c r="D354" s="18"/>
      <c r="E354" s="18"/>
      <c r="F354" s="18"/>
    </row>
    <row r="355" spans="1:6">
      <c r="A355" s="6">
        <v>60378</v>
      </c>
      <c r="B355" s="19"/>
      <c r="C355" s="20"/>
      <c r="D355" s="18"/>
      <c r="E355" s="18"/>
      <c r="F355" s="18"/>
    </row>
    <row r="356" spans="1:6">
      <c r="A356" s="6">
        <v>60379</v>
      </c>
      <c r="B356" s="19"/>
      <c r="C356" s="20"/>
      <c r="D356" s="18"/>
      <c r="E356" s="18"/>
      <c r="F356" s="18"/>
    </row>
    <row r="357" spans="1:6">
      <c r="A357" s="6">
        <v>60380</v>
      </c>
      <c r="B357" s="19"/>
      <c r="C357" s="20"/>
      <c r="D357" s="18"/>
      <c r="E357" s="18"/>
      <c r="F357" s="18"/>
    </row>
    <row r="358" spans="1:6">
      <c r="A358" s="6">
        <v>60381</v>
      </c>
      <c r="B358" s="19" t="s">
        <v>1074</v>
      </c>
      <c r="C358" s="20"/>
      <c r="D358" s="18"/>
      <c r="E358" s="18"/>
      <c r="F358" s="18"/>
    </row>
    <row r="359" spans="1:6">
      <c r="A359" s="6">
        <v>60382</v>
      </c>
      <c r="B359" s="19"/>
      <c r="C359" s="20"/>
      <c r="D359" s="18"/>
      <c r="E359" s="18"/>
      <c r="F359" s="18"/>
    </row>
    <row r="360" spans="1:6">
      <c r="A360" s="6">
        <v>60383</v>
      </c>
      <c r="B360" s="19"/>
      <c r="C360" s="20"/>
      <c r="D360" s="18"/>
      <c r="E360" s="18"/>
      <c r="F360" s="18"/>
    </row>
    <row r="361" spans="1:6">
      <c r="A361" s="6">
        <v>60384</v>
      </c>
      <c r="B361" s="19"/>
      <c r="C361" s="20"/>
      <c r="D361" s="18"/>
      <c r="E361" s="18"/>
      <c r="F361" s="18"/>
    </row>
    <row r="362" spans="1:6">
      <c r="A362" s="6">
        <v>60385</v>
      </c>
      <c r="B362" s="19"/>
      <c r="C362" s="20"/>
      <c r="D362" s="18"/>
      <c r="E362" s="18"/>
      <c r="F362" s="18"/>
    </row>
    <row r="363" spans="1:6">
      <c r="A363" s="6">
        <v>60386</v>
      </c>
      <c r="B363" s="19"/>
      <c r="C363" s="20"/>
      <c r="D363" s="18"/>
      <c r="E363" s="18"/>
      <c r="F363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E50A-3D4E-4462-ADF0-5F80D6A65E44}">
  <sheetPr>
    <tabColor rgb="FFFFFF00"/>
  </sheetPr>
  <dimension ref="A1:L363"/>
  <sheetViews>
    <sheetView workbookViewId="0">
      <pane ySplit="1" topLeftCell="A2" activePane="bottomLeft" state="frozen"/>
      <selection pane="bottomLeft"/>
    </sheetView>
  </sheetViews>
  <sheetFormatPr defaultRowHeight="15"/>
  <cols>
    <col min="12" max="12" width="20.5703125" customWidth="1"/>
  </cols>
  <sheetData>
    <row r="1" spans="1:12" ht="76.5">
      <c r="A1" s="1" t="s">
        <v>0</v>
      </c>
      <c r="B1" s="1" t="s">
        <v>1080</v>
      </c>
      <c r="C1" s="1" t="s">
        <v>1081</v>
      </c>
      <c r="D1" s="2" t="s">
        <v>1082</v>
      </c>
      <c r="E1" s="3" t="s">
        <v>1083</v>
      </c>
      <c r="F1" s="3" t="s">
        <v>1084</v>
      </c>
      <c r="G1" s="3" t="s">
        <v>1085</v>
      </c>
      <c r="H1" s="4" t="s">
        <v>1086</v>
      </c>
      <c r="I1" s="4" t="s">
        <v>1087</v>
      </c>
      <c r="J1" s="4" t="s">
        <v>1088</v>
      </c>
      <c r="K1" s="4" t="s">
        <v>1089</v>
      </c>
      <c r="L1" s="5" t="s">
        <v>1090</v>
      </c>
    </row>
    <row r="2" spans="1:12">
      <c r="A2" s="6">
        <v>60000</v>
      </c>
      <c r="B2" s="7"/>
      <c r="C2" s="7"/>
      <c r="D2" s="7">
        <v>2026</v>
      </c>
      <c r="E2" s="7"/>
      <c r="F2" s="7"/>
      <c r="G2" s="7"/>
      <c r="H2" s="7">
        <v>1</v>
      </c>
      <c r="I2" s="7"/>
      <c r="J2" s="7"/>
      <c r="K2" s="7"/>
      <c r="L2" s="8"/>
    </row>
    <row r="3" spans="1:12">
      <c r="A3" s="6">
        <v>60001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>
      <c r="A4" s="6">
        <v>60002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6">
        <v>60003</v>
      </c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 spans="1:12">
      <c r="A6" s="6">
        <v>60004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2">
      <c r="A7" s="6">
        <v>60005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</row>
    <row r="8" spans="1:12">
      <c r="A8" s="6">
        <v>60006</v>
      </c>
      <c r="B8" s="7"/>
      <c r="C8" s="7"/>
      <c r="D8" s="7"/>
      <c r="E8" s="7"/>
      <c r="F8" s="7"/>
      <c r="G8" s="7"/>
      <c r="H8" s="7"/>
      <c r="I8" s="7"/>
      <c r="J8" s="7"/>
      <c r="K8" s="7"/>
      <c r="L8" s="8"/>
    </row>
    <row r="9" spans="1:12">
      <c r="A9" s="6">
        <v>60007</v>
      </c>
      <c r="B9" s="7"/>
      <c r="C9" s="7"/>
      <c r="D9" s="7"/>
      <c r="E9" s="7"/>
      <c r="F9" s="7"/>
      <c r="G9" s="7"/>
      <c r="H9" s="7"/>
      <c r="I9" s="7"/>
      <c r="J9" s="7"/>
      <c r="K9" s="7"/>
      <c r="L9" s="8"/>
    </row>
    <row r="10" spans="1:12">
      <c r="A10" s="6">
        <v>60008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1:12">
      <c r="A11" s="6">
        <v>60009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1:12">
      <c r="A12" s="6">
        <v>60010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</row>
    <row r="13" spans="1:12">
      <c r="A13" s="6">
        <v>60011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1:12">
      <c r="A14" s="6">
        <v>60012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>
      <c r="A15" s="6">
        <v>60013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</row>
    <row r="16" spans="1:12">
      <c r="A16" s="6">
        <v>60014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</row>
    <row r="17" spans="1:12">
      <c r="A17" s="6">
        <v>60015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1:12">
      <c r="A18" s="6">
        <v>60016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1:12">
      <c r="A19" s="6">
        <v>60017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</row>
    <row r="20" spans="1:12">
      <c r="A20" s="6">
        <v>60018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</row>
    <row r="21" spans="1:12">
      <c r="A21" s="6">
        <v>60019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</row>
    <row r="22" spans="1:12">
      <c r="A22" s="6">
        <v>60020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</row>
    <row r="23" spans="1:12">
      <c r="A23" s="6">
        <v>60021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>
      <c r="A24" s="6">
        <v>60022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</row>
    <row r="25" spans="1:12">
      <c r="A25" s="6">
        <v>60023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8"/>
    </row>
    <row r="26" spans="1:12">
      <c r="A26" s="6">
        <v>60024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</row>
    <row r="27" spans="1:12">
      <c r="A27" s="6">
        <v>60025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</row>
    <row r="28" spans="1:12">
      <c r="A28" s="6">
        <v>60026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</row>
    <row r="29" spans="1:12">
      <c r="A29" s="6">
        <v>60027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</row>
    <row r="30" spans="1:12">
      <c r="A30" s="6">
        <v>60028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</row>
    <row r="31" spans="1:12">
      <c r="A31" s="6">
        <v>60029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</row>
    <row r="32" spans="1:12">
      <c r="A32" s="6">
        <v>60030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</row>
    <row r="33" spans="1:12">
      <c r="A33" s="6">
        <v>60031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8"/>
    </row>
    <row r="34" spans="1:12">
      <c r="A34" s="6">
        <v>60032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</row>
    <row r="35" spans="1:12">
      <c r="A35" s="6">
        <v>60033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8"/>
    </row>
    <row r="36" spans="1:12">
      <c r="A36" s="6">
        <v>60034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</row>
    <row r="37" spans="1:12">
      <c r="A37" s="6">
        <v>60035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8"/>
    </row>
    <row r="38" spans="1:12">
      <c r="A38" s="6">
        <v>60036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</row>
    <row r="39" spans="1:12">
      <c r="A39" s="6">
        <v>60038</v>
      </c>
      <c r="B39" s="7"/>
      <c r="C39" s="7"/>
      <c r="D39" s="7">
        <v>2029</v>
      </c>
      <c r="E39" s="7">
        <v>2036</v>
      </c>
      <c r="F39" s="7">
        <v>2043</v>
      </c>
      <c r="G39" s="7"/>
      <c r="H39" s="7">
        <v>1</v>
      </c>
      <c r="I39" s="7">
        <v>2</v>
      </c>
      <c r="J39" s="7">
        <v>3</v>
      </c>
      <c r="K39" s="7"/>
      <c r="L39" s="8">
        <v>2043</v>
      </c>
    </row>
    <row r="40" spans="1:12">
      <c r="A40" s="6">
        <v>60039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</row>
    <row r="41" spans="1:12">
      <c r="A41" s="6">
        <v>60040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8"/>
    </row>
    <row r="42" spans="1:12">
      <c r="A42" s="6">
        <v>60041</v>
      </c>
      <c r="B42" s="7"/>
      <c r="C42" s="7"/>
      <c r="D42" s="7">
        <v>2026</v>
      </c>
      <c r="E42" s="7"/>
      <c r="F42" s="7"/>
      <c r="G42" s="7"/>
      <c r="H42" s="7">
        <v>1</v>
      </c>
      <c r="I42" s="7"/>
      <c r="J42" s="7"/>
      <c r="K42" s="7"/>
      <c r="L42" s="8"/>
    </row>
    <row r="43" spans="1:12">
      <c r="A43" s="6">
        <v>60042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8"/>
    </row>
    <row r="44" spans="1:12">
      <c r="A44" s="6">
        <v>60043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</row>
    <row r="45" spans="1:12">
      <c r="A45" s="6">
        <v>60044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8"/>
    </row>
    <row r="46" spans="1:12">
      <c r="A46" s="6">
        <v>60045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</row>
    <row r="47" spans="1:12">
      <c r="A47" s="6">
        <v>60046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8"/>
    </row>
    <row r="48" spans="1:12">
      <c r="A48" s="6">
        <v>60047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8"/>
    </row>
    <row r="49" spans="1:12">
      <c r="A49" s="6">
        <v>60048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</row>
    <row r="50" spans="1:12">
      <c r="A50" s="6">
        <v>60049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8"/>
    </row>
    <row r="51" spans="1:12">
      <c r="A51" s="6">
        <v>60050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8"/>
    </row>
    <row r="52" spans="1:12">
      <c r="A52" s="6">
        <v>60051</v>
      </c>
      <c r="B52" s="7"/>
      <c r="C52" s="7"/>
      <c r="D52" s="7">
        <v>2026</v>
      </c>
      <c r="E52" s="7"/>
      <c r="F52" s="7"/>
      <c r="G52" s="7"/>
      <c r="H52" s="7">
        <v>1</v>
      </c>
      <c r="I52" s="7"/>
      <c r="J52" s="7"/>
      <c r="K52" s="7"/>
      <c r="L52" s="8"/>
    </row>
    <row r="53" spans="1:12">
      <c r="A53" s="6">
        <v>60052</v>
      </c>
      <c r="B53" s="7"/>
      <c r="C53" s="7"/>
      <c r="D53" s="7">
        <v>2026</v>
      </c>
      <c r="E53" s="7">
        <v>2032</v>
      </c>
      <c r="F53" s="7">
        <v>2039</v>
      </c>
      <c r="G53" s="7"/>
      <c r="H53" s="7">
        <v>1</v>
      </c>
      <c r="I53" s="7">
        <v>2</v>
      </c>
      <c r="J53" s="7">
        <v>3</v>
      </c>
      <c r="K53" s="7"/>
      <c r="L53" s="8">
        <v>2039</v>
      </c>
    </row>
    <row r="54" spans="1:12">
      <c r="A54" s="6">
        <v>60053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8"/>
    </row>
    <row r="55" spans="1:12">
      <c r="A55" s="6">
        <v>60054</v>
      </c>
      <c r="B55" s="7"/>
      <c r="C55" s="7"/>
      <c r="D55" s="7">
        <v>2027</v>
      </c>
      <c r="E55" s="7">
        <v>2033</v>
      </c>
      <c r="F55" s="7">
        <v>2040</v>
      </c>
      <c r="G55" s="7"/>
      <c r="H55" s="7">
        <v>1</v>
      </c>
      <c r="I55" s="7">
        <v>2</v>
      </c>
      <c r="J55" s="7">
        <v>3</v>
      </c>
      <c r="K55" s="7"/>
      <c r="L55" s="8">
        <v>2040</v>
      </c>
    </row>
    <row r="56" spans="1:12">
      <c r="A56" s="6">
        <v>60056</v>
      </c>
      <c r="B56" s="7"/>
      <c r="C56" s="7"/>
      <c r="D56" s="7">
        <v>2027</v>
      </c>
      <c r="E56" s="7">
        <v>2032</v>
      </c>
      <c r="F56" s="7">
        <v>2039</v>
      </c>
      <c r="G56" s="7"/>
      <c r="H56" s="7">
        <v>1</v>
      </c>
      <c r="I56" s="7">
        <v>2</v>
      </c>
      <c r="J56" s="7">
        <v>3</v>
      </c>
      <c r="K56" s="7"/>
      <c r="L56" s="8">
        <v>2039</v>
      </c>
    </row>
    <row r="57" spans="1:12">
      <c r="A57" s="6">
        <v>60057</v>
      </c>
      <c r="B57" s="7"/>
      <c r="C57" s="7"/>
      <c r="D57" s="7">
        <v>2026</v>
      </c>
      <c r="E57" s="7">
        <v>2033</v>
      </c>
      <c r="F57" s="7">
        <v>2040</v>
      </c>
      <c r="G57" s="7"/>
      <c r="H57" s="7">
        <v>1</v>
      </c>
      <c r="I57" s="7">
        <v>2</v>
      </c>
      <c r="J57" s="7">
        <v>3</v>
      </c>
      <c r="K57" s="7"/>
      <c r="L57" s="8">
        <v>2040</v>
      </c>
    </row>
    <row r="58" spans="1:12">
      <c r="A58" s="6">
        <v>60058</v>
      </c>
      <c r="B58" s="7"/>
      <c r="C58" s="7"/>
      <c r="D58" s="7">
        <v>2026</v>
      </c>
      <c r="E58" s="7">
        <v>2032</v>
      </c>
      <c r="F58" s="7">
        <v>2039</v>
      </c>
      <c r="G58" s="7"/>
      <c r="H58" s="7">
        <v>1</v>
      </c>
      <c r="I58" s="7">
        <v>2</v>
      </c>
      <c r="J58" s="7">
        <v>3</v>
      </c>
      <c r="K58" s="7"/>
      <c r="L58" s="8">
        <v>2039</v>
      </c>
    </row>
    <row r="59" spans="1:12">
      <c r="A59" s="6">
        <v>60059</v>
      </c>
      <c r="B59" s="7">
        <v>2020</v>
      </c>
      <c r="C59" s="7">
        <v>2</v>
      </c>
      <c r="D59" s="7">
        <v>2027</v>
      </c>
      <c r="E59" s="7">
        <v>2034</v>
      </c>
      <c r="F59" s="7">
        <v>2041</v>
      </c>
      <c r="G59" s="7"/>
      <c r="H59" s="7">
        <v>3</v>
      </c>
      <c r="I59" s="7">
        <v>1</v>
      </c>
      <c r="J59" s="7">
        <v>2</v>
      </c>
      <c r="K59" s="7"/>
      <c r="L59" s="8">
        <v>2027</v>
      </c>
    </row>
    <row r="60" spans="1:12">
      <c r="A60" s="6">
        <v>60060</v>
      </c>
      <c r="B60" s="7">
        <v>2019</v>
      </c>
      <c r="C60" s="7">
        <v>2</v>
      </c>
      <c r="D60" s="7">
        <v>2027</v>
      </c>
      <c r="E60" s="7">
        <v>2034</v>
      </c>
      <c r="F60" s="7">
        <v>2041</v>
      </c>
      <c r="G60" s="7"/>
      <c r="H60" s="7">
        <v>3</v>
      </c>
      <c r="I60" s="7">
        <v>1</v>
      </c>
      <c r="J60" s="7">
        <v>2</v>
      </c>
      <c r="K60" s="7"/>
      <c r="L60" s="8">
        <v>2027</v>
      </c>
    </row>
    <row r="61" spans="1:12">
      <c r="A61" s="6">
        <v>60061</v>
      </c>
      <c r="B61" s="7">
        <v>2020</v>
      </c>
      <c r="C61" s="7">
        <v>1</v>
      </c>
      <c r="D61" s="7">
        <v>2027</v>
      </c>
      <c r="E61" s="7">
        <v>2033</v>
      </c>
      <c r="F61" s="7">
        <v>2040</v>
      </c>
      <c r="G61" s="7"/>
      <c r="H61" s="7">
        <v>2</v>
      </c>
      <c r="I61" s="7">
        <v>3</v>
      </c>
      <c r="J61" s="7">
        <v>1</v>
      </c>
      <c r="K61" s="7"/>
      <c r="L61" s="8">
        <v>2033</v>
      </c>
    </row>
    <row r="62" spans="1:12">
      <c r="A62" s="6">
        <v>60062</v>
      </c>
      <c r="B62" s="7"/>
      <c r="C62" s="7"/>
      <c r="D62" s="7">
        <v>2026</v>
      </c>
      <c r="E62" s="7">
        <v>2032</v>
      </c>
      <c r="F62" s="7">
        <v>2039</v>
      </c>
      <c r="G62" s="7"/>
      <c r="H62" s="7">
        <v>1</v>
      </c>
      <c r="I62" s="7">
        <v>2</v>
      </c>
      <c r="J62" s="7">
        <v>3</v>
      </c>
      <c r="K62" s="7"/>
      <c r="L62" s="8">
        <v>2039</v>
      </c>
    </row>
    <row r="63" spans="1:12">
      <c r="A63" s="6">
        <v>60063</v>
      </c>
      <c r="B63" s="7">
        <v>2025</v>
      </c>
      <c r="C63" s="7">
        <v>2</v>
      </c>
      <c r="D63" s="7">
        <v>2025</v>
      </c>
      <c r="E63" s="7">
        <v>2030</v>
      </c>
      <c r="F63" s="7">
        <v>2037</v>
      </c>
      <c r="G63" s="7">
        <v>2044</v>
      </c>
      <c r="H63" s="7">
        <v>2</v>
      </c>
      <c r="I63" s="7">
        <v>3</v>
      </c>
      <c r="J63" s="7">
        <v>1</v>
      </c>
      <c r="K63" s="7">
        <v>2</v>
      </c>
      <c r="L63" s="8">
        <v>2030</v>
      </c>
    </row>
    <row r="64" spans="1:12">
      <c r="A64" s="6">
        <v>60064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</row>
    <row r="65" spans="1:12">
      <c r="A65" s="6">
        <v>60065</v>
      </c>
      <c r="B65" s="7">
        <v>2020</v>
      </c>
      <c r="C65" s="7">
        <v>2</v>
      </c>
      <c r="D65" s="7">
        <v>2026</v>
      </c>
      <c r="E65" s="7">
        <v>2033</v>
      </c>
      <c r="F65" s="7">
        <v>2040</v>
      </c>
      <c r="G65" s="7"/>
      <c r="H65" s="7">
        <v>3</v>
      </c>
      <c r="I65" s="7">
        <v>1</v>
      </c>
      <c r="J65" s="7">
        <v>2</v>
      </c>
      <c r="K65" s="7"/>
      <c r="L65" s="8">
        <v>2026</v>
      </c>
    </row>
    <row r="66" spans="1:12">
      <c r="A66" s="6">
        <v>60066</v>
      </c>
      <c r="B66" s="7">
        <v>2018</v>
      </c>
      <c r="C66" s="7">
        <v>2</v>
      </c>
      <c r="D66" s="7">
        <v>2028</v>
      </c>
      <c r="E66" s="7">
        <v>2035</v>
      </c>
      <c r="F66" s="7">
        <v>2042</v>
      </c>
      <c r="G66" s="7"/>
      <c r="H66" s="7">
        <v>3</v>
      </c>
      <c r="I66" s="7">
        <v>1</v>
      </c>
      <c r="J66" s="7">
        <v>2</v>
      </c>
      <c r="K66" s="7"/>
      <c r="L66" s="8">
        <v>2028</v>
      </c>
    </row>
    <row r="67" spans="1:12">
      <c r="A67" s="6">
        <v>60067</v>
      </c>
      <c r="B67" s="7">
        <v>2023</v>
      </c>
      <c r="C67" s="7">
        <v>1</v>
      </c>
      <c r="D67" s="7">
        <v>2030</v>
      </c>
      <c r="E67" s="7">
        <v>2037</v>
      </c>
      <c r="F67" s="7">
        <v>2044</v>
      </c>
      <c r="G67" s="7"/>
      <c r="H67" s="7">
        <v>2</v>
      </c>
      <c r="I67" s="7">
        <v>3</v>
      </c>
      <c r="J67" s="7">
        <v>1</v>
      </c>
      <c r="K67" s="7"/>
      <c r="L67" s="8">
        <v>2037</v>
      </c>
    </row>
    <row r="68" spans="1:12">
      <c r="A68" s="6">
        <v>60068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8"/>
    </row>
    <row r="69" spans="1:12">
      <c r="A69" s="6">
        <v>60069</v>
      </c>
      <c r="B69" s="7">
        <v>2013</v>
      </c>
      <c r="C69" s="7">
        <v>1</v>
      </c>
      <c r="D69" s="7">
        <v>2026</v>
      </c>
      <c r="E69" s="7">
        <v>2032</v>
      </c>
      <c r="F69" s="7"/>
      <c r="G69" s="7"/>
      <c r="H69" s="7">
        <v>2</v>
      </c>
      <c r="I69" s="7">
        <v>3</v>
      </c>
      <c r="J69" s="7"/>
      <c r="K69" s="7"/>
      <c r="L69" s="8">
        <v>2032</v>
      </c>
    </row>
    <row r="70" spans="1:12">
      <c r="A70" s="6">
        <v>60070</v>
      </c>
      <c r="B70" s="7"/>
      <c r="C70" s="7"/>
      <c r="D70" s="7">
        <v>2029</v>
      </c>
      <c r="E70" s="7">
        <v>2036</v>
      </c>
      <c r="F70" s="7">
        <v>2043</v>
      </c>
      <c r="G70" s="7"/>
      <c r="H70" s="7">
        <v>1</v>
      </c>
      <c r="I70" s="7">
        <v>2</v>
      </c>
      <c r="J70" s="7">
        <v>3</v>
      </c>
      <c r="K70" s="7"/>
      <c r="L70" s="8">
        <v>2043</v>
      </c>
    </row>
    <row r="71" spans="1:12">
      <c r="A71" s="6">
        <v>60071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8"/>
    </row>
    <row r="72" spans="1:12">
      <c r="A72" s="6">
        <v>60072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8"/>
    </row>
    <row r="73" spans="1:12">
      <c r="A73" s="6">
        <v>60073</v>
      </c>
      <c r="B73" s="7">
        <v>2022</v>
      </c>
      <c r="C73" s="7">
        <v>1</v>
      </c>
      <c r="D73" s="7">
        <v>2027</v>
      </c>
      <c r="E73" s="7">
        <v>2034</v>
      </c>
      <c r="F73" s="7">
        <v>2041</v>
      </c>
      <c r="G73" s="7"/>
      <c r="H73" s="7">
        <v>2</v>
      </c>
      <c r="I73" s="7">
        <v>3</v>
      </c>
      <c r="J73" s="7">
        <v>1</v>
      </c>
      <c r="K73" s="7"/>
      <c r="L73" s="8">
        <v>2034</v>
      </c>
    </row>
    <row r="74" spans="1:12">
      <c r="A74" s="6">
        <v>60074</v>
      </c>
      <c r="B74" s="7"/>
      <c r="C74" s="7"/>
      <c r="D74" s="7">
        <v>2029</v>
      </c>
      <c r="E74" s="7">
        <v>2035</v>
      </c>
      <c r="F74" s="7">
        <v>2042</v>
      </c>
      <c r="G74" s="7"/>
      <c r="H74" s="7">
        <v>1</v>
      </c>
      <c r="I74" s="7">
        <v>2</v>
      </c>
      <c r="J74" s="7">
        <v>3</v>
      </c>
      <c r="K74" s="7"/>
      <c r="L74" s="8">
        <v>2042</v>
      </c>
    </row>
    <row r="75" spans="1:12">
      <c r="A75" s="6">
        <v>60075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8"/>
    </row>
    <row r="76" spans="1:12">
      <c r="A76" s="6">
        <v>60076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8"/>
    </row>
    <row r="77" spans="1:12">
      <c r="A77" s="6">
        <v>60077</v>
      </c>
      <c r="B77" s="7"/>
      <c r="C77" s="7"/>
      <c r="D77" s="7">
        <v>2029</v>
      </c>
      <c r="E77" s="7">
        <v>2036</v>
      </c>
      <c r="F77" s="7">
        <v>2043</v>
      </c>
      <c r="G77" s="7"/>
      <c r="H77" s="7">
        <v>1</v>
      </c>
      <c r="I77" s="7">
        <v>2</v>
      </c>
      <c r="J77" s="7">
        <v>3</v>
      </c>
      <c r="K77" s="7"/>
      <c r="L77" s="8">
        <v>2043</v>
      </c>
    </row>
    <row r="78" spans="1:12">
      <c r="A78" s="6">
        <v>60078</v>
      </c>
      <c r="B78" s="7">
        <v>2019</v>
      </c>
      <c r="C78" s="7">
        <v>2</v>
      </c>
      <c r="D78" s="7">
        <v>2027</v>
      </c>
      <c r="E78" s="7">
        <v>2034</v>
      </c>
      <c r="F78" s="7">
        <v>2041</v>
      </c>
      <c r="G78" s="7"/>
      <c r="H78" s="7">
        <v>3</v>
      </c>
      <c r="I78" s="7">
        <v>1</v>
      </c>
      <c r="J78" s="7">
        <v>2</v>
      </c>
      <c r="K78" s="7"/>
      <c r="L78" s="8">
        <v>2027</v>
      </c>
    </row>
    <row r="79" spans="1:12">
      <c r="A79" s="6">
        <v>60079</v>
      </c>
      <c r="B79" s="7">
        <v>2021</v>
      </c>
      <c r="C79" s="7">
        <v>1</v>
      </c>
      <c r="D79" s="7">
        <v>2026</v>
      </c>
      <c r="E79" s="7">
        <v>2034</v>
      </c>
      <c r="F79" s="7">
        <v>2041</v>
      </c>
      <c r="G79" s="7"/>
      <c r="H79" s="7">
        <v>2</v>
      </c>
      <c r="I79" s="7">
        <v>3</v>
      </c>
      <c r="J79" s="7">
        <v>1</v>
      </c>
      <c r="K79" s="7"/>
      <c r="L79" s="8">
        <v>2034</v>
      </c>
    </row>
    <row r="80" spans="1:12">
      <c r="A80" s="6">
        <v>60080</v>
      </c>
      <c r="B80" s="7"/>
      <c r="C80" s="7"/>
      <c r="D80" s="7">
        <v>2027</v>
      </c>
      <c r="E80" s="7"/>
      <c r="F80" s="7"/>
      <c r="G80" s="7"/>
      <c r="H80" s="7">
        <v>1</v>
      </c>
      <c r="I80" s="7"/>
      <c r="J80" s="7"/>
      <c r="K80" s="7"/>
      <c r="L80" s="8"/>
    </row>
    <row r="81" spans="1:12">
      <c r="A81" s="6">
        <v>60081</v>
      </c>
      <c r="B81" s="7"/>
      <c r="C81" s="7"/>
      <c r="D81" s="7">
        <v>2031</v>
      </c>
      <c r="E81" s="7">
        <v>2038</v>
      </c>
      <c r="F81" s="7"/>
      <c r="G81" s="7"/>
      <c r="H81" s="7">
        <v>1</v>
      </c>
      <c r="I81" s="7">
        <v>2</v>
      </c>
      <c r="J81" s="7"/>
      <c r="K81" s="7"/>
      <c r="L81" s="8"/>
    </row>
    <row r="82" spans="1:12">
      <c r="A82" s="6">
        <v>60082</v>
      </c>
      <c r="B82" s="7">
        <v>2024</v>
      </c>
      <c r="C82" s="7">
        <v>3</v>
      </c>
      <c r="D82" s="7">
        <v>2028</v>
      </c>
      <c r="E82" s="7">
        <v>2040</v>
      </c>
      <c r="F82" s="7"/>
      <c r="G82" s="7"/>
      <c r="H82" s="7">
        <v>1</v>
      </c>
      <c r="I82" s="7">
        <v>2</v>
      </c>
      <c r="J82" s="7"/>
      <c r="K82" s="7"/>
      <c r="L82" s="8"/>
    </row>
    <row r="83" spans="1:12">
      <c r="A83" s="6">
        <v>60083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8"/>
    </row>
    <row r="84" spans="1:12">
      <c r="A84" s="6">
        <v>60085</v>
      </c>
      <c r="B84" s="7"/>
      <c r="C84" s="7"/>
      <c r="D84" s="7">
        <v>2028</v>
      </c>
      <c r="E84" s="7">
        <v>2035</v>
      </c>
      <c r="F84" s="7">
        <v>2042</v>
      </c>
      <c r="G84" s="7"/>
      <c r="H84" s="7">
        <v>1</v>
      </c>
      <c r="I84" s="7">
        <v>2</v>
      </c>
      <c r="J84" s="7">
        <v>3</v>
      </c>
      <c r="K84" s="7"/>
      <c r="L84" s="8">
        <v>2042</v>
      </c>
    </row>
    <row r="85" spans="1:12">
      <c r="A85" s="6">
        <v>60086</v>
      </c>
      <c r="B85" s="7">
        <v>2020</v>
      </c>
      <c r="C85" s="7">
        <v>2</v>
      </c>
      <c r="D85" s="7">
        <v>2027</v>
      </c>
      <c r="E85" s="7">
        <v>2034</v>
      </c>
      <c r="F85" s="7">
        <v>2041</v>
      </c>
      <c r="G85" s="7"/>
      <c r="H85" s="7">
        <v>3</v>
      </c>
      <c r="I85" s="7">
        <v>1</v>
      </c>
      <c r="J85" s="7">
        <v>2</v>
      </c>
      <c r="K85" s="7"/>
      <c r="L85" s="8">
        <v>2027</v>
      </c>
    </row>
    <row r="86" spans="1:12">
      <c r="A86" s="6">
        <v>60087</v>
      </c>
      <c r="B86" s="7">
        <v>2018</v>
      </c>
      <c r="C86" s="7">
        <v>1</v>
      </c>
      <c r="D86" s="7">
        <v>2027</v>
      </c>
      <c r="E86" s="7">
        <v>2033</v>
      </c>
      <c r="F86" s="7">
        <v>2040</v>
      </c>
      <c r="G86" s="7"/>
      <c r="H86" s="7">
        <v>2</v>
      </c>
      <c r="I86" s="7">
        <v>3</v>
      </c>
      <c r="J86" s="7">
        <v>1</v>
      </c>
      <c r="K86" s="7"/>
      <c r="L86" s="8">
        <v>2033</v>
      </c>
    </row>
    <row r="87" spans="1:12">
      <c r="A87" s="6">
        <v>60088</v>
      </c>
      <c r="B87" s="7">
        <v>2016</v>
      </c>
      <c r="C87" s="7">
        <v>2</v>
      </c>
      <c r="D87" s="7">
        <v>2026</v>
      </c>
      <c r="E87" s="7">
        <v>2033</v>
      </c>
      <c r="F87" s="7">
        <v>2040</v>
      </c>
      <c r="G87" s="7"/>
      <c r="H87" s="7">
        <v>3</v>
      </c>
      <c r="I87" s="7">
        <v>1</v>
      </c>
      <c r="J87" s="7">
        <v>2</v>
      </c>
      <c r="K87" s="7"/>
      <c r="L87" s="8">
        <v>2026</v>
      </c>
    </row>
    <row r="88" spans="1:12">
      <c r="A88" s="6">
        <v>60089</v>
      </c>
      <c r="B88" s="7">
        <v>2022</v>
      </c>
      <c r="C88" s="7">
        <v>3</v>
      </c>
      <c r="D88" s="7">
        <v>2031</v>
      </c>
      <c r="E88" s="7">
        <v>2038</v>
      </c>
      <c r="F88" s="7"/>
      <c r="G88" s="7"/>
      <c r="H88" s="7">
        <v>1</v>
      </c>
      <c r="I88" s="7">
        <v>2</v>
      </c>
      <c r="J88" s="7"/>
      <c r="K88" s="7"/>
      <c r="L88" s="8"/>
    </row>
    <row r="89" spans="1:12">
      <c r="A89" s="6">
        <v>60090</v>
      </c>
      <c r="B89" s="7"/>
      <c r="C89" s="7"/>
      <c r="D89" s="7">
        <v>2031</v>
      </c>
      <c r="E89" s="7">
        <v>2038</v>
      </c>
      <c r="F89" s="7"/>
      <c r="G89" s="7"/>
      <c r="H89" s="7">
        <v>1</v>
      </c>
      <c r="I89" s="7">
        <v>2</v>
      </c>
      <c r="J89" s="7"/>
      <c r="K89" s="7"/>
      <c r="L89" s="8"/>
    </row>
    <row r="90" spans="1:12">
      <c r="A90" s="6">
        <v>60091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8"/>
    </row>
    <row r="91" spans="1:12">
      <c r="A91" s="6">
        <v>60092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8"/>
    </row>
    <row r="92" spans="1:12">
      <c r="A92" s="6">
        <v>60093</v>
      </c>
      <c r="B92" s="7"/>
      <c r="C92" s="7"/>
      <c r="D92" s="7">
        <v>2028</v>
      </c>
      <c r="E92" s="7">
        <v>2035</v>
      </c>
      <c r="F92" s="7">
        <v>2042</v>
      </c>
      <c r="G92" s="7"/>
      <c r="H92" s="7">
        <v>1</v>
      </c>
      <c r="I92" s="7">
        <v>2</v>
      </c>
      <c r="J92" s="7">
        <v>3</v>
      </c>
      <c r="K92" s="7"/>
      <c r="L92" s="8">
        <v>2042</v>
      </c>
    </row>
    <row r="93" spans="1:12">
      <c r="A93" s="6">
        <v>60094</v>
      </c>
      <c r="B93" s="7"/>
      <c r="C93" s="7"/>
      <c r="D93" s="7">
        <v>2026</v>
      </c>
      <c r="E93" s="7">
        <v>2032</v>
      </c>
      <c r="F93" s="7"/>
      <c r="G93" s="7"/>
      <c r="H93" s="7">
        <v>1</v>
      </c>
      <c r="I93" s="7">
        <v>2</v>
      </c>
      <c r="J93" s="7"/>
      <c r="K93" s="7"/>
      <c r="L93" s="8"/>
    </row>
    <row r="94" spans="1:12">
      <c r="A94" s="6">
        <v>60095</v>
      </c>
      <c r="B94" s="7">
        <v>2019</v>
      </c>
      <c r="C94" s="7">
        <v>1</v>
      </c>
      <c r="D94" s="7">
        <v>2028</v>
      </c>
      <c r="E94" s="7"/>
      <c r="F94" s="7"/>
      <c r="G94" s="7"/>
      <c r="H94" s="7">
        <v>2</v>
      </c>
      <c r="I94" s="7"/>
      <c r="J94" s="7"/>
      <c r="K94" s="7"/>
      <c r="L94" s="8"/>
    </row>
    <row r="95" spans="1:12">
      <c r="A95" s="6">
        <v>60096</v>
      </c>
      <c r="B95" s="7"/>
      <c r="C95" s="7"/>
      <c r="D95" s="7">
        <v>2028</v>
      </c>
      <c r="E95" s="7">
        <v>2035</v>
      </c>
      <c r="F95" s="7">
        <v>2042</v>
      </c>
      <c r="G95" s="7"/>
      <c r="H95" s="7">
        <v>1</v>
      </c>
      <c r="I95" s="7">
        <v>2</v>
      </c>
      <c r="J95" s="7">
        <v>3</v>
      </c>
      <c r="K95" s="7"/>
      <c r="L95" s="8">
        <v>2042</v>
      </c>
    </row>
    <row r="96" spans="1:12">
      <c r="A96" s="6">
        <v>60097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8"/>
    </row>
    <row r="97" spans="1:12">
      <c r="A97" s="6">
        <v>60098</v>
      </c>
      <c r="B97" s="7">
        <v>2022</v>
      </c>
      <c r="C97" s="7">
        <v>3</v>
      </c>
      <c r="D97" s="7">
        <v>2027</v>
      </c>
      <c r="E97" s="7">
        <v>2034</v>
      </c>
      <c r="F97" s="7">
        <v>2041</v>
      </c>
      <c r="G97" s="7"/>
      <c r="H97" s="7">
        <v>1</v>
      </c>
      <c r="I97" s="7">
        <v>2</v>
      </c>
      <c r="J97" s="7">
        <v>3</v>
      </c>
      <c r="K97" s="7"/>
      <c r="L97" s="8">
        <v>2041</v>
      </c>
    </row>
    <row r="98" spans="1:12">
      <c r="A98" s="6">
        <v>60099</v>
      </c>
      <c r="B98" s="7">
        <v>2021</v>
      </c>
      <c r="C98" s="7">
        <v>2</v>
      </c>
      <c r="D98" s="7">
        <v>2031</v>
      </c>
      <c r="E98" s="7">
        <v>2038</v>
      </c>
      <c r="F98" s="7"/>
      <c r="G98" s="7"/>
      <c r="H98" s="7">
        <v>3</v>
      </c>
      <c r="I98" s="7">
        <v>1</v>
      </c>
      <c r="J98" s="7"/>
      <c r="K98" s="7"/>
      <c r="L98" s="8">
        <v>2031</v>
      </c>
    </row>
    <row r="99" spans="1:12">
      <c r="A99" s="6">
        <v>60100</v>
      </c>
      <c r="B99" s="7"/>
      <c r="C99" s="7"/>
      <c r="D99" s="7">
        <v>2028</v>
      </c>
      <c r="E99" s="7">
        <v>2035</v>
      </c>
      <c r="F99" s="7">
        <v>2042</v>
      </c>
      <c r="G99" s="7"/>
      <c r="H99" s="7">
        <v>1</v>
      </c>
      <c r="I99" s="7">
        <v>2</v>
      </c>
      <c r="J99" s="7">
        <v>3</v>
      </c>
      <c r="K99" s="7"/>
      <c r="L99" s="8">
        <v>2042</v>
      </c>
    </row>
    <row r="100" spans="1:12">
      <c r="A100" s="6">
        <v>60102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8"/>
    </row>
    <row r="101" spans="1:12">
      <c r="A101" s="6">
        <v>60103</v>
      </c>
      <c r="B101" s="7">
        <v>2018</v>
      </c>
      <c r="C101" s="7">
        <v>2</v>
      </c>
      <c r="D101" s="7">
        <v>2028</v>
      </c>
      <c r="E101" s="7">
        <v>2035</v>
      </c>
      <c r="F101" s="7">
        <v>2042</v>
      </c>
      <c r="G101" s="7"/>
      <c r="H101" s="7">
        <v>3</v>
      </c>
      <c r="I101" s="7">
        <v>1</v>
      </c>
      <c r="J101" s="7">
        <v>2</v>
      </c>
      <c r="K101" s="7"/>
      <c r="L101" s="8">
        <v>2028</v>
      </c>
    </row>
    <row r="102" spans="1:12">
      <c r="A102" s="6">
        <v>60104</v>
      </c>
      <c r="B102" s="7"/>
      <c r="C102" s="7"/>
      <c r="D102" s="7">
        <v>2029</v>
      </c>
      <c r="E102" s="7">
        <v>2036</v>
      </c>
      <c r="F102" s="7">
        <v>2043</v>
      </c>
      <c r="G102" s="7"/>
      <c r="H102" s="7">
        <v>1</v>
      </c>
      <c r="I102" s="7">
        <v>2</v>
      </c>
      <c r="J102" s="7">
        <v>3</v>
      </c>
      <c r="K102" s="7"/>
      <c r="L102" s="8">
        <v>2043</v>
      </c>
    </row>
    <row r="103" spans="1:12">
      <c r="A103" s="6">
        <v>60105</v>
      </c>
      <c r="B103" s="7"/>
      <c r="C103" s="7"/>
      <c r="D103" s="7">
        <v>2028</v>
      </c>
      <c r="E103" s="7">
        <v>2035</v>
      </c>
      <c r="F103" s="7">
        <v>2042</v>
      </c>
      <c r="G103" s="7"/>
      <c r="H103" s="7">
        <v>1</v>
      </c>
      <c r="I103" s="7">
        <v>2</v>
      </c>
      <c r="J103" s="7">
        <v>3</v>
      </c>
      <c r="K103" s="7"/>
      <c r="L103" s="8">
        <v>2042</v>
      </c>
    </row>
    <row r="104" spans="1:12">
      <c r="A104" s="6">
        <v>60106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8"/>
    </row>
    <row r="105" spans="1:12">
      <c r="A105" s="6">
        <v>60107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8"/>
    </row>
    <row r="106" spans="1:12">
      <c r="A106" s="6">
        <v>60108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8"/>
    </row>
    <row r="107" spans="1:12">
      <c r="A107" s="6">
        <v>60109</v>
      </c>
      <c r="B107" s="7"/>
      <c r="C107" s="7"/>
      <c r="D107" s="7">
        <v>2028</v>
      </c>
      <c r="E107" s="7">
        <v>2034</v>
      </c>
      <c r="F107" s="7">
        <v>2041</v>
      </c>
      <c r="G107" s="7"/>
      <c r="H107" s="7">
        <v>1</v>
      </c>
      <c r="I107" s="7">
        <v>2</v>
      </c>
      <c r="J107" s="7">
        <v>3</v>
      </c>
      <c r="K107" s="7"/>
      <c r="L107" s="8">
        <v>2041</v>
      </c>
    </row>
    <row r="108" spans="1:12">
      <c r="A108" s="6">
        <v>60110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</row>
    <row r="109" spans="1:12">
      <c r="A109" s="6">
        <v>60111</v>
      </c>
      <c r="B109" s="7">
        <v>2019</v>
      </c>
      <c r="C109" s="7">
        <v>1</v>
      </c>
      <c r="D109" s="7">
        <v>2030</v>
      </c>
      <c r="E109" s="7">
        <v>2037</v>
      </c>
      <c r="F109" s="7">
        <v>2044</v>
      </c>
      <c r="G109" s="7"/>
      <c r="H109" s="7">
        <v>2</v>
      </c>
      <c r="I109" s="7">
        <v>3</v>
      </c>
      <c r="J109" s="7">
        <v>1</v>
      </c>
      <c r="K109" s="7"/>
      <c r="L109" s="8">
        <v>2037</v>
      </c>
    </row>
    <row r="110" spans="1:12">
      <c r="A110" s="6">
        <v>60112</v>
      </c>
      <c r="B110" s="7">
        <v>2023</v>
      </c>
      <c r="C110" s="7">
        <v>1</v>
      </c>
      <c r="D110" s="7">
        <v>2028</v>
      </c>
      <c r="E110" s="7">
        <v>2035</v>
      </c>
      <c r="F110" s="7">
        <v>2042</v>
      </c>
      <c r="G110" s="7"/>
      <c r="H110" s="7">
        <v>2</v>
      </c>
      <c r="I110" s="7">
        <v>3</v>
      </c>
      <c r="J110" s="7">
        <v>1</v>
      </c>
      <c r="K110" s="7"/>
      <c r="L110" s="8">
        <v>2035</v>
      </c>
    </row>
    <row r="111" spans="1:12">
      <c r="A111" s="6">
        <v>60113</v>
      </c>
      <c r="B111" s="7">
        <v>2022</v>
      </c>
      <c r="C111" s="7">
        <v>1</v>
      </c>
      <c r="D111" s="7">
        <v>2026</v>
      </c>
      <c r="E111" s="7">
        <v>2034</v>
      </c>
      <c r="F111" s="7">
        <v>2041</v>
      </c>
      <c r="G111" s="7"/>
      <c r="H111" s="7">
        <v>2</v>
      </c>
      <c r="I111" s="7">
        <v>3</v>
      </c>
      <c r="J111" s="7">
        <v>1</v>
      </c>
      <c r="K111" s="7"/>
      <c r="L111" s="8">
        <v>2034</v>
      </c>
    </row>
    <row r="112" spans="1:12">
      <c r="A112" s="6">
        <v>60114</v>
      </c>
      <c r="B112" s="7">
        <v>2021</v>
      </c>
      <c r="C112" s="7">
        <v>1</v>
      </c>
      <c r="D112" s="7">
        <v>2029</v>
      </c>
      <c r="E112" s="7">
        <v>2035</v>
      </c>
      <c r="F112" s="7">
        <v>2042</v>
      </c>
      <c r="G112" s="7"/>
      <c r="H112" s="7">
        <v>2</v>
      </c>
      <c r="I112" s="7">
        <v>3</v>
      </c>
      <c r="J112" s="7">
        <v>1</v>
      </c>
      <c r="K112" s="7"/>
      <c r="L112" s="8">
        <v>2035</v>
      </c>
    </row>
    <row r="113" spans="1:12">
      <c r="A113" s="6">
        <v>60115</v>
      </c>
      <c r="B113" s="7"/>
      <c r="C113" s="7"/>
      <c r="D113" s="7">
        <v>2027</v>
      </c>
      <c r="E113" s="7">
        <v>2034</v>
      </c>
      <c r="F113" s="7">
        <v>2041</v>
      </c>
      <c r="G113" s="7"/>
      <c r="H113" s="7">
        <v>1</v>
      </c>
      <c r="I113" s="7">
        <v>2</v>
      </c>
      <c r="J113" s="7">
        <v>3</v>
      </c>
      <c r="K113" s="7"/>
      <c r="L113" s="8">
        <v>2041</v>
      </c>
    </row>
    <row r="114" spans="1:12">
      <c r="A114" s="6">
        <v>60116</v>
      </c>
      <c r="B114" s="7">
        <v>2020</v>
      </c>
      <c r="C114" s="7">
        <v>3</v>
      </c>
      <c r="D114" s="7">
        <v>2030</v>
      </c>
      <c r="E114" s="7">
        <v>2037</v>
      </c>
      <c r="F114" s="7">
        <v>2044</v>
      </c>
      <c r="G114" s="7"/>
      <c r="H114" s="7">
        <v>1</v>
      </c>
      <c r="I114" s="7">
        <v>2</v>
      </c>
      <c r="J114" s="7">
        <v>3</v>
      </c>
      <c r="K114" s="7"/>
      <c r="L114" s="8">
        <v>2044</v>
      </c>
    </row>
    <row r="115" spans="1:12">
      <c r="A115" s="6">
        <v>60117</v>
      </c>
      <c r="B115" s="7"/>
      <c r="C115" s="7"/>
      <c r="D115" s="7">
        <v>2028</v>
      </c>
      <c r="E115" s="7">
        <v>2035</v>
      </c>
      <c r="F115" s="7">
        <v>2042</v>
      </c>
      <c r="G115" s="7"/>
      <c r="H115" s="7">
        <v>1</v>
      </c>
      <c r="I115" s="7">
        <v>2</v>
      </c>
      <c r="J115" s="7">
        <v>3</v>
      </c>
      <c r="K115" s="7"/>
      <c r="L115" s="8">
        <v>2042</v>
      </c>
    </row>
    <row r="116" spans="1:12">
      <c r="A116" s="6">
        <v>60118</v>
      </c>
      <c r="B116" s="7">
        <v>2018</v>
      </c>
      <c r="C116" s="7">
        <v>2</v>
      </c>
      <c r="D116" s="7">
        <v>2033</v>
      </c>
      <c r="E116" s="7">
        <v>2040</v>
      </c>
      <c r="F116" s="7"/>
      <c r="G116" s="7"/>
      <c r="H116" s="7">
        <v>3</v>
      </c>
      <c r="I116" s="7">
        <v>1</v>
      </c>
      <c r="J116" s="7"/>
      <c r="K116" s="7"/>
      <c r="L116" s="8">
        <v>2033</v>
      </c>
    </row>
    <row r="117" spans="1:12">
      <c r="A117" s="6">
        <v>60119</v>
      </c>
      <c r="B117" s="7">
        <v>2024</v>
      </c>
      <c r="C117" s="7">
        <v>3</v>
      </c>
      <c r="D117" s="7">
        <v>2034</v>
      </c>
      <c r="E117" s="7">
        <v>2041</v>
      </c>
      <c r="F117" s="7"/>
      <c r="G117" s="7"/>
      <c r="H117" s="7">
        <v>1</v>
      </c>
      <c r="I117" s="7">
        <v>2</v>
      </c>
      <c r="J117" s="7"/>
      <c r="K117" s="7"/>
      <c r="L117" s="8"/>
    </row>
    <row r="118" spans="1:12">
      <c r="A118" s="6">
        <v>60120</v>
      </c>
      <c r="B118" s="7">
        <v>2021</v>
      </c>
      <c r="C118" s="7">
        <v>1</v>
      </c>
      <c r="D118" s="7">
        <v>2027</v>
      </c>
      <c r="E118" s="7"/>
      <c r="F118" s="7"/>
      <c r="G118" s="7"/>
      <c r="H118" s="7">
        <v>2</v>
      </c>
      <c r="I118" s="7"/>
      <c r="J118" s="7"/>
      <c r="K118" s="7"/>
      <c r="L118" s="8"/>
    </row>
    <row r="119" spans="1:12">
      <c r="A119" s="6">
        <v>60121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8"/>
    </row>
    <row r="120" spans="1:12">
      <c r="A120" s="6">
        <v>60122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8"/>
    </row>
    <row r="121" spans="1:12">
      <c r="A121" s="6">
        <v>60123</v>
      </c>
      <c r="B121" s="7"/>
      <c r="C121" s="7"/>
      <c r="D121" s="7">
        <v>2027</v>
      </c>
      <c r="E121" s="7">
        <v>2033</v>
      </c>
      <c r="F121" s="7">
        <v>2040</v>
      </c>
      <c r="G121" s="7"/>
      <c r="H121" s="7">
        <v>1</v>
      </c>
      <c r="I121" s="7">
        <v>2</v>
      </c>
      <c r="J121" s="7">
        <v>3</v>
      </c>
      <c r="K121" s="7"/>
      <c r="L121" s="8">
        <v>2040</v>
      </c>
    </row>
    <row r="122" spans="1:12">
      <c r="A122" s="6">
        <v>60124</v>
      </c>
      <c r="B122" s="7">
        <v>2022</v>
      </c>
      <c r="C122" s="7">
        <v>2</v>
      </c>
      <c r="D122" s="7">
        <v>2028</v>
      </c>
      <c r="E122" s="7">
        <v>2035</v>
      </c>
      <c r="F122" s="7">
        <v>2042</v>
      </c>
      <c r="G122" s="7"/>
      <c r="H122" s="7">
        <v>3</v>
      </c>
      <c r="I122" s="7">
        <v>1</v>
      </c>
      <c r="J122" s="7">
        <v>2</v>
      </c>
      <c r="K122" s="7"/>
      <c r="L122" s="8">
        <v>2028</v>
      </c>
    </row>
    <row r="123" spans="1:12">
      <c r="A123" s="6">
        <v>60125</v>
      </c>
      <c r="B123" s="7">
        <v>2022</v>
      </c>
      <c r="C123" s="7">
        <v>2</v>
      </c>
      <c r="D123" s="7">
        <v>2028</v>
      </c>
      <c r="E123" s="7">
        <v>2035</v>
      </c>
      <c r="F123" s="7">
        <v>2042</v>
      </c>
      <c r="G123" s="7"/>
      <c r="H123" s="7">
        <v>3</v>
      </c>
      <c r="I123" s="7">
        <v>1</v>
      </c>
      <c r="J123" s="7">
        <v>2</v>
      </c>
      <c r="K123" s="7"/>
      <c r="L123" s="8">
        <v>2028</v>
      </c>
    </row>
    <row r="124" spans="1:12">
      <c r="A124" s="6">
        <v>60126</v>
      </c>
      <c r="B124" s="7"/>
      <c r="C124" s="7"/>
      <c r="D124" s="7">
        <v>2026</v>
      </c>
      <c r="E124" s="7">
        <v>2032</v>
      </c>
      <c r="F124" s="7">
        <v>2039</v>
      </c>
      <c r="G124" s="7"/>
      <c r="H124" s="7">
        <v>1</v>
      </c>
      <c r="I124" s="7">
        <v>2</v>
      </c>
      <c r="J124" s="7">
        <v>3</v>
      </c>
      <c r="K124" s="7"/>
      <c r="L124" s="8">
        <v>2039</v>
      </c>
    </row>
    <row r="125" spans="1:12">
      <c r="A125" s="6">
        <v>60127</v>
      </c>
      <c r="B125" s="7"/>
      <c r="C125" s="7"/>
      <c r="D125" s="7">
        <v>2026</v>
      </c>
      <c r="E125" s="7">
        <v>2032</v>
      </c>
      <c r="F125" s="7">
        <v>2039</v>
      </c>
      <c r="G125" s="7"/>
      <c r="H125" s="7">
        <v>1</v>
      </c>
      <c r="I125" s="7">
        <v>2</v>
      </c>
      <c r="J125" s="7">
        <v>3</v>
      </c>
      <c r="K125" s="7"/>
      <c r="L125" s="8">
        <v>2039</v>
      </c>
    </row>
    <row r="126" spans="1:12">
      <c r="A126" s="6">
        <v>60128</v>
      </c>
      <c r="B126" s="7"/>
      <c r="C126" s="7"/>
      <c r="D126" s="7">
        <v>2031</v>
      </c>
      <c r="E126" s="7">
        <v>2038</v>
      </c>
      <c r="F126" s="7"/>
      <c r="G126" s="7"/>
      <c r="H126" s="7">
        <v>1</v>
      </c>
      <c r="I126" s="7">
        <v>2</v>
      </c>
      <c r="J126" s="7"/>
      <c r="K126" s="7"/>
      <c r="L126" s="8"/>
    </row>
    <row r="127" spans="1:12">
      <c r="A127" s="6">
        <v>60129</v>
      </c>
      <c r="B127" s="7">
        <v>2020</v>
      </c>
      <c r="C127" s="7">
        <v>1</v>
      </c>
      <c r="D127" s="7">
        <v>2028</v>
      </c>
      <c r="E127" s="7">
        <v>2034</v>
      </c>
      <c r="F127" s="7">
        <v>2041</v>
      </c>
      <c r="G127" s="7"/>
      <c r="H127" s="7">
        <v>2</v>
      </c>
      <c r="I127" s="7">
        <v>3</v>
      </c>
      <c r="J127" s="7">
        <v>1</v>
      </c>
      <c r="K127" s="7"/>
      <c r="L127" s="8">
        <v>2034</v>
      </c>
    </row>
    <row r="128" spans="1:12">
      <c r="A128" s="6">
        <v>60130</v>
      </c>
      <c r="B128" s="7"/>
      <c r="C128" s="7"/>
      <c r="D128" s="7">
        <v>2031</v>
      </c>
      <c r="E128" s="7">
        <v>2038</v>
      </c>
      <c r="F128" s="7"/>
      <c r="G128" s="7"/>
      <c r="H128" s="7">
        <v>1</v>
      </c>
      <c r="I128" s="7">
        <v>2</v>
      </c>
      <c r="J128" s="7"/>
      <c r="K128" s="7"/>
      <c r="L128" s="8"/>
    </row>
    <row r="129" spans="1:12">
      <c r="A129" s="6">
        <v>60131</v>
      </c>
      <c r="B129" s="7"/>
      <c r="C129" s="7"/>
      <c r="D129" s="7">
        <v>2029</v>
      </c>
      <c r="E129" s="7">
        <v>2036</v>
      </c>
      <c r="F129" s="7">
        <v>2043</v>
      </c>
      <c r="G129" s="7"/>
      <c r="H129" s="7">
        <v>1</v>
      </c>
      <c r="I129" s="7">
        <v>2</v>
      </c>
      <c r="J129" s="7">
        <v>3</v>
      </c>
      <c r="K129" s="7"/>
      <c r="L129" s="8">
        <v>2043</v>
      </c>
    </row>
    <row r="130" spans="1:12">
      <c r="A130" s="6">
        <v>60132</v>
      </c>
      <c r="B130" s="7">
        <v>2018</v>
      </c>
      <c r="C130" s="7">
        <v>2</v>
      </c>
      <c r="D130" s="7">
        <v>2027</v>
      </c>
      <c r="E130" s="7">
        <v>2034</v>
      </c>
      <c r="F130" s="7">
        <v>2041</v>
      </c>
      <c r="G130" s="7"/>
      <c r="H130" s="7">
        <v>3</v>
      </c>
      <c r="I130" s="7">
        <v>1</v>
      </c>
      <c r="J130" s="7">
        <v>2</v>
      </c>
      <c r="K130" s="7"/>
      <c r="L130" s="8">
        <v>2027</v>
      </c>
    </row>
    <row r="131" spans="1:12">
      <c r="A131" s="6">
        <v>60133</v>
      </c>
      <c r="B131" s="7"/>
      <c r="C131" s="7"/>
      <c r="D131" s="7">
        <v>2031</v>
      </c>
      <c r="E131" s="7">
        <v>2038</v>
      </c>
      <c r="F131" s="7"/>
      <c r="G131" s="7"/>
      <c r="H131" s="7">
        <v>1</v>
      </c>
      <c r="I131" s="7">
        <v>2</v>
      </c>
      <c r="J131" s="7"/>
      <c r="K131" s="7"/>
      <c r="L131" s="8"/>
    </row>
    <row r="132" spans="1:12">
      <c r="A132" s="6">
        <v>60135</v>
      </c>
      <c r="B132" s="7"/>
      <c r="C132" s="7"/>
      <c r="D132" s="7">
        <v>2027</v>
      </c>
      <c r="E132" s="7">
        <v>2034</v>
      </c>
      <c r="F132" s="7">
        <v>2041</v>
      </c>
      <c r="G132" s="7"/>
      <c r="H132" s="7">
        <v>1</v>
      </c>
      <c r="I132" s="7">
        <v>2</v>
      </c>
      <c r="J132" s="7">
        <v>3</v>
      </c>
      <c r="K132" s="7"/>
      <c r="L132" s="8">
        <v>2041</v>
      </c>
    </row>
    <row r="133" spans="1:12">
      <c r="A133" s="6">
        <v>60136</v>
      </c>
      <c r="B133" s="7"/>
      <c r="C133" s="7"/>
      <c r="D133" s="7">
        <v>2028</v>
      </c>
      <c r="E133" s="7">
        <v>2035</v>
      </c>
      <c r="F133" s="7">
        <v>2042</v>
      </c>
      <c r="G133" s="7"/>
      <c r="H133" s="7">
        <v>1</v>
      </c>
      <c r="I133" s="7">
        <v>2</v>
      </c>
      <c r="J133" s="7">
        <v>3</v>
      </c>
      <c r="K133" s="7"/>
      <c r="L133" s="8">
        <v>2042</v>
      </c>
    </row>
    <row r="134" spans="1:12">
      <c r="A134" s="6">
        <v>60137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8"/>
    </row>
    <row r="135" spans="1:12">
      <c r="A135" s="6">
        <v>60138</v>
      </c>
      <c r="B135" s="7">
        <v>2022</v>
      </c>
      <c r="C135" s="7">
        <v>1</v>
      </c>
      <c r="D135" s="7">
        <v>2028</v>
      </c>
      <c r="E135" s="7">
        <v>2035</v>
      </c>
      <c r="F135" s="7">
        <v>2042</v>
      </c>
      <c r="G135" s="7"/>
      <c r="H135" s="7">
        <v>2</v>
      </c>
      <c r="I135" s="7">
        <v>3</v>
      </c>
      <c r="J135" s="7">
        <v>1</v>
      </c>
      <c r="K135" s="7"/>
      <c r="L135" s="8">
        <v>2035</v>
      </c>
    </row>
    <row r="136" spans="1:12">
      <c r="A136" s="6">
        <v>60139</v>
      </c>
      <c r="B136" s="7">
        <v>2024</v>
      </c>
      <c r="C136" s="7">
        <v>1</v>
      </c>
      <c r="D136" s="7">
        <v>2030</v>
      </c>
      <c r="E136" s="7">
        <v>2037</v>
      </c>
      <c r="F136" s="7">
        <v>2044</v>
      </c>
      <c r="G136" s="7"/>
      <c r="H136" s="7">
        <v>2</v>
      </c>
      <c r="I136" s="7">
        <v>3</v>
      </c>
      <c r="J136" s="7">
        <v>1</v>
      </c>
      <c r="K136" s="7"/>
      <c r="L136" s="8">
        <v>2037</v>
      </c>
    </row>
    <row r="137" spans="1:12">
      <c r="A137" s="6">
        <v>60140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8"/>
    </row>
    <row r="138" spans="1:12">
      <c r="A138" s="6">
        <v>60141</v>
      </c>
      <c r="B138" s="7">
        <v>2022</v>
      </c>
      <c r="C138" s="7">
        <v>2</v>
      </c>
      <c r="D138" s="7">
        <v>2028</v>
      </c>
      <c r="E138" s="7">
        <v>2035</v>
      </c>
      <c r="F138" s="7">
        <v>2042</v>
      </c>
      <c r="G138" s="7"/>
      <c r="H138" s="7">
        <v>3</v>
      </c>
      <c r="I138" s="7">
        <v>1</v>
      </c>
      <c r="J138" s="7">
        <v>2</v>
      </c>
      <c r="K138" s="7"/>
      <c r="L138" s="8">
        <v>2028</v>
      </c>
    </row>
    <row r="139" spans="1:12">
      <c r="A139" s="6">
        <v>60142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8"/>
    </row>
    <row r="140" spans="1:12">
      <c r="A140" s="6">
        <v>60143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8"/>
    </row>
    <row r="141" spans="1:12">
      <c r="A141" s="6">
        <v>60144</v>
      </c>
      <c r="B141" s="7">
        <v>2025</v>
      </c>
      <c r="C141" s="7">
        <v>1</v>
      </c>
      <c r="D141" s="7">
        <v>2025</v>
      </c>
      <c r="E141" s="7">
        <v>2031</v>
      </c>
      <c r="F141" s="7">
        <v>2038</v>
      </c>
      <c r="G141" s="7"/>
      <c r="H141" s="7">
        <v>1</v>
      </c>
      <c r="I141" s="7">
        <v>2</v>
      </c>
      <c r="J141" s="7">
        <v>3</v>
      </c>
      <c r="K141" s="7"/>
      <c r="L141" s="8">
        <v>2038</v>
      </c>
    </row>
    <row r="142" spans="1:12">
      <c r="A142" s="6">
        <v>60146</v>
      </c>
      <c r="B142" s="7"/>
      <c r="C142" s="7"/>
      <c r="D142" s="7">
        <v>2027</v>
      </c>
      <c r="E142" s="7">
        <v>2034</v>
      </c>
      <c r="F142" s="7">
        <v>2041</v>
      </c>
      <c r="G142" s="7"/>
      <c r="H142" s="7">
        <v>1</v>
      </c>
      <c r="I142" s="7">
        <v>2</v>
      </c>
      <c r="J142" s="7">
        <v>3</v>
      </c>
      <c r="K142" s="7"/>
      <c r="L142" s="8">
        <v>2041</v>
      </c>
    </row>
    <row r="143" spans="1:12">
      <c r="A143" s="6">
        <v>60147</v>
      </c>
      <c r="B143" s="7"/>
      <c r="C143" s="7"/>
      <c r="D143" s="7">
        <v>2027</v>
      </c>
      <c r="E143" s="7">
        <v>2034</v>
      </c>
      <c r="F143" s="7">
        <v>2041</v>
      </c>
      <c r="G143" s="7"/>
      <c r="H143" s="7">
        <v>1</v>
      </c>
      <c r="I143" s="7">
        <v>2</v>
      </c>
      <c r="J143" s="7">
        <v>3</v>
      </c>
      <c r="K143" s="7"/>
      <c r="L143" s="8">
        <v>2041</v>
      </c>
    </row>
    <row r="144" spans="1:12">
      <c r="A144" s="6">
        <v>60148</v>
      </c>
      <c r="B144" s="7"/>
      <c r="C144" s="7"/>
      <c r="D144" s="7">
        <v>2028</v>
      </c>
      <c r="E144" s="7">
        <v>2035</v>
      </c>
      <c r="F144" s="7">
        <v>2042</v>
      </c>
      <c r="G144" s="7"/>
      <c r="H144" s="7">
        <v>1</v>
      </c>
      <c r="I144" s="7">
        <v>2</v>
      </c>
      <c r="J144" s="7">
        <v>3</v>
      </c>
      <c r="K144" s="7"/>
      <c r="L144" s="8">
        <v>2042</v>
      </c>
    </row>
    <row r="145" spans="1:12">
      <c r="A145" s="6">
        <v>60150</v>
      </c>
      <c r="B145" s="7">
        <v>2019</v>
      </c>
      <c r="C145" s="7">
        <v>1</v>
      </c>
      <c r="D145" s="7">
        <v>2027</v>
      </c>
      <c r="E145" s="7">
        <v>2034</v>
      </c>
      <c r="F145" s="7">
        <v>2041</v>
      </c>
      <c r="G145" s="7"/>
      <c r="H145" s="7">
        <v>2</v>
      </c>
      <c r="I145" s="7">
        <v>3</v>
      </c>
      <c r="J145" s="7">
        <v>1</v>
      </c>
      <c r="K145" s="7"/>
      <c r="L145" s="8">
        <v>2034</v>
      </c>
    </row>
    <row r="146" spans="1:12">
      <c r="A146" s="6">
        <v>60151</v>
      </c>
      <c r="B146" s="7">
        <v>2021</v>
      </c>
      <c r="C146" s="7">
        <v>3</v>
      </c>
      <c r="D146" s="7">
        <v>2028</v>
      </c>
      <c r="E146" s="7">
        <v>2035</v>
      </c>
      <c r="F146" s="7">
        <v>2042</v>
      </c>
      <c r="G146" s="7"/>
      <c r="H146" s="7">
        <v>1</v>
      </c>
      <c r="I146" s="7">
        <v>2</v>
      </c>
      <c r="J146" s="7">
        <v>3</v>
      </c>
      <c r="K146" s="7"/>
      <c r="L146" s="8">
        <v>2042</v>
      </c>
    </row>
    <row r="147" spans="1:12">
      <c r="A147" s="6">
        <v>60152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"/>
    </row>
    <row r="148" spans="1:12">
      <c r="A148" s="6">
        <v>60153</v>
      </c>
      <c r="B148" s="7"/>
      <c r="C148" s="7"/>
      <c r="D148" s="7">
        <v>2028</v>
      </c>
      <c r="E148" s="7">
        <v>2035</v>
      </c>
      <c r="F148" s="7">
        <v>2042</v>
      </c>
      <c r="G148" s="7"/>
      <c r="H148" s="7">
        <v>1</v>
      </c>
      <c r="I148" s="7">
        <v>2</v>
      </c>
      <c r="J148" s="7">
        <v>3</v>
      </c>
      <c r="K148" s="7"/>
      <c r="L148" s="8">
        <v>2042</v>
      </c>
    </row>
    <row r="149" spans="1:12">
      <c r="A149" s="6">
        <v>60154</v>
      </c>
      <c r="B149" s="7">
        <v>2023</v>
      </c>
      <c r="C149" s="7">
        <v>3</v>
      </c>
      <c r="D149" s="7">
        <v>2029</v>
      </c>
      <c r="E149" s="7">
        <v>2036</v>
      </c>
      <c r="F149" s="7">
        <v>2043</v>
      </c>
      <c r="G149" s="7"/>
      <c r="H149" s="7">
        <v>1</v>
      </c>
      <c r="I149" s="7">
        <v>2</v>
      </c>
      <c r="J149" s="7">
        <v>3</v>
      </c>
      <c r="K149" s="7"/>
      <c r="L149" s="8">
        <v>2043</v>
      </c>
    </row>
    <row r="150" spans="1:12">
      <c r="A150" s="6">
        <v>60155</v>
      </c>
      <c r="B150" s="7">
        <v>2024</v>
      </c>
      <c r="C150" s="7">
        <v>2</v>
      </c>
      <c r="D150" s="7">
        <v>2030</v>
      </c>
      <c r="E150" s="7">
        <v>2037</v>
      </c>
      <c r="F150" s="7">
        <v>2044</v>
      </c>
      <c r="G150" s="7"/>
      <c r="H150" s="7">
        <v>3</v>
      </c>
      <c r="I150" s="7">
        <v>1</v>
      </c>
      <c r="J150" s="7">
        <v>2</v>
      </c>
      <c r="K150" s="7"/>
      <c r="L150" s="8">
        <v>2030</v>
      </c>
    </row>
    <row r="151" spans="1:12">
      <c r="A151" s="6">
        <v>60156</v>
      </c>
      <c r="B151" s="7">
        <v>2025</v>
      </c>
      <c r="C151" s="7">
        <v>3</v>
      </c>
      <c r="D151" s="7">
        <v>2025</v>
      </c>
      <c r="E151" s="7">
        <v>2033</v>
      </c>
      <c r="F151" s="7">
        <v>2040</v>
      </c>
      <c r="G151" s="7"/>
      <c r="H151" s="7">
        <v>3</v>
      </c>
      <c r="I151" s="7">
        <v>1</v>
      </c>
      <c r="J151" s="7">
        <v>2</v>
      </c>
      <c r="K151" s="7"/>
      <c r="L151" s="8">
        <v>2025</v>
      </c>
    </row>
    <row r="152" spans="1:12">
      <c r="A152" s="6">
        <v>60157</v>
      </c>
      <c r="B152" s="7"/>
      <c r="C152" s="7"/>
      <c r="D152" s="7">
        <v>2029</v>
      </c>
      <c r="E152" s="7">
        <v>2036</v>
      </c>
      <c r="F152" s="7">
        <v>2043</v>
      </c>
      <c r="G152" s="7"/>
      <c r="H152" s="7">
        <v>1</v>
      </c>
      <c r="I152" s="7">
        <v>2</v>
      </c>
      <c r="J152" s="7">
        <v>3</v>
      </c>
      <c r="K152" s="7"/>
      <c r="L152" s="8">
        <v>2043</v>
      </c>
    </row>
    <row r="153" spans="1:12">
      <c r="A153" s="6">
        <v>60159</v>
      </c>
      <c r="B153" s="7"/>
      <c r="C153" s="7"/>
      <c r="D153" s="7">
        <v>2029</v>
      </c>
      <c r="E153" s="7">
        <v>2035</v>
      </c>
      <c r="F153" s="7">
        <v>2042</v>
      </c>
      <c r="G153" s="7"/>
      <c r="H153" s="7">
        <v>1</v>
      </c>
      <c r="I153" s="7">
        <v>2</v>
      </c>
      <c r="J153" s="7">
        <v>3</v>
      </c>
      <c r="K153" s="7"/>
      <c r="L153" s="8">
        <v>2042</v>
      </c>
    </row>
    <row r="154" spans="1:12">
      <c r="A154" s="6">
        <v>60160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8"/>
    </row>
    <row r="155" spans="1:12">
      <c r="A155" s="6">
        <v>60161</v>
      </c>
      <c r="B155" s="7"/>
      <c r="C155" s="7"/>
      <c r="D155" s="7">
        <v>2028</v>
      </c>
      <c r="E155" s="7">
        <v>2035</v>
      </c>
      <c r="F155" s="7">
        <v>2042</v>
      </c>
      <c r="G155" s="7"/>
      <c r="H155" s="7">
        <v>1</v>
      </c>
      <c r="I155" s="7">
        <v>2</v>
      </c>
      <c r="J155" s="7">
        <v>3</v>
      </c>
      <c r="K155" s="7"/>
      <c r="L155" s="8">
        <v>2042</v>
      </c>
    </row>
    <row r="156" spans="1:12">
      <c r="A156" s="6">
        <v>60162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8"/>
    </row>
    <row r="157" spans="1:12">
      <c r="A157" s="6">
        <v>60163</v>
      </c>
      <c r="B157" s="7">
        <v>2025</v>
      </c>
      <c r="C157" s="7">
        <v>2</v>
      </c>
      <c r="D157" s="7">
        <v>2025</v>
      </c>
      <c r="E157" s="7">
        <v>2031</v>
      </c>
      <c r="F157" s="7">
        <v>2038</v>
      </c>
      <c r="G157" s="7"/>
      <c r="H157" s="7">
        <v>2</v>
      </c>
      <c r="I157" s="7">
        <v>3</v>
      </c>
      <c r="J157" s="7">
        <v>1</v>
      </c>
      <c r="K157" s="7"/>
      <c r="L157" s="8">
        <v>2031</v>
      </c>
    </row>
    <row r="158" spans="1:12">
      <c r="A158" s="6">
        <v>60164</v>
      </c>
      <c r="B158" s="7">
        <v>2024</v>
      </c>
      <c r="C158" s="7">
        <v>3</v>
      </c>
      <c r="D158" s="7">
        <v>2026</v>
      </c>
      <c r="E158" s="7">
        <v>2033</v>
      </c>
      <c r="F158" s="7">
        <v>2040</v>
      </c>
      <c r="G158" s="7"/>
      <c r="H158" s="7">
        <v>1</v>
      </c>
      <c r="I158" s="7">
        <v>2</v>
      </c>
      <c r="J158" s="7">
        <v>3</v>
      </c>
      <c r="K158" s="7"/>
      <c r="L158" s="8">
        <v>2040</v>
      </c>
    </row>
    <row r="159" spans="1:12">
      <c r="A159" s="6">
        <v>60165</v>
      </c>
      <c r="B159" s="7"/>
      <c r="C159" s="7"/>
      <c r="D159" s="7">
        <v>2027</v>
      </c>
      <c r="E159" s="7">
        <v>2032</v>
      </c>
      <c r="F159" s="7">
        <v>2039</v>
      </c>
      <c r="G159" s="7"/>
      <c r="H159" s="7">
        <v>1</v>
      </c>
      <c r="I159" s="7">
        <v>2</v>
      </c>
      <c r="J159" s="7">
        <v>3</v>
      </c>
      <c r="K159" s="7"/>
      <c r="L159" s="8">
        <v>2039</v>
      </c>
    </row>
    <row r="160" spans="1:12">
      <c r="A160" s="6">
        <v>60166</v>
      </c>
      <c r="B160" s="7"/>
      <c r="C160" s="7"/>
      <c r="D160" s="7">
        <v>2029</v>
      </c>
      <c r="E160" s="7">
        <v>2036</v>
      </c>
      <c r="F160" s="7">
        <v>2043</v>
      </c>
      <c r="G160" s="7"/>
      <c r="H160" s="7">
        <v>1</v>
      </c>
      <c r="I160" s="7">
        <v>2</v>
      </c>
      <c r="J160" s="7">
        <v>3</v>
      </c>
      <c r="K160" s="7"/>
      <c r="L160" s="8">
        <v>2043</v>
      </c>
    </row>
    <row r="161" spans="1:12">
      <c r="A161" s="6">
        <v>60167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8"/>
    </row>
    <row r="162" spans="1:12">
      <c r="A162" s="6">
        <v>60168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8"/>
    </row>
    <row r="163" spans="1:12">
      <c r="A163" s="6">
        <v>60169</v>
      </c>
      <c r="B163" s="7"/>
      <c r="C163" s="7"/>
      <c r="D163" s="7">
        <v>2026</v>
      </c>
      <c r="E163" s="7"/>
      <c r="F163" s="7"/>
      <c r="G163" s="7"/>
      <c r="H163" s="7">
        <v>1</v>
      </c>
      <c r="I163" s="7"/>
      <c r="J163" s="7"/>
      <c r="K163" s="7"/>
      <c r="L163" s="8"/>
    </row>
    <row r="164" spans="1:12">
      <c r="A164" s="6">
        <v>60170</v>
      </c>
      <c r="B164" s="7"/>
      <c r="C164" s="7"/>
      <c r="D164" s="7">
        <v>2031</v>
      </c>
      <c r="E164" s="7">
        <v>2038</v>
      </c>
      <c r="F164" s="7"/>
      <c r="G164" s="7"/>
      <c r="H164" s="7">
        <v>1</v>
      </c>
      <c r="I164" s="7">
        <v>2</v>
      </c>
      <c r="J164" s="7"/>
      <c r="K164" s="7"/>
      <c r="L164" s="8"/>
    </row>
    <row r="165" spans="1:12">
      <c r="A165" s="6">
        <v>60171</v>
      </c>
      <c r="B165" s="7">
        <v>2025</v>
      </c>
      <c r="C165" s="7">
        <v>1</v>
      </c>
      <c r="D165" s="7">
        <v>2025</v>
      </c>
      <c r="E165" s="7">
        <v>2032</v>
      </c>
      <c r="F165" s="7">
        <v>2039</v>
      </c>
      <c r="G165" s="7"/>
      <c r="H165" s="7">
        <v>1</v>
      </c>
      <c r="I165" s="7">
        <v>2</v>
      </c>
      <c r="J165" s="7">
        <v>3</v>
      </c>
      <c r="K165" s="7"/>
      <c r="L165" s="8">
        <v>2039</v>
      </c>
    </row>
    <row r="166" spans="1:12">
      <c r="A166" s="6">
        <v>60172</v>
      </c>
      <c r="B166" s="7">
        <v>2025</v>
      </c>
      <c r="C166" s="7">
        <v>2</v>
      </c>
      <c r="D166" s="7">
        <v>2025</v>
      </c>
      <c r="E166" s="7">
        <v>2033</v>
      </c>
      <c r="F166" s="7">
        <v>2040</v>
      </c>
      <c r="G166" s="7"/>
      <c r="H166" s="7">
        <v>2</v>
      </c>
      <c r="I166" s="7">
        <v>3</v>
      </c>
      <c r="J166" s="7">
        <v>1</v>
      </c>
      <c r="K166" s="7"/>
      <c r="L166" s="8">
        <v>2033</v>
      </c>
    </row>
    <row r="167" spans="1:12">
      <c r="A167" s="6">
        <v>60173</v>
      </c>
      <c r="B167" s="7"/>
      <c r="C167" s="7"/>
      <c r="D167" s="7">
        <v>2031</v>
      </c>
      <c r="E167" s="7">
        <v>2038</v>
      </c>
      <c r="F167" s="7"/>
      <c r="G167" s="7"/>
      <c r="H167" s="7">
        <v>1</v>
      </c>
      <c r="I167" s="7">
        <v>2</v>
      </c>
      <c r="J167" s="7"/>
      <c r="K167" s="7"/>
      <c r="L167" s="8"/>
    </row>
    <row r="168" spans="1:12">
      <c r="A168" s="6">
        <v>60174</v>
      </c>
      <c r="B168" s="7"/>
      <c r="C168" s="7"/>
      <c r="D168" s="7">
        <v>2028</v>
      </c>
      <c r="E168" s="7">
        <v>2035</v>
      </c>
      <c r="F168" s="7">
        <v>2042</v>
      </c>
      <c r="G168" s="7"/>
      <c r="H168" s="7">
        <v>1</v>
      </c>
      <c r="I168" s="7">
        <v>2</v>
      </c>
      <c r="J168" s="7">
        <v>3</v>
      </c>
      <c r="K168" s="7"/>
      <c r="L168" s="8">
        <v>2042</v>
      </c>
    </row>
    <row r="169" spans="1:12">
      <c r="A169" s="6">
        <v>60175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8"/>
    </row>
    <row r="170" spans="1:12">
      <c r="A170" s="6">
        <v>60176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8"/>
    </row>
    <row r="171" spans="1:12">
      <c r="A171" s="6">
        <v>60178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8"/>
    </row>
    <row r="172" spans="1:12">
      <c r="A172" s="6">
        <v>60179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8"/>
    </row>
    <row r="173" spans="1:12">
      <c r="A173" s="6">
        <v>60180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8"/>
    </row>
    <row r="174" spans="1:12">
      <c r="A174" s="6">
        <v>60181</v>
      </c>
      <c r="B174" s="7">
        <v>2023</v>
      </c>
      <c r="C174" s="7">
        <v>2</v>
      </c>
      <c r="D174" s="7">
        <v>2029</v>
      </c>
      <c r="E174" s="7">
        <v>2036</v>
      </c>
      <c r="F174" s="7">
        <v>2043</v>
      </c>
      <c r="G174" s="7"/>
      <c r="H174" s="7">
        <v>3</v>
      </c>
      <c r="I174" s="7">
        <v>1</v>
      </c>
      <c r="J174" s="7">
        <v>2</v>
      </c>
      <c r="K174" s="7"/>
      <c r="L174" s="8">
        <v>2029</v>
      </c>
    </row>
    <row r="175" spans="1:12">
      <c r="A175" s="6">
        <v>60182</v>
      </c>
      <c r="B175" s="7">
        <v>2023</v>
      </c>
      <c r="C175" s="7">
        <v>2</v>
      </c>
      <c r="D175" s="7">
        <v>2029</v>
      </c>
      <c r="E175" s="7">
        <v>2036</v>
      </c>
      <c r="F175" s="7">
        <v>2043</v>
      </c>
      <c r="G175" s="7"/>
      <c r="H175" s="7">
        <v>3</v>
      </c>
      <c r="I175" s="7">
        <v>1</v>
      </c>
      <c r="J175" s="7">
        <v>2</v>
      </c>
      <c r="K175" s="7"/>
      <c r="L175" s="8">
        <v>2029</v>
      </c>
    </row>
    <row r="176" spans="1:12">
      <c r="A176" s="6">
        <v>60183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8"/>
    </row>
    <row r="177" spans="1:12">
      <c r="A177" s="6">
        <v>60184</v>
      </c>
      <c r="B177" s="7">
        <v>2020</v>
      </c>
      <c r="C177" s="7">
        <v>2</v>
      </c>
      <c r="D177" s="7">
        <v>2028</v>
      </c>
      <c r="E177" s="7">
        <v>2035</v>
      </c>
      <c r="F177" s="7">
        <v>2042</v>
      </c>
      <c r="G177" s="7"/>
      <c r="H177" s="7">
        <v>3</v>
      </c>
      <c r="I177" s="7">
        <v>1</v>
      </c>
      <c r="J177" s="7">
        <v>2</v>
      </c>
      <c r="K177" s="7"/>
      <c r="L177" s="8">
        <v>2028</v>
      </c>
    </row>
    <row r="178" spans="1:12">
      <c r="A178" s="6">
        <v>60187</v>
      </c>
      <c r="B178" s="7">
        <v>2017</v>
      </c>
      <c r="C178" s="7">
        <v>2</v>
      </c>
      <c r="D178" s="7">
        <v>2026</v>
      </c>
      <c r="E178" s="7">
        <v>2033</v>
      </c>
      <c r="F178" s="7">
        <v>2040</v>
      </c>
      <c r="G178" s="7"/>
      <c r="H178" s="7">
        <v>3</v>
      </c>
      <c r="I178" s="7">
        <v>1</v>
      </c>
      <c r="J178" s="7">
        <v>2</v>
      </c>
      <c r="K178" s="7"/>
      <c r="L178" s="8">
        <v>2026</v>
      </c>
    </row>
    <row r="179" spans="1:12">
      <c r="A179" s="6">
        <v>60188</v>
      </c>
      <c r="B179" s="7">
        <v>2024</v>
      </c>
      <c r="C179" s="7">
        <v>1</v>
      </c>
      <c r="D179" s="7">
        <v>2030</v>
      </c>
      <c r="E179" s="7">
        <v>2037</v>
      </c>
      <c r="F179" s="7">
        <v>2044</v>
      </c>
      <c r="G179" s="7"/>
      <c r="H179" s="7">
        <v>2</v>
      </c>
      <c r="I179" s="7">
        <v>3</v>
      </c>
      <c r="J179" s="7">
        <v>1</v>
      </c>
      <c r="K179" s="7"/>
      <c r="L179" s="8">
        <v>2037</v>
      </c>
    </row>
    <row r="180" spans="1:12">
      <c r="A180" s="6">
        <v>60189</v>
      </c>
      <c r="B180" s="7">
        <v>2024</v>
      </c>
      <c r="C180" s="7">
        <v>2</v>
      </c>
      <c r="D180" s="7">
        <v>2030</v>
      </c>
      <c r="E180" s="7">
        <v>2037</v>
      </c>
      <c r="F180" s="7">
        <v>2044</v>
      </c>
      <c r="G180" s="7"/>
      <c r="H180" s="7">
        <v>3</v>
      </c>
      <c r="I180" s="7">
        <v>1</v>
      </c>
      <c r="J180" s="7">
        <v>2</v>
      </c>
      <c r="K180" s="7"/>
      <c r="L180" s="8">
        <v>2030</v>
      </c>
    </row>
    <row r="181" spans="1:12">
      <c r="A181" s="6">
        <v>60190</v>
      </c>
      <c r="B181" s="7">
        <v>2021</v>
      </c>
      <c r="C181" s="7">
        <v>3</v>
      </c>
      <c r="D181" s="7">
        <v>2028</v>
      </c>
      <c r="E181" s="7">
        <v>2035</v>
      </c>
      <c r="F181" s="7">
        <v>2042</v>
      </c>
      <c r="G181" s="7"/>
      <c r="H181" s="7">
        <v>1</v>
      </c>
      <c r="I181" s="7">
        <v>2</v>
      </c>
      <c r="J181" s="7">
        <v>3</v>
      </c>
      <c r="K181" s="7"/>
      <c r="L181" s="8">
        <v>2042</v>
      </c>
    </row>
    <row r="182" spans="1:12">
      <c r="A182" s="6">
        <v>60191</v>
      </c>
      <c r="B182" s="7">
        <v>2021</v>
      </c>
      <c r="C182" s="7">
        <v>2</v>
      </c>
      <c r="D182" s="7">
        <v>2027</v>
      </c>
      <c r="E182" s="7">
        <v>2034</v>
      </c>
      <c r="F182" s="7">
        <v>2041</v>
      </c>
      <c r="G182" s="7"/>
      <c r="H182" s="7">
        <v>3</v>
      </c>
      <c r="I182" s="7">
        <v>1</v>
      </c>
      <c r="J182" s="7">
        <v>2</v>
      </c>
      <c r="K182" s="7"/>
      <c r="L182" s="8">
        <v>2027</v>
      </c>
    </row>
    <row r="183" spans="1:12">
      <c r="A183" s="6">
        <v>60192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8"/>
    </row>
    <row r="184" spans="1:12">
      <c r="A184" s="6">
        <v>60193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8"/>
    </row>
    <row r="185" spans="1:12">
      <c r="A185" s="6">
        <v>60194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8"/>
    </row>
    <row r="186" spans="1:12">
      <c r="A186" s="6">
        <v>60195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8"/>
    </row>
    <row r="187" spans="1:12">
      <c r="A187" s="6">
        <v>60196</v>
      </c>
      <c r="B187" s="7"/>
      <c r="C187" s="7"/>
      <c r="D187" s="7">
        <v>2026</v>
      </c>
      <c r="E187" s="7">
        <v>2032</v>
      </c>
      <c r="F187" s="7">
        <v>2039</v>
      </c>
      <c r="G187" s="7"/>
      <c r="H187" s="7">
        <v>1</v>
      </c>
      <c r="I187" s="7">
        <v>2</v>
      </c>
      <c r="J187" s="7">
        <v>3</v>
      </c>
      <c r="K187" s="7"/>
      <c r="L187" s="8">
        <v>2039</v>
      </c>
    </row>
    <row r="188" spans="1:12">
      <c r="A188" s="6">
        <v>60197</v>
      </c>
      <c r="B188" s="7"/>
      <c r="C188" s="7"/>
      <c r="D188" s="7">
        <v>2029</v>
      </c>
      <c r="E188" s="7">
        <v>2036</v>
      </c>
      <c r="F188" s="7">
        <v>2043</v>
      </c>
      <c r="G188" s="7"/>
      <c r="H188" s="7">
        <v>1</v>
      </c>
      <c r="I188" s="7">
        <v>2</v>
      </c>
      <c r="J188" s="7">
        <v>3</v>
      </c>
      <c r="K188" s="7"/>
      <c r="L188" s="8">
        <v>2043</v>
      </c>
    </row>
    <row r="189" spans="1:12">
      <c r="A189" s="6">
        <v>60198</v>
      </c>
      <c r="B189" s="7"/>
      <c r="C189" s="7"/>
      <c r="D189" s="7">
        <v>2034</v>
      </c>
      <c r="E189" s="7">
        <v>2041</v>
      </c>
      <c r="F189" s="7"/>
      <c r="G189" s="7"/>
      <c r="H189" s="7">
        <v>1</v>
      </c>
      <c r="I189" s="7">
        <v>2</v>
      </c>
      <c r="J189" s="7"/>
      <c r="K189" s="7"/>
      <c r="L189" s="8"/>
    </row>
    <row r="190" spans="1:12">
      <c r="A190" s="6">
        <v>60199</v>
      </c>
      <c r="B190" s="7">
        <v>2013</v>
      </c>
      <c r="C190" s="7">
        <v>1</v>
      </c>
      <c r="D190" s="7">
        <v>2034</v>
      </c>
      <c r="E190" s="7">
        <v>2041</v>
      </c>
      <c r="F190" s="7"/>
      <c r="G190" s="7"/>
      <c r="H190" s="7">
        <v>2</v>
      </c>
      <c r="I190" s="7">
        <v>3</v>
      </c>
      <c r="J190" s="7"/>
      <c r="K190" s="7"/>
      <c r="L190" s="8">
        <v>2041</v>
      </c>
    </row>
    <row r="191" spans="1:12">
      <c r="A191" s="6">
        <v>60200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8"/>
    </row>
    <row r="192" spans="1:12">
      <c r="A192" s="6">
        <v>60201</v>
      </c>
      <c r="B192" s="7"/>
      <c r="C192" s="7"/>
      <c r="D192" s="7">
        <v>2031</v>
      </c>
      <c r="E192" s="7">
        <v>2037</v>
      </c>
      <c r="F192" s="7">
        <v>2044</v>
      </c>
      <c r="G192" s="7"/>
      <c r="H192" s="7">
        <v>1</v>
      </c>
      <c r="I192" s="7">
        <v>2</v>
      </c>
      <c r="J192" s="7">
        <v>3</v>
      </c>
      <c r="K192" s="7"/>
      <c r="L192" s="8">
        <v>2044</v>
      </c>
    </row>
    <row r="193" spans="1:12">
      <c r="A193" s="6">
        <v>60202</v>
      </c>
      <c r="B193" s="7">
        <v>2024</v>
      </c>
      <c r="C193" s="7">
        <v>1</v>
      </c>
      <c r="D193" s="7">
        <v>2030</v>
      </c>
      <c r="E193" s="7"/>
      <c r="F193" s="7"/>
      <c r="G193" s="7"/>
      <c r="H193" s="7">
        <v>2</v>
      </c>
      <c r="I193" s="7"/>
      <c r="J193" s="7"/>
      <c r="K193" s="7"/>
      <c r="L193" s="8"/>
    </row>
    <row r="194" spans="1:12">
      <c r="A194" s="6">
        <v>60203</v>
      </c>
      <c r="B194" s="7"/>
      <c r="C194" s="7"/>
      <c r="D194" s="7">
        <v>2028</v>
      </c>
      <c r="E194" s="7">
        <v>2035</v>
      </c>
      <c r="F194" s="7">
        <v>2042</v>
      </c>
      <c r="G194" s="7"/>
      <c r="H194" s="7">
        <v>1</v>
      </c>
      <c r="I194" s="7">
        <v>2</v>
      </c>
      <c r="J194" s="7">
        <v>3</v>
      </c>
      <c r="K194" s="7"/>
      <c r="L194" s="8">
        <v>2042</v>
      </c>
    </row>
    <row r="195" spans="1:12">
      <c r="A195" s="6">
        <v>60204</v>
      </c>
      <c r="B195" s="7">
        <v>2025</v>
      </c>
      <c r="C195" s="7">
        <v>1</v>
      </c>
      <c r="D195" s="7">
        <v>2025</v>
      </c>
      <c r="E195" s="7">
        <v>2031</v>
      </c>
      <c r="F195" s="7">
        <v>2038</v>
      </c>
      <c r="G195" s="7"/>
      <c r="H195" s="7">
        <v>1</v>
      </c>
      <c r="I195" s="7">
        <v>2</v>
      </c>
      <c r="J195" s="7">
        <v>3</v>
      </c>
      <c r="K195" s="7"/>
      <c r="L195" s="8">
        <v>2038</v>
      </c>
    </row>
    <row r="196" spans="1:12">
      <c r="A196" s="6">
        <v>60205</v>
      </c>
      <c r="B196" s="7">
        <v>2025</v>
      </c>
      <c r="C196" s="7">
        <v>1</v>
      </c>
      <c r="D196" s="7">
        <v>2025</v>
      </c>
      <c r="E196" s="7">
        <v>2031</v>
      </c>
      <c r="F196" s="7">
        <v>2038</v>
      </c>
      <c r="G196" s="7"/>
      <c r="H196" s="7">
        <v>1</v>
      </c>
      <c r="I196" s="7">
        <v>2</v>
      </c>
      <c r="J196" s="7">
        <v>3</v>
      </c>
      <c r="K196" s="7"/>
      <c r="L196" s="8">
        <v>2038</v>
      </c>
    </row>
    <row r="197" spans="1:12">
      <c r="A197" s="6">
        <v>60206</v>
      </c>
      <c r="B197" s="7"/>
      <c r="C197" s="7"/>
      <c r="D197" s="7">
        <v>2029</v>
      </c>
      <c r="E197" s="7">
        <v>2036</v>
      </c>
      <c r="F197" s="7">
        <v>2043</v>
      </c>
      <c r="G197" s="7"/>
      <c r="H197" s="7">
        <v>1</v>
      </c>
      <c r="I197" s="7">
        <v>2</v>
      </c>
      <c r="J197" s="7">
        <v>3</v>
      </c>
      <c r="K197" s="7"/>
      <c r="L197" s="8">
        <v>2043</v>
      </c>
    </row>
    <row r="198" spans="1:12">
      <c r="A198" s="6">
        <v>60207</v>
      </c>
      <c r="B198" s="7">
        <v>2019</v>
      </c>
      <c r="C198" s="7">
        <v>2</v>
      </c>
      <c r="D198" s="7">
        <v>2027</v>
      </c>
      <c r="E198" s="7">
        <v>2034</v>
      </c>
      <c r="F198" s="7">
        <v>2041</v>
      </c>
      <c r="G198" s="7"/>
      <c r="H198" s="7">
        <v>3</v>
      </c>
      <c r="I198" s="7">
        <v>1</v>
      </c>
      <c r="J198" s="7">
        <v>2</v>
      </c>
      <c r="K198" s="7"/>
      <c r="L198" s="8">
        <v>2027</v>
      </c>
    </row>
    <row r="199" spans="1:12">
      <c r="A199" s="6">
        <v>60208</v>
      </c>
      <c r="B199" s="7">
        <v>2019</v>
      </c>
      <c r="C199" s="7">
        <v>2</v>
      </c>
      <c r="D199" s="7">
        <v>2027</v>
      </c>
      <c r="E199" s="7">
        <v>2034</v>
      </c>
      <c r="F199" s="7">
        <v>2041</v>
      </c>
      <c r="G199" s="7"/>
      <c r="H199" s="7">
        <v>3</v>
      </c>
      <c r="I199" s="7">
        <v>1</v>
      </c>
      <c r="J199" s="7">
        <v>2</v>
      </c>
      <c r="K199" s="7"/>
      <c r="L199" s="8">
        <v>2027</v>
      </c>
    </row>
    <row r="200" spans="1:12">
      <c r="A200" s="6">
        <v>60209</v>
      </c>
      <c r="B200" s="7">
        <v>2019</v>
      </c>
      <c r="C200" s="7">
        <v>2</v>
      </c>
      <c r="D200" s="7">
        <v>2027</v>
      </c>
      <c r="E200" s="7">
        <v>2034</v>
      </c>
      <c r="F200" s="7">
        <v>2041</v>
      </c>
      <c r="G200" s="7"/>
      <c r="H200" s="7">
        <v>3</v>
      </c>
      <c r="I200" s="7">
        <v>1</v>
      </c>
      <c r="J200" s="7">
        <v>2</v>
      </c>
      <c r="K200" s="7"/>
      <c r="L200" s="8">
        <v>2027</v>
      </c>
    </row>
    <row r="201" spans="1:12">
      <c r="A201" s="6">
        <v>60211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8"/>
    </row>
    <row r="202" spans="1:12">
      <c r="A202" s="6">
        <v>60212</v>
      </c>
      <c r="B202" s="7">
        <v>2018</v>
      </c>
      <c r="C202" s="7">
        <v>3</v>
      </c>
      <c r="D202" s="7">
        <v>2027</v>
      </c>
      <c r="E202" s="7">
        <v>2034</v>
      </c>
      <c r="F202" s="7">
        <v>2041</v>
      </c>
      <c r="G202" s="7"/>
      <c r="H202" s="7">
        <v>1</v>
      </c>
      <c r="I202" s="7">
        <v>2</v>
      </c>
      <c r="J202" s="7">
        <v>3</v>
      </c>
      <c r="K202" s="7"/>
      <c r="L202" s="8">
        <v>2041</v>
      </c>
    </row>
    <row r="203" spans="1:12">
      <c r="A203" s="6">
        <v>60213</v>
      </c>
      <c r="B203" s="7"/>
      <c r="C203" s="7"/>
      <c r="D203" s="7">
        <v>2029</v>
      </c>
      <c r="E203" s="7">
        <v>2036</v>
      </c>
      <c r="F203" s="7">
        <v>2043</v>
      </c>
      <c r="G203" s="7"/>
      <c r="H203" s="7">
        <v>1</v>
      </c>
      <c r="I203" s="7">
        <v>2</v>
      </c>
      <c r="J203" s="7">
        <v>3</v>
      </c>
      <c r="K203" s="7"/>
      <c r="L203" s="8">
        <v>2043</v>
      </c>
    </row>
    <row r="204" spans="1:12">
      <c r="A204" s="6">
        <v>60214</v>
      </c>
      <c r="B204" s="7">
        <v>2022</v>
      </c>
      <c r="C204" s="7">
        <v>1</v>
      </c>
      <c r="D204" s="7">
        <v>2028</v>
      </c>
      <c r="E204" s="7">
        <v>2035</v>
      </c>
      <c r="F204" s="7">
        <v>2042</v>
      </c>
      <c r="G204" s="7"/>
      <c r="H204" s="7">
        <v>2</v>
      </c>
      <c r="I204" s="7">
        <v>3</v>
      </c>
      <c r="J204" s="7">
        <v>1</v>
      </c>
      <c r="K204" s="7"/>
      <c r="L204" s="8">
        <v>2035</v>
      </c>
    </row>
    <row r="205" spans="1:12">
      <c r="A205" s="6">
        <v>60215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8"/>
    </row>
    <row r="206" spans="1:12">
      <c r="A206" s="6">
        <v>60216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8"/>
    </row>
    <row r="207" spans="1:12">
      <c r="A207" s="6">
        <v>60217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8"/>
    </row>
    <row r="208" spans="1:12">
      <c r="A208" s="6">
        <v>60218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8"/>
    </row>
    <row r="209" spans="1:12">
      <c r="A209" s="6">
        <v>60219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8"/>
    </row>
    <row r="210" spans="1:12">
      <c r="A210" s="6">
        <v>60220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8"/>
    </row>
    <row r="211" spans="1:12">
      <c r="A211" s="6">
        <v>60221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8"/>
    </row>
    <row r="212" spans="1:12">
      <c r="A212" s="6">
        <v>60222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8"/>
    </row>
    <row r="213" spans="1:12">
      <c r="A213" s="6">
        <v>60223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8"/>
    </row>
    <row r="214" spans="1:12">
      <c r="A214" s="6">
        <v>60224</v>
      </c>
      <c r="B214" s="7"/>
      <c r="C214" s="7"/>
      <c r="D214" s="7">
        <v>2028</v>
      </c>
      <c r="E214" s="7">
        <v>2035</v>
      </c>
      <c r="F214" s="7">
        <v>2042</v>
      </c>
      <c r="G214" s="7"/>
      <c r="H214" s="7">
        <v>1</v>
      </c>
      <c r="I214" s="7">
        <v>2</v>
      </c>
      <c r="J214" s="7">
        <v>3</v>
      </c>
      <c r="K214" s="7"/>
      <c r="L214" s="8">
        <v>2042</v>
      </c>
    </row>
    <row r="215" spans="1:12">
      <c r="A215" s="6">
        <v>60225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8"/>
    </row>
    <row r="216" spans="1:12">
      <c r="A216" s="6">
        <v>60226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8"/>
    </row>
    <row r="217" spans="1:12">
      <c r="A217" s="6">
        <v>60227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8"/>
    </row>
    <row r="218" spans="1:12">
      <c r="A218" s="6">
        <v>60228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8"/>
    </row>
    <row r="219" spans="1:12">
      <c r="A219" s="6">
        <v>60229</v>
      </c>
      <c r="B219" s="7"/>
      <c r="C219" s="7"/>
      <c r="D219" s="7">
        <v>2028</v>
      </c>
      <c r="E219" s="7">
        <v>2035</v>
      </c>
      <c r="F219" s="7">
        <v>2042</v>
      </c>
      <c r="G219" s="7"/>
      <c r="H219" s="7">
        <v>1</v>
      </c>
      <c r="I219" s="7">
        <v>2</v>
      </c>
      <c r="J219" s="7">
        <v>3</v>
      </c>
      <c r="K219" s="7"/>
      <c r="L219" s="8">
        <v>2042</v>
      </c>
    </row>
    <row r="220" spans="1:12">
      <c r="A220" s="6">
        <v>60230</v>
      </c>
      <c r="B220" s="7"/>
      <c r="C220" s="7"/>
      <c r="D220" s="7">
        <v>2028</v>
      </c>
      <c r="E220" s="7">
        <v>2035</v>
      </c>
      <c r="F220" s="7">
        <v>2042</v>
      </c>
      <c r="G220" s="7"/>
      <c r="H220" s="7">
        <v>1</v>
      </c>
      <c r="I220" s="7">
        <v>2</v>
      </c>
      <c r="J220" s="7">
        <v>3</v>
      </c>
      <c r="K220" s="7"/>
      <c r="L220" s="8">
        <v>2042</v>
      </c>
    </row>
    <row r="221" spans="1:12">
      <c r="A221" s="6">
        <v>60231</v>
      </c>
      <c r="B221" s="7"/>
      <c r="C221" s="7"/>
      <c r="D221" s="7">
        <v>2028</v>
      </c>
      <c r="E221" s="7">
        <v>2035</v>
      </c>
      <c r="F221" s="7">
        <v>2042</v>
      </c>
      <c r="G221" s="7"/>
      <c r="H221" s="7">
        <v>1</v>
      </c>
      <c r="I221" s="7">
        <v>2</v>
      </c>
      <c r="J221" s="7">
        <v>3</v>
      </c>
      <c r="K221" s="7"/>
      <c r="L221" s="8">
        <v>2042</v>
      </c>
    </row>
    <row r="222" spans="1:12">
      <c r="A222" s="6">
        <v>60232</v>
      </c>
      <c r="B222" s="7"/>
      <c r="C222" s="7"/>
      <c r="D222" s="7">
        <v>2028</v>
      </c>
      <c r="E222" s="7">
        <v>2035</v>
      </c>
      <c r="F222" s="7">
        <v>2042</v>
      </c>
      <c r="G222" s="7"/>
      <c r="H222" s="7">
        <v>1</v>
      </c>
      <c r="I222" s="7">
        <v>2</v>
      </c>
      <c r="J222" s="7">
        <v>3</v>
      </c>
      <c r="K222" s="7"/>
      <c r="L222" s="8">
        <v>2042</v>
      </c>
    </row>
    <row r="223" spans="1:12">
      <c r="A223" s="6">
        <v>60233</v>
      </c>
      <c r="B223" s="7"/>
      <c r="C223" s="7"/>
      <c r="D223" s="7">
        <v>2031</v>
      </c>
      <c r="E223" s="7">
        <v>2037</v>
      </c>
      <c r="F223" s="7">
        <v>2044</v>
      </c>
      <c r="G223" s="7"/>
      <c r="H223" s="7">
        <v>1</v>
      </c>
      <c r="I223" s="7">
        <v>2</v>
      </c>
      <c r="J223" s="7">
        <v>3</v>
      </c>
      <c r="K223" s="7"/>
      <c r="L223" s="8">
        <v>2044</v>
      </c>
    </row>
    <row r="224" spans="1:12">
      <c r="A224" s="6">
        <v>60234</v>
      </c>
      <c r="B224" s="7"/>
      <c r="C224" s="7"/>
      <c r="D224" s="7">
        <v>2030</v>
      </c>
      <c r="E224" s="7">
        <v>2037</v>
      </c>
      <c r="F224" s="7">
        <v>2044</v>
      </c>
      <c r="G224" s="7"/>
      <c r="H224" s="7">
        <v>1</v>
      </c>
      <c r="I224" s="7">
        <v>2</v>
      </c>
      <c r="J224" s="7">
        <v>3</v>
      </c>
      <c r="K224" s="7"/>
      <c r="L224" s="8">
        <v>2044</v>
      </c>
    </row>
    <row r="225" spans="1:12">
      <c r="A225" s="6">
        <v>60235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8"/>
    </row>
    <row r="226" spans="1:12">
      <c r="A226" s="6">
        <v>60236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8"/>
    </row>
    <row r="227" spans="1:12">
      <c r="A227" s="6">
        <v>60237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8"/>
    </row>
    <row r="228" spans="1:12">
      <c r="A228" s="6">
        <v>60238</v>
      </c>
      <c r="B228" s="7">
        <v>2024</v>
      </c>
      <c r="C228" s="7">
        <v>2</v>
      </c>
      <c r="D228" s="7">
        <v>2030</v>
      </c>
      <c r="E228" s="7">
        <v>2037</v>
      </c>
      <c r="F228" s="7">
        <v>2044</v>
      </c>
      <c r="G228" s="7"/>
      <c r="H228" s="7">
        <v>3</v>
      </c>
      <c r="I228" s="7">
        <v>1</v>
      </c>
      <c r="J228" s="7">
        <v>2</v>
      </c>
      <c r="K228" s="7"/>
      <c r="L228" s="8">
        <v>2030</v>
      </c>
    </row>
    <row r="229" spans="1:12">
      <c r="A229" s="6">
        <v>60239</v>
      </c>
      <c r="B229" s="7">
        <v>2024</v>
      </c>
      <c r="C229" s="7">
        <v>2</v>
      </c>
      <c r="D229" s="7">
        <v>2030</v>
      </c>
      <c r="E229" s="7">
        <v>2037</v>
      </c>
      <c r="F229" s="7">
        <v>2044</v>
      </c>
      <c r="G229" s="7"/>
      <c r="H229" s="7">
        <v>3</v>
      </c>
      <c r="I229" s="7">
        <v>1</v>
      </c>
      <c r="J229" s="7">
        <v>2</v>
      </c>
      <c r="K229" s="7"/>
      <c r="L229" s="8">
        <v>2030</v>
      </c>
    </row>
    <row r="230" spans="1:12">
      <c r="A230" s="6">
        <v>60240</v>
      </c>
      <c r="B230" s="7">
        <v>2025</v>
      </c>
      <c r="C230" s="7">
        <v>2</v>
      </c>
      <c r="D230" s="7">
        <v>2025</v>
      </c>
      <c r="E230" s="7">
        <v>2033</v>
      </c>
      <c r="F230" s="7">
        <v>2040</v>
      </c>
      <c r="G230" s="7"/>
      <c r="H230" s="7">
        <v>2</v>
      </c>
      <c r="I230" s="7">
        <v>3</v>
      </c>
      <c r="J230" s="7">
        <v>1</v>
      </c>
      <c r="K230" s="7"/>
      <c r="L230" s="8">
        <v>2033</v>
      </c>
    </row>
    <row r="231" spans="1:12">
      <c r="A231" s="6">
        <v>60241</v>
      </c>
      <c r="B231" s="7">
        <v>2025</v>
      </c>
      <c r="C231" s="7">
        <v>2</v>
      </c>
      <c r="D231" s="7">
        <v>2025</v>
      </c>
      <c r="E231" s="7">
        <v>2033</v>
      </c>
      <c r="F231" s="7">
        <v>2040</v>
      </c>
      <c r="G231" s="7"/>
      <c r="H231" s="7">
        <v>2</v>
      </c>
      <c r="I231" s="7">
        <v>3</v>
      </c>
      <c r="J231" s="7">
        <v>1</v>
      </c>
      <c r="K231" s="7"/>
      <c r="L231" s="8">
        <v>2033</v>
      </c>
    </row>
    <row r="232" spans="1:12">
      <c r="A232" s="6">
        <v>60242</v>
      </c>
      <c r="B232" s="7">
        <v>2022</v>
      </c>
      <c r="C232" s="7">
        <v>1</v>
      </c>
      <c r="D232" s="7">
        <v>2028</v>
      </c>
      <c r="E232" s="7">
        <v>2035</v>
      </c>
      <c r="F232" s="7">
        <v>2042</v>
      </c>
      <c r="G232" s="7"/>
      <c r="H232" s="7">
        <v>2</v>
      </c>
      <c r="I232" s="7">
        <v>3</v>
      </c>
      <c r="J232" s="7">
        <v>1</v>
      </c>
      <c r="K232" s="7"/>
      <c r="L232" s="8">
        <v>2035</v>
      </c>
    </row>
    <row r="233" spans="1:12">
      <c r="A233" s="6">
        <v>60243</v>
      </c>
      <c r="B233" s="7"/>
      <c r="C233" s="7"/>
      <c r="D233" s="7">
        <v>2031</v>
      </c>
      <c r="E233" s="7">
        <v>2038</v>
      </c>
      <c r="F233" s="7">
        <v>2045</v>
      </c>
      <c r="G233" s="7"/>
      <c r="H233" s="7">
        <v>1</v>
      </c>
      <c r="I233" s="7">
        <v>2</v>
      </c>
      <c r="J233" s="7">
        <v>3</v>
      </c>
      <c r="K233" s="7"/>
      <c r="L233" s="8">
        <v>2045</v>
      </c>
    </row>
    <row r="234" spans="1:12">
      <c r="A234" s="6">
        <v>60244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8"/>
    </row>
    <row r="235" spans="1:12">
      <c r="A235" s="6">
        <v>60245</v>
      </c>
      <c r="B235" s="7">
        <v>2015</v>
      </c>
      <c r="C235" s="7">
        <v>1</v>
      </c>
      <c r="D235" s="7"/>
      <c r="E235" s="7"/>
      <c r="F235" s="7"/>
      <c r="G235" s="7"/>
      <c r="H235" s="7"/>
      <c r="I235" s="7"/>
      <c r="J235" s="7"/>
      <c r="K235" s="7"/>
      <c r="L235" s="8"/>
    </row>
    <row r="236" spans="1:12">
      <c r="A236" s="6">
        <v>60246</v>
      </c>
      <c r="B236" s="7"/>
      <c r="C236" s="7"/>
      <c r="D236" s="7">
        <v>2026</v>
      </c>
      <c r="E236" s="7">
        <v>2032</v>
      </c>
      <c r="F236" s="7">
        <v>2039</v>
      </c>
      <c r="G236" s="7"/>
      <c r="H236" s="7">
        <v>1</v>
      </c>
      <c r="I236" s="7">
        <v>2</v>
      </c>
      <c r="J236" s="7">
        <v>3</v>
      </c>
      <c r="K236" s="7"/>
      <c r="L236" s="8">
        <v>2039</v>
      </c>
    </row>
    <row r="237" spans="1:12">
      <c r="A237" s="6">
        <v>60247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8"/>
    </row>
    <row r="238" spans="1:12">
      <c r="A238" s="6">
        <v>60248</v>
      </c>
      <c r="B238" s="7"/>
      <c r="C238" s="7"/>
      <c r="D238" s="7">
        <v>2026</v>
      </c>
      <c r="E238" s="7">
        <v>2032</v>
      </c>
      <c r="F238" s="7">
        <v>2039</v>
      </c>
      <c r="G238" s="7"/>
      <c r="H238" s="7">
        <v>1</v>
      </c>
      <c r="I238" s="7">
        <v>2</v>
      </c>
      <c r="J238" s="7">
        <v>3</v>
      </c>
      <c r="K238" s="7"/>
      <c r="L238" s="8">
        <v>2039</v>
      </c>
    </row>
    <row r="239" spans="1:12">
      <c r="A239" s="6">
        <v>60249</v>
      </c>
      <c r="B239" s="7">
        <v>2013</v>
      </c>
      <c r="C239" s="7">
        <v>1</v>
      </c>
      <c r="D239" s="7">
        <v>2025</v>
      </c>
      <c r="E239" s="7">
        <v>2031</v>
      </c>
      <c r="F239" s="7"/>
      <c r="G239" s="7"/>
      <c r="H239" s="7">
        <v>2</v>
      </c>
      <c r="I239" s="7">
        <v>3</v>
      </c>
      <c r="J239" s="7"/>
      <c r="K239" s="7"/>
      <c r="L239" s="8">
        <v>2031</v>
      </c>
    </row>
    <row r="240" spans="1:12">
      <c r="A240" s="6">
        <v>60252</v>
      </c>
      <c r="B240" s="7">
        <v>2011</v>
      </c>
      <c r="C240" s="7">
        <v>1</v>
      </c>
      <c r="D240" s="7">
        <v>2026</v>
      </c>
      <c r="E240" s="7">
        <v>2034</v>
      </c>
      <c r="F240" s="7">
        <v>2041</v>
      </c>
      <c r="G240" s="7"/>
      <c r="H240" s="7">
        <v>2</v>
      </c>
      <c r="I240" s="7">
        <v>3</v>
      </c>
      <c r="J240" s="7">
        <v>1</v>
      </c>
      <c r="K240" s="7"/>
      <c r="L240" s="8">
        <v>2034</v>
      </c>
    </row>
    <row r="241" spans="1:12">
      <c r="A241" s="6">
        <v>60253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8"/>
    </row>
    <row r="242" spans="1:12">
      <c r="A242" s="6">
        <v>60254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8"/>
    </row>
    <row r="243" spans="1:12">
      <c r="A243" s="6">
        <v>60255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8"/>
    </row>
    <row r="244" spans="1:12">
      <c r="A244" s="6">
        <v>60256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8"/>
    </row>
    <row r="245" spans="1:12">
      <c r="A245" s="6">
        <v>60257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8"/>
    </row>
    <row r="246" spans="1:12">
      <c r="A246" s="6">
        <v>60258</v>
      </c>
      <c r="B246" s="7"/>
      <c r="C246" s="7"/>
      <c r="D246" s="7">
        <v>2028</v>
      </c>
      <c r="E246" s="7">
        <v>2035</v>
      </c>
      <c r="F246" s="7">
        <v>2041</v>
      </c>
      <c r="G246" s="7"/>
      <c r="H246" s="7">
        <v>1</v>
      </c>
      <c r="I246" s="7">
        <v>2</v>
      </c>
      <c r="J246" s="7">
        <v>3</v>
      </c>
      <c r="K246" s="7"/>
      <c r="L246" s="8">
        <v>2041</v>
      </c>
    </row>
    <row r="247" spans="1:12">
      <c r="A247" s="6">
        <v>60259</v>
      </c>
      <c r="B247" s="7"/>
      <c r="C247" s="7"/>
      <c r="D247" s="7">
        <v>2031</v>
      </c>
      <c r="E247" s="7">
        <v>2043</v>
      </c>
      <c r="F247" s="7"/>
      <c r="G247" s="7"/>
      <c r="H247" s="7">
        <v>1</v>
      </c>
      <c r="I247" s="7">
        <v>2</v>
      </c>
      <c r="J247" s="7"/>
      <c r="K247" s="7"/>
      <c r="L247" s="8"/>
    </row>
    <row r="248" spans="1:12">
      <c r="A248" s="6">
        <v>60260</v>
      </c>
      <c r="B248" s="7">
        <v>2023</v>
      </c>
      <c r="C248" s="7">
        <v>1</v>
      </c>
      <c r="D248" s="7">
        <v>2030</v>
      </c>
      <c r="E248" s="7">
        <v>2037</v>
      </c>
      <c r="F248" s="7">
        <v>2044</v>
      </c>
      <c r="G248" s="7"/>
      <c r="H248" s="7">
        <v>2</v>
      </c>
      <c r="I248" s="7">
        <v>3</v>
      </c>
      <c r="J248" s="7">
        <v>1</v>
      </c>
      <c r="K248" s="7"/>
      <c r="L248" s="8">
        <v>2037</v>
      </c>
    </row>
    <row r="249" spans="1:12">
      <c r="A249" s="6">
        <v>60261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8"/>
    </row>
    <row r="250" spans="1:12">
      <c r="A250" s="6">
        <v>60262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8"/>
    </row>
    <row r="251" spans="1:12">
      <c r="A251" s="6">
        <v>60263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8"/>
    </row>
    <row r="252" spans="1:12">
      <c r="A252" s="6">
        <v>60264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8"/>
    </row>
    <row r="253" spans="1:12">
      <c r="A253" s="6">
        <v>60265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8"/>
    </row>
    <row r="254" spans="1:12">
      <c r="A254" s="6">
        <v>60266</v>
      </c>
      <c r="B254" s="7">
        <v>2025</v>
      </c>
      <c r="C254" s="7">
        <v>1</v>
      </c>
      <c r="D254" s="7">
        <v>2025</v>
      </c>
      <c r="E254" s="7">
        <v>2031</v>
      </c>
      <c r="F254" s="7">
        <v>2038</v>
      </c>
      <c r="G254" s="7"/>
      <c r="H254" s="7">
        <v>1</v>
      </c>
      <c r="I254" s="7">
        <v>2</v>
      </c>
      <c r="J254" s="7">
        <v>3</v>
      </c>
      <c r="K254" s="7"/>
      <c r="L254" s="8">
        <v>2038</v>
      </c>
    </row>
    <row r="255" spans="1:12">
      <c r="A255" s="6">
        <v>60267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8"/>
    </row>
    <row r="256" spans="1:12">
      <c r="A256" s="6">
        <v>60268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8"/>
    </row>
    <row r="257" spans="1:12">
      <c r="A257" s="6">
        <v>60269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8"/>
    </row>
    <row r="258" spans="1:12">
      <c r="A258" s="6">
        <v>60270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8"/>
    </row>
    <row r="259" spans="1:12">
      <c r="A259" s="6">
        <v>60271</v>
      </c>
      <c r="B259" s="7">
        <v>2019</v>
      </c>
      <c r="C259" s="7">
        <v>2</v>
      </c>
      <c r="D259" s="7">
        <v>2026</v>
      </c>
      <c r="E259" s="7">
        <v>2033</v>
      </c>
      <c r="F259" s="7">
        <v>2040</v>
      </c>
      <c r="G259" s="7"/>
      <c r="H259" s="7">
        <v>3</v>
      </c>
      <c r="I259" s="7">
        <v>1</v>
      </c>
      <c r="J259" s="7">
        <v>2</v>
      </c>
      <c r="K259" s="7"/>
      <c r="L259" s="8">
        <v>2026</v>
      </c>
    </row>
    <row r="260" spans="1:12">
      <c r="A260" s="6">
        <v>60273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8"/>
    </row>
    <row r="261" spans="1:12">
      <c r="A261" s="6">
        <v>60274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8"/>
    </row>
    <row r="262" spans="1:12">
      <c r="A262" s="6">
        <v>60275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8"/>
    </row>
    <row r="263" spans="1:12">
      <c r="A263" s="6">
        <v>60276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8"/>
    </row>
    <row r="264" spans="1:12">
      <c r="A264" s="6">
        <v>60277</v>
      </c>
      <c r="B264" s="7">
        <v>2025</v>
      </c>
      <c r="C264" s="7">
        <v>3</v>
      </c>
      <c r="D264" s="7">
        <v>2025</v>
      </c>
      <c r="E264" s="7">
        <v>2033</v>
      </c>
      <c r="F264" s="7">
        <v>2040</v>
      </c>
      <c r="G264" s="7"/>
      <c r="H264" s="7">
        <v>3</v>
      </c>
      <c r="I264" s="7">
        <v>1</v>
      </c>
      <c r="J264" s="7">
        <v>2</v>
      </c>
      <c r="K264" s="7"/>
      <c r="L264" s="8">
        <v>2025</v>
      </c>
    </row>
    <row r="265" spans="1:12">
      <c r="A265" s="6">
        <v>60279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8"/>
    </row>
    <row r="266" spans="1:12">
      <c r="A266" s="6">
        <v>60280</v>
      </c>
      <c r="B266" s="7"/>
      <c r="C266" s="7"/>
      <c r="D266" s="7">
        <v>2028</v>
      </c>
      <c r="E266" s="7">
        <v>2035</v>
      </c>
      <c r="F266" s="7">
        <v>2042</v>
      </c>
      <c r="G266" s="7"/>
      <c r="H266" s="7">
        <v>1</v>
      </c>
      <c r="I266" s="7">
        <v>2</v>
      </c>
      <c r="J266" s="7">
        <v>3</v>
      </c>
      <c r="K266" s="7"/>
      <c r="L266" s="8">
        <v>2042</v>
      </c>
    </row>
    <row r="267" spans="1:12">
      <c r="A267" s="6">
        <v>60281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8"/>
    </row>
    <row r="268" spans="1:12">
      <c r="A268" s="6">
        <v>60282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8"/>
    </row>
    <row r="269" spans="1:12">
      <c r="A269" s="6">
        <v>60283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8"/>
    </row>
    <row r="270" spans="1:12">
      <c r="A270" s="6">
        <v>60284</v>
      </c>
      <c r="B270" s="7"/>
      <c r="C270" s="7"/>
      <c r="D270" s="7">
        <v>2027</v>
      </c>
      <c r="E270" s="7"/>
      <c r="F270" s="7"/>
      <c r="G270" s="7"/>
      <c r="H270" s="7">
        <v>1</v>
      </c>
      <c r="I270" s="7"/>
      <c r="J270" s="7"/>
      <c r="K270" s="7"/>
      <c r="L270" s="8"/>
    </row>
    <row r="271" spans="1:12">
      <c r="A271" s="6">
        <v>60285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8"/>
    </row>
    <row r="272" spans="1:12">
      <c r="A272" s="6">
        <v>60286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8"/>
    </row>
    <row r="273" spans="1:12">
      <c r="A273" s="6">
        <v>60287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8"/>
    </row>
    <row r="274" spans="1:12">
      <c r="A274" s="6">
        <v>60288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8"/>
    </row>
    <row r="275" spans="1:12">
      <c r="A275" s="6">
        <v>60289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8"/>
    </row>
    <row r="276" spans="1:12">
      <c r="A276" s="6">
        <v>60290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8"/>
    </row>
    <row r="277" spans="1:12">
      <c r="A277" s="6">
        <v>60291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8"/>
    </row>
    <row r="278" spans="1:12">
      <c r="A278" s="6">
        <v>60292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8"/>
    </row>
    <row r="279" spans="1:12">
      <c r="A279" s="6">
        <v>60293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8"/>
    </row>
    <row r="280" spans="1:12">
      <c r="A280" s="6">
        <v>60294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8"/>
    </row>
    <row r="281" spans="1:12">
      <c r="A281" s="6">
        <v>60295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8"/>
    </row>
    <row r="282" spans="1:12">
      <c r="A282" s="6">
        <v>60296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8"/>
    </row>
    <row r="283" spans="1:12">
      <c r="A283" s="6">
        <v>60297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8"/>
    </row>
    <row r="284" spans="1:12">
      <c r="A284" s="6">
        <v>60298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8"/>
    </row>
    <row r="285" spans="1:12">
      <c r="A285" s="6">
        <v>60299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8"/>
    </row>
    <row r="286" spans="1:12">
      <c r="A286" s="6">
        <v>60300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8"/>
    </row>
    <row r="287" spans="1:12">
      <c r="A287" s="6">
        <v>60301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8"/>
    </row>
    <row r="288" spans="1:12">
      <c r="A288" s="6">
        <v>60302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8"/>
    </row>
    <row r="289" spans="1:12">
      <c r="A289" s="6">
        <v>60303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8"/>
    </row>
    <row r="290" spans="1:12">
      <c r="A290" s="6">
        <v>60304</v>
      </c>
      <c r="B290" s="7">
        <v>2024</v>
      </c>
      <c r="C290" s="7">
        <v>3</v>
      </c>
      <c r="D290" s="7">
        <v>2027</v>
      </c>
      <c r="E290" s="7">
        <v>2033</v>
      </c>
      <c r="F290" s="7">
        <v>2040</v>
      </c>
      <c r="G290" s="7"/>
      <c r="H290" s="7">
        <v>3</v>
      </c>
      <c r="I290" s="7">
        <v>1</v>
      </c>
      <c r="J290" s="7">
        <v>2</v>
      </c>
      <c r="K290" s="7"/>
      <c r="L290" s="8">
        <v>2027</v>
      </c>
    </row>
    <row r="291" spans="1:12">
      <c r="A291" s="6">
        <v>60305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8"/>
    </row>
    <row r="292" spans="1:12">
      <c r="A292" s="6">
        <v>60306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8"/>
    </row>
    <row r="293" spans="1:12">
      <c r="A293" s="6">
        <v>60307</v>
      </c>
      <c r="B293" s="7">
        <v>2025</v>
      </c>
      <c r="C293" s="7">
        <v>1</v>
      </c>
      <c r="D293" s="7">
        <v>2025</v>
      </c>
      <c r="E293" s="7">
        <v>2032</v>
      </c>
      <c r="F293" s="7">
        <v>2039</v>
      </c>
      <c r="G293" s="7"/>
      <c r="H293" s="7">
        <v>1</v>
      </c>
      <c r="I293" s="7">
        <v>2</v>
      </c>
      <c r="J293" s="7">
        <v>3</v>
      </c>
      <c r="K293" s="7"/>
      <c r="L293" s="8">
        <v>2039</v>
      </c>
    </row>
    <row r="294" spans="1:12">
      <c r="A294" s="6">
        <v>60308</v>
      </c>
      <c r="B294" s="7">
        <v>2024</v>
      </c>
      <c r="C294" s="7">
        <v>2</v>
      </c>
      <c r="D294" s="7">
        <v>2030</v>
      </c>
      <c r="E294" s="7">
        <v>2037</v>
      </c>
      <c r="F294" s="7">
        <v>2044</v>
      </c>
      <c r="G294" s="7"/>
      <c r="H294" s="7">
        <v>3</v>
      </c>
      <c r="I294" s="7">
        <v>1</v>
      </c>
      <c r="J294" s="7">
        <v>2</v>
      </c>
      <c r="K294" s="7"/>
      <c r="L294" s="8">
        <v>2030</v>
      </c>
    </row>
    <row r="295" spans="1:12">
      <c r="A295" s="6">
        <v>60309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8"/>
    </row>
    <row r="296" spans="1:12">
      <c r="A296" s="6">
        <v>60310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8"/>
    </row>
    <row r="297" spans="1:12">
      <c r="A297" s="6">
        <v>60311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8"/>
    </row>
    <row r="298" spans="1:12">
      <c r="A298" s="6">
        <v>60312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8"/>
    </row>
    <row r="299" spans="1:12">
      <c r="A299" s="6">
        <v>60313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8"/>
    </row>
    <row r="300" spans="1:12">
      <c r="A300" s="6">
        <v>60315</v>
      </c>
      <c r="B300" s="7"/>
      <c r="C300" s="7"/>
      <c r="D300" s="7">
        <v>2027</v>
      </c>
      <c r="E300" s="7">
        <v>2034</v>
      </c>
      <c r="F300" s="7">
        <v>2041</v>
      </c>
      <c r="G300" s="7"/>
      <c r="H300" s="7">
        <v>1</v>
      </c>
      <c r="I300" s="7">
        <v>2</v>
      </c>
      <c r="J300" s="7">
        <v>3</v>
      </c>
      <c r="K300" s="7"/>
      <c r="L300" s="8">
        <v>2041</v>
      </c>
    </row>
    <row r="301" spans="1:12">
      <c r="A301" s="6">
        <v>60316</v>
      </c>
      <c r="B301" s="7"/>
      <c r="C301" s="7"/>
      <c r="D301" s="7">
        <v>2029</v>
      </c>
      <c r="E301" s="7">
        <v>2036</v>
      </c>
      <c r="F301" s="7">
        <v>2043</v>
      </c>
      <c r="G301" s="7"/>
      <c r="H301" s="7">
        <v>1</v>
      </c>
      <c r="I301" s="7">
        <v>2</v>
      </c>
      <c r="J301" s="7">
        <v>3</v>
      </c>
      <c r="K301" s="7"/>
      <c r="L301" s="8">
        <v>2043</v>
      </c>
    </row>
    <row r="302" spans="1:12">
      <c r="A302" s="6">
        <v>60317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8"/>
    </row>
    <row r="303" spans="1:12">
      <c r="A303" s="6">
        <v>60318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8"/>
    </row>
    <row r="304" spans="1:12">
      <c r="A304" s="6">
        <v>60319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8"/>
    </row>
    <row r="305" spans="1:12">
      <c r="A305" s="6">
        <v>60320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8"/>
    </row>
    <row r="306" spans="1:12">
      <c r="A306" s="6">
        <v>60321</v>
      </c>
      <c r="B306" s="7"/>
      <c r="C306" s="7"/>
      <c r="D306" s="7">
        <v>2027</v>
      </c>
      <c r="E306" s="7">
        <v>2034</v>
      </c>
      <c r="F306" s="7">
        <v>2041</v>
      </c>
      <c r="G306" s="7"/>
      <c r="H306" s="7">
        <v>1</v>
      </c>
      <c r="I306" s="7">
        <v>2</v>
      </c>
      <c r="J306" s="7">
        <v>3</v>
      </c>
      <c r="K306" s="7"/>
      <c r="L306" s="8">
        <v>2041</v>
      </c>
    </row>
    <row r="307" spans="1:12">
      <c r="A307" s="6">
        <v>60322</v>
      </c>
      <c r="B307" s="7"/>
      <c r="C307" s="7"/>
      <c r="D307" s="7">
        <v>2028</v>
      </c>
      <c r="E307" s="7">
        <v>2035</v>
      </c>
      <c r="F307" s="7">
        <v>2042</v>
      </c>
      <c r="G307" s="7"/>
      <c r="H307" s="7">
        <v>1</v>
      </c>
      <c r="I307" s="7">
        <v>2</v>
      </c>
      <c r="J307" s="7">
        <v>3</v>
      </c>
      <c r="K307" s="7"/>
      <c r="L307" s="8">
        <v>2042</v>
      </c>
    </row>
    <row r="308" spans="1:12">
      <c r="A308" s="6">
        <v>60323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8"/>
    </row>
    <row r="309" spans="1:12">
      <c r="A309" s="6">
        <v>60324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8"/>
    </row>
    <row r="310" spans="1:12">
      <c r="A310" s="6">
        <v>60326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8"/>
    </row>
    <row r="311" spans="1:12">
      <c r="A311" s="6">
        <v>60327</v>
      </c>
      <c r="B311" s="7">
        <v>2024</v>
      </c>
      <c r="C311" s="7">
        <v>1</v>
      </c>
      <c r="D311" s="7">
        <v>2030</v>
      </c>
      <c r="E311" s="7">
        <v>2037</v>
      </c>
      <c r="F311" s="7">
        <v>2044</v>
      </c>
      <c r="G311" s="7"/>
      <c r="H311" s="7">
        <v>2</v>
      </c>
      <c r="I311" s="7">
        <v>3</v>
      </c>
      <c r="J311" s="7">
        <v>1</v>
      </c>
      <c r="K311" s="7"/>
      <c r="L311" s="8">
        <v>2037</v>
      </c>
    </row>
    <row r="312" spans="1:12">
      <c r="A312" s="6">
        <v>60328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8"/>
    </row>
    <row r="313" spans="1:12">
      <c r="A313" s="6">
        <v>60330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8"/>
    </row>
    <row r="314" spans="1:12">
      <c r="A314" s="6">
        <v>60331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8"/>
    </row>
    <row r="315" spans="1:12">
      <c r="A315" s="6">
        <v>60332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8"/>
    </row>
    <row r="316" spans="1:12">
      <c r="A316" s="6">
        <v>60333</v>
      </c>
      <c r="B316" s="7">
        <v>2024</v>
      </c>
      <c r="C316" s="7">
        <v>3</v>
      </c>
      <c r="D316" s="7">
        <v>2033</v>
      </c>
      <c r="E316" s="7">
        <v>2040</v>
      </c>
      <c r="F316" s="7"/>
      <c r="G316" s="7"/>
      <c r="H316" s="7">
        <v>3</v>
      </c>
      <c r="I316" s="7">
        <v>1</v>
      </c>
      <c r="J316" s="7"/>
      <c r="K316" s="7"/>
      <c r="L316" s="8">
        <v>2033</v>
      </c>
    </row>
    <row r="317" spans="1:12">
      <c r="A317" s="6">
        <v>60334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8"/>
    </row>
    <row r="318" spans="1:12">
      <c r="A318" s="6">
        <v>60335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8"/>
    </row>
    <row r="319" spans="1:12">
      <c r="A319" s="6">
        <v>60337</v>
      </c>
      <c r="B319" s="7">
        <v>2025</v>
      </c>
      <c r="C319" s="7">
        <v>3</v>
      </c>
      <c r="D319" s="7">
        <v>2025</v>
      </c>
      <c r="E319" s="7">
        <v>2033</v>
      </c>
      <c r="F319" s="7">
        <v>2040</v>
      </c>
      <c r="G319" s="7"/>
      <c r="H319" s="7">
        <v>3</v>
      </c>
      <c r="I319" s="7">
        <v>1</v>
      </c>
      <c r="J319" s="7">
        <v>2</v>
      </c>
      <c r="K319" s="7"/>
      <c r="L319" s="8">
        <v>2025</v>
      </c>
    </row>
    <row r="320" spans="1:12">
      <c r="A320" s="6">
        <v>60338</v>
      </c>
      <c r="B320" s="7">
        <v>2025</v>
      </c>
      <c r="C320" s="7">
        <v>1</v>
      </c>
      <c r="D320" s="7">
        <v>2025</v>
      </c>
      <c r="E320" s="7">
        <v>2031</v>
      </c>
      <c r="F320" s="7"/>
      <c r="G320" s="7"/>
      <c r="H320" s="7">
        <v>1</v>
      </c>
      <c r="I320" s="7">
        <v>2</v>
      </c>
      <c r="J320" s="7"/>
      <c r="K320" s="7"/>
      <c r="L320" s="8"/>
    </row>
    <row r="321" spans="1:12">
      <c r="A321" s="6">
        <v>60339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8"/>
    </row>
    <row r="322" spans="1:12">
      <c r="A322" s="6">
        <v>60340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8"/>
    </row>
    <row r="323" spans="1:12">
      <c r="A323" s="6">
        <v>60342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8"/>
    </row>
    <row r="324" spans="1:12">
      <c r="A324" s="6">
        <v>60343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8"/>
    </row>
    <row r="325" spans="1:12">
      <c r="A325" s="6">
        <v>60344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8"/>
    </row>
    <row r="326" spans="1:12">
      <c r="A326" s="6">
        <v>60345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8"/>
    </row>
    <row r="327" spans="1:12">
      <c r="A327" s="6">
        <v>60346</v>
      </c>
      <c r="B327" s="7">
        <v>2021</v>
      </c>
      <c r="C327" s="7">
        <v>2</v>
      </c>
      <c r="D327" s="7">
        <v>2027</v>
      </c>
      <c r="E327" s="7"/>
      <c r="F327" s="7"/>
      <c r="G327" s="7"/>
      <c r="H327" s="7">
        <v>3</v>
      </c>
      <c r="I327" s="7"/>
      <c r="J327" s="7"/>
      <c r="K327" s="7"/>
      <c r="L327" s="8">
        <v>2027</v>
      </c>
    </row>
    <row r="328" spans="1:12">
      <c r="A328" s="6">
        <v>60347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8"/>
    </row>
    <row r="329" spans="1:12">
      <c r="A329" s="6">
        <v>60348</v>
      </c>
      <c r="B329" s="7">
        <v>2021</v>
      </c>
      <c r="C329" s="7">
        <v>2</v>
      </c>
      <c r="D329" s="7">
        <v>2028</v>
      </c>
      <c r="E329" s="7">
        <v>2035</v>
      </c>
      <c r="F329" s="7">
        <v>2042</v>
      </c>
      <c r="G329" s="7"/>
      <c r="H329" s="7">
        <v>3</v>
      </c>
      <c r="I329" s="7">
        <v>1</v>
      </c>
      <c r="J329" s="7">
        <v>2</v>
      </c>
      <c r="K329" s="7"/>
      <c r="L329" s="8">
        <v>2028</v>
      </c>
    </row>
    <row r="330" spans="1:12">
      <c r="A330" s="6">
        <v>60349</v>
      </c>
      <c r="B330" s="7"/>
      <c r="C330" s="7"/>
      <c r="D330" s="7">
        <v>2028</v>
      </c>
      <c r="E330" s="7">
        <v>2035</v>
      </c>
      <c r="F330" s="7">
        <v>2042</v>
      </c>
      <c r="G330" s="7"/>
      <c r="H330" s="7">
        <v>1</v>
      </c>
      <c r="I330" s="7">
        <v>2</v>
      </c>
      <c r="J330" s="7">
        <v>3</v>
      </c>
      <c r="K330" s="7"/>
      <c r="L330" s="8">
        <v>2042</v>
      </c>
    </row>
    <row r="331" spans="1:12">
      <c r="A331" s="6">
        <v>60350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8"/>
    </row>
    <row r="332" spans="1:12">
      <c r="A332" s="6">
        <v>60351</v>
      </c>
      <c r="B332" s="7"/>
      <c r="C332" s="7"/>
      <c r="D332" s="7">
        <v>2026</v>
      </c>
      <c r="E332" s="7">
        <v>2032</v>
      </c>
      <c r="F332" s="7">
        <v>2039</v>
      </c>
      <c r="G332" s="7"/>
      <c r="H332" s="7">
        <v>1</v>
      </c>
      <c r="I332" s="7">
        <v>2</v>
      </c>
      <c r="J332" s="7">
        <v>3</v>
      </c>
      <c r="K332" s="7"/>
      <c r="L332" s="8">
        <v>2039</v>
      </c>
    </row>
    <row r="333" spans="1:12">
      <c r="A333" s="6">
        <v>60352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8"/>
    </row>
    <row r="334" spans="1:12">
      <c r="A334" s="6">
        <v>60353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8"/>
    </row>
    <row r="335" spans="1:12">
      <c r="A335" s="6">
        <v>60354</v>
      </c>
      <c r="B335" s="7">
        <v>2025</v>
      </c>
      <c r="C335" s="7">
        <v>1</v>
      </c>
      <c r="D335" s="7">
        <v>2029</v>
      </c>
      <c r="E335" s="7">
        <v>2035</v>
      </c>
      <c r="F335" s="7">
        <v>2042</v>
      </c>
      <c r="G335" s="7"/>
      <c r="H335" s="7">
        <v>2</v>
      </c>
      <c r="I335" s="7">
        <v>3</v>
      </c>
      <c r="J335" s="7">
        <v>1</v>
      </c>
      <c r="K335" s="7"/>
      <c r="L335" s="8">
        <v>2035</v>
      </c>
    </row>
    <row r="336" spans="1:12">
      <c r="A336" s="6">
        <v>60355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8"/>
    </row>
    <row r="337" spans="1:12">
      <c r="A337" s="6">
        <v>60356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8"/>
    </row>
    <row r="338" spans="1:12">
      <c r="A338" s="6">
        <v>60357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8"/>
    </row>
    <row r="339" spans="1:12">
      <c r="A339" s="6">
        <v>60358</v>
      </c>
      <c r="B339" s="7"/>
      <c r="C339" s="7"/>
      <c r="D339" s="7">
        <v>2025</v>
      </c>
      <c r="E339" s="7">
        <v>2032</v>
      </c>
      <c r="F339" s="7">
        <v>2039</v>
      </c>
      <c r="G339" s="7"/>
      <c r="H339" s="7">
        <v>1</v>
      </c>
      <c r="I339" s="7">
        <v>2</v>
      </c>
      <c r="J339" s="7">
        <v>3</v>
      </c>
      <c r="K339" s="7"/>
      <c r="L339" s="8">
        <v>2039</v>
      </c>
    </row>
    <row r="340" spans="1:12">
      <c r="A340" s="6">
        <v>60359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8"/>
    </row>
    <row r="341" spans="1:12">
      <c r="A341" s="6">
        <v>60360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8"/>
    </row>
    <row r="342" spans="1:12">
      <c r="A342" s="6">
        <v>60361</v>
      </c>
      <c r="B342" s="7"/>
      <c r="C342" s="7"/>
      <c r="D342" s="7">
        <v>2028</v>
      </c>
      <c r="E342" s="7">
        <v>2035</v>
      </c>
      <c r="F342" s="7">
        <v>2042</v>
      </c>
      <c r="G342" s="7"/>
      <c r="H342" s="7">
        <v>1</v>
      </c>
      <c r="I342" s="7">
        <v>2</v>
      </c>
      <c r="J342" s="7">
        <v>3</v>
      </c>
      <c r="K342" s="7"/>
      <c r="L342" s="8">
        <v>2042</v>
      </c>
    </row>
    <row r="343" spans="1:12">
      <c r="A343" s="6">
        <v>60362</v>
      </c>
      <c r="B343" s="7"/>
      <c r="C343" s="7"/>
      <c r="D343" s="7">
        <v>2031</v>
      </c>
      <c r="E343" s="7">
        <v>2038</v>
      </c>
      <c r="F343" s="7"/>
      <c r="G343" s="7"/>
      <c r="H343" s="7">
        <v>1</v>
      </c>
      <c r="I343" s="7">
        <v>2</v>
      </c>
      <c r="J343" s="7"/>
      <c r="K343" s="7"/>
      <c r="L343" s="8"/>
    </row>
    <row r="344" spans="1:12">
      <c r="A344" s="6">
        <v>60363</v>
      </c>
      <c r="B344" s="7"/>
      <c r="C344" s="7"/>
      <c r="D344" s="7">
        <v>2031</v>
      </c>
      <c r="E344" s="7">
        <v>2038</v>
      </c>
      <c r="F344" s="7"/>
      <c r="G344" s="7"/>
      <c r="H344" s="7">
        <v>1</v>
      </c>
      <c r="I344" s="7">
        <v>2</v>
      </c>
      <c r="J344" s="7"/>
      <c r="K344" s="7"/>
      <c r="L344" s="8"/>
    </row>
    <row r="345" spans="1:12">
      <c r="A345" s="6">
        <v>60364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8"/>
    </row>
    <row r="346" spans="1:12">
      <c r="A346" s="6">
        <v>60365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8"/>
    </row>
    <row r="347" spans="1:12">
      <c r="A347" s="6">
        <v>60366</v>
      </c>
      <c r="B347" s="7"/>
      <c r="C347" s="7"/>
      <c r="D347" s="7">
        <v>2031</v>
      </c>
      <c r="E347" s="7">
        <v>2038</v>
      </c>
      <c r="F347" s="7"/>
      <c r="G347" s="7"/>
      <c r="H347" s="7">
        <v>1</v>
      </c>
      <c r="I347" s="7">
        <v>2</v>
      </c>
      <c r="J347" s="7"/>
      <c r="K347" s="7"/>
      <c r="L347" s="8"/>
    </row>
    <row r="348" spans="1:12">
      <c r="A348" s="6">
        <v>60367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8"/>
    </row>
    <row r="349" spans="1:12">
      <c r="A349" s="6">
        <v>60368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8"/>
    </row>
    <row r="350" spans="1:12">
      <c r="A350" s="6">
        <v>60371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8"/>
    </row>
    <row r="351" spans="1:12">
      <c r="A351" s="6">
        <v>60374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8"/>
    </row>
    <row r="352" spans="1:12">
      <c r="A352" s="6">
        <v>60375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8"/>
    </row>
    <row r="353" spans="1:12">
      <c r="A353" s="6">
        <v>60376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8"/>
    </row>
    <row r="354" spans="1:12">
      <c r="A354" s="6">
        <v>60377</v>
      </c>
      <c r="B354" s="7"/>
      <c r="C354" s="7"/>
      <c r="D354" s="7">
        <v>2028</v>
      </c>
      <c r="E354" s="7">
        <v>2035</v>
      </c>
      <c r="F354" s="7">
        <v>2042</v>
      </c>
      <c r="G354" s="7"/>
      <c r="H354" s="7">
        <v>1</v>
      </c>
      <c r="I354" s="7">
        <v>2</v>
      </c>
      <c r="J354" s="7">
        <v>3</v>
      </c>
      <c r="K354" s="7"/>
      <c r="L354" s="8">
        <v>2042</v>
      </c>
    </row>
    <row r="355" spans="1:12">
      <c r="A355" s="6">
        <v>60378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8"/>
    </row>
    <row r="356" spans="1:12">
      <c r="A356" s="6">
        <v>60379</v>
      </c>
      <c r="B356" s="7"/>
      <c r="C356" s="7"/>
      <c r="D356" s="7">
        <v>2026</v>
      </c>
      <c r="E356" s="7">
        <v>2032</v>
      </c>
      <c r="F356" s="7">
        <v>2039</v>
      </c>
      <c r="G356" s="7"/>
      <c r="H356" s="7">
        <v>1</v>
      </c>
      <c r="I356" s="7">
        <v>2</v>
      </c>
      <c r="J356" s="7">
        <v>3</v>
      </c>
      <c r="K356" s="7"/>
      <c r="L356" s="8">
        <v>2039</v>
      </c>
    </row>
    <row r="357" spans="1:12">
      <c r="A357" s="6">
        <v>60380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8"/>
    </row>
    <row r="358" spans="1:12">
      <c r="A358" s="6">
        <v>60381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8"/>
    </row>
    <row r="359" spans="1:12">
      <c r="A359" s="6">
        <v>60382</v>
      </c>
      <c r="B359" s="7"/>
      <c r="C359" s="7"/>
      <c r="D359" s="7">
        <v>2028</v>
      </c>
      <c r="E359" s="7">
        <v>2035</v>
      </c>
      <c r="F359" s="7">
        <v>2042</v>
      </c>
      <c r="G359" s="7"/>
      <c r="H359" s="7">
        <v>1</v>
      </c>
      <c r="I359" s="7">
        <v>2</v>
      </c>
      <c r="J359" s="7">
        <v>3</v>
      </c>
      <c r="K359" s="7"/>
      <c r="L359" s="8">
        <v>2042</v>
      </c>
    </row>
    <row r="360" spans="1:12">
      <c r="A360" s="6">
        <v>60383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8"/>
    </row>
    <row r="361" spans="1:12">
      <c r="A361" s="6">
        <v>60384</v>
      </c>
      <c r="B361" s="7">
        <v>2020</v>
      </c>
      <c r="C361" s="7">
        <v>2</v>
      </c>
      <c r="D361" s="7">
        <v>2028</v>
      </c>
      <c r="E361" s="7">
        <v>2035</v>
      </c>
      <c r="F361" s="7">
        <v>2042</v>
      </c>
      <c r="G361" s="7"/>
      <c r="H361" s="7">
        <v>3</v>
      </c>
      <c r="I361" s="7">
        <v>1</v>
      </c>
      <c r="J361" s="7">
        <v>2</v>
      </c>
      <c r="K361" s="7"/>
      <c r="L361" s="8">
        <v>2028</v>
      </c>
    </row>
    <row r="362" spans="1:12">
      <c r="A362" s="6">
        <v>60385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8"/>
    </row>
    <row r="363" spans="1:12">
      <c r="A363" s="6">
        <v>60386</v>
      </c>
      <c r="B363" s="7"/>
      <c r="C363" s="7"/>
      <c r="D363" s="7">
        <v>2027</v>
      </c>
      <c r="E363" s="7">
        <v>2034</v>
      </c>
      <c r="F363" s="7">
        <v>2041</v>
      </c>
      <c r="G363" s="7"/>
      <c r="H363" s="7">
        <v>1</v>
      </c>
      <c r="I363" s="7">
        <v>2</v>
      </c>
      <c r="J363" s="7">
        <v>3</v>
      </c>
      <c r="K363" s="7"/>
      <c r="L363" s="8">
        <v>2041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8"/>
  <sheetViews>
    <sheetView workbookViewId="0">
      <selection sqref="A1:A1048576"/>
    </sheetView>
  </sheetViews>
  <sheetFormatPr defaultRowHeight="15"/>
  <cols>
    <col min="1" max="1" width="15.42578125" bestFit="1" customWidth="1"/>
    <col min="2" max="2" width="16" bestFit="1" customWidth="1"/>
    <col min="3" max="3" width="16.140625" bestFit="1" customWidth="1"/>
    <col min="4" max="4" width="23.7109375" customWidth="1"/>
    <col min="7" max="7" width="36.7109375" customWidth="1"/>
  </cols>
  <sheetData>
    <row r="1" spans="1:8" ht="39.75" customHeight="1">
      <c r="A1" s="9" t="s">
        <v>1091</v>
      </c>
      <c r="B1" s="9" t="s">
        <v>1092</v>
      </c>
      <c r="C1" s="9" t="s">
        <v>1093</v>
      </c>
      <c r="D1" s="9" t="s">
        <v>1094</v>
      </c>
      <c r="G1" s="40" t="s">
        <v>1095</v>
      </c>
      <c r="H1" s="41">
        <v>2</v>
      </c>
    </row>
    <row r="2" spans="1:8">
      <c r="A2" s="10">
        <v>2</v>
      </c>
      <c r="B2" s="10"/>
      <c r="C2" s="10">
        <v>6000</v>
      </c>
      <c r="D2" s="10">
        <v>4</v>
      </c>
    </row>
    <row r="3" spans="1:8">
      <c r="A3" s="10">
        <v>2</v>
      </c>
      <c r="B3" s="10">
        <v>6000</v>
      </c>
      <c r="C3" s="10">
        <v>18000</v>
      </c>
      <c r="D3" s="10">
        <v>3</v>
      </c>
    </row>
    <row r="4" spans="1:8">
      <c r="A4" s="10">
        <v>2</v>
      </c>
      <c r="B4" s="10">
        <v>18000</v>
      </c>
      <c r="C4" s="10"/>
      <c r="D4" s="10">
        <v>2</v>
      </c>
    </row>
    <row r="5" spans="1:8">
      <c r="A5" s="10">
        <v>4</v>
      </c>
      <c r="B5" s="10"/>
      <c r="C5" s="10">
        <v>10000</v>
      </c>
      <c r="D5" s="10">
        <v>4</v>
      </c>
    </row>
    <row r="6" spans="1:8">
      <c r="A6" s="10">
        <v>4</v>
      </c>
      <c r="B6" s="10">
        <v>10000</v>
      </c>
      <c r="C6" s="10">
        <v>30000</v>
      </c>
      <c r="D6" s="10">
        <v>3</v>
      </c>
    </row>
    <row r="7" spans="1:8">
      <c r="A7" s="10">
        <v>4</v>
      </c>
      <c r="B7" s="10">
        <v>30000</v>
      </c>
      <c r="C7" s="10">
        <v>75000</v>
      </c>
      <c r="D7" s="10">
        <v>2</v>
      </c>
    </row>
    <row r="8" spans="1:8">
      <c r="A8" s="10">
        <v>4</v>
      </c>
      <c r="B8" s="10"/>
      <c r="C8" s="10">
        <v>75000</v>
      </c>
      <c r="D8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Reed, David</dc:creator>
  <cp:keywords/>
  <dc:description/>
  <cp:lastModifiedBy/>
  <cp:revision/>
  <dcterms:created xsi:type="dcterms:W3CDTF">2015-06-05T18:17:20Z</dcterms:created>
  <dcterms:modified xsi:type="dcterms:W3CDTF">2025-08-08T17:55:41Z</dcterms:modified>
  <cp:category/>
  <cp:contentStatus/>
</cp:coreProperties>
</file>